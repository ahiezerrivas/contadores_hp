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-c606401\Documents\hp\"/>
    </mc:Choice>
  </mc:AlternateContent>
  <bookViews>
    <workbookView xWindow="0" yWindow="0" windowWidth="21600" windowHeight="9015"/>
  </bookViews>
  <sheets>
    <sheet name="Contadores_Ofic" sheetId="1" r:id="rId1"/>
    <sheet name="Hoja3" sheetId="7" r:id="rId2"/>
    <sheet name="Status oficina" sheetId="6" r:id="rId3"/>
    <sheet name="Hoja2" sheetId="5" r:id="rId4"/>
    <sheet name="Calidad de Prestamo y Retiro" sheetId="3" state="hidden" r:id="rId5"/>
    <sheet name="Hoja1" sheetId="2" state="hidden" r:id="rId6"/>
    <sheet name="Eliminadas 2021-2022" sheetId="4" r:id="rId7"/>
  </sheets>
  <externalReferences>
    <externalReference r:id="rId8"/>
  </externalReferences>
  <definedNames>
    <definedName name="_xlnm._FilterDatabase" localSheetId="4" hidden="1">'Calidad de Prestamo y Retiro'!$A$1:$DF$144</definedName>
    <definedName name="_xlnm._FilterDatabase" localSheetId="0" hidden="1">Contadores_Ofic!$A$1:$W$326</definedName>
    <definedName name="_xlnm._FilterDatabase" localSheetId="6" hidden="1">'Eliminadas 2021-2022'!$A$1:$CG$24</definedName>
    <definedName name="_xlnm._FilterDatabase" localSheetId="2" hidden="1">'Status oficina'!$A$1:$C$208</definedName>
  </definedNames>
  <calcPr calcId="152511"/>
</workbook>
</file>

<file path=xl/calcChain.xml><?xml version="1.0" encoding="utf-8"?>
<calcChain xmlns="http://schemas.openxmlformats.org/spreadsheetml/2006/main">
  <c r="J140" i="1" l="1"/>
  <c r="S123" i="1" l="1"/>
  <c r="S286" i="1"/>
  <c r="S48" i="1"/>
  <c r="S106" i="1"/>
  <c r="S51" i="1"/>
  <c r="S73" i="1"/>
  <c r="S54" i="1"/>
  <c r="S139" i="1"/>
  <c r="S3" i="1"/>
  <c r="S104" i="1"/>
  <c r="S47" i="1"/>
  <c r="S138" i="1"/>
  <c r="S280" i="1"/>
  <c r="S102" i="1"/>
  <c r="S31" i="1"/>
  <c r="S156" i="1"/>
  <c r="S20" i="1"/>
  <c r="S124" i="1"/>
  <c r="S56" i="1"/>
  <c r="S172" i="1"/>
  <c r="S313" i="1"/>
  <c r="S276" i="1"/>
  <c r="S110" i="1"/>
  <c r="S200" i="1"/>
  <c r="S64" i="1"/>
  <c r="S140" i="1"/>
  <c r="S98" i="1"/>
  <c r="S207" i="1"/>
  <c r="S142" i="1"/>
  <c r="S298" i="1"/>
  <c r="S290" i="1"/>
  <c r="S214" i="1"/>
  <c r="S205" i="1"/>
  <c r="S186" i="1"/>
  <c r="S178" i="1"/>
  <c r="S165" i="1"/>
  <c r="S70" i="1"/>
  <c r="S45" i="1"/>
  <c r="S37" i="1"/>
  <c r="S270" i="1"/>
  <c r="S127" i="1"/>
  <c r="S143" i="1"/>
  <c r="S204" i="1"/>
  <c r="S244" i="1"/>
  <c r="S259" i="1"/>
  <c r="S291" i="1"/>
  <c r="S7" i="1"/>
  <c r="S75" i="1"/>
  <c r="S92" i="1"/>
  <c r="S108" i="1"/>
  <c r="S144" i="1"/>
  <c r="S220" i="1"/>
  <c r="S17" i="1"/>
  <c r="S76" i="1"/>
  <c r="S183" i="1"/>
  <c r="S283" i="1"/>
  <c r="S151" i="1"/>
  <c r="S176" i="1"/>
  <c r="S256" i="1"/>
  <c r="S284" i="1"/>
  <c r="S321" i="1"/>
  <c r="S93" i="1"/>
  <c r="S109" i="1"/>
  <c r="S137" i="1"/>
  <c r="S206" i="1"/>
  <c r="S246" i="1"/>
  <c r="S320" i="1"/>
  <c r="S216" i="1"/>
  <c r="S247" i="1"/>
  <c r="S60" i="1"/>
  <c r="S235" i="1"/>
  <c r="S279" i="1"/>
  <c r="S323" i="1"/>
  <c r="S29" i="1"/>
  <c r="S175" i="1"/>
  <c r="S231" i="1"/>
  <c r="S304" i="1"/>
  <c r="S89" i="1"/>
  <c r="S133" i="1"/>
  <c r="S154" i="1"/>
  <c r="S202" i="1"/>
  <c r="S316" i="1"/>
  <c r="S266" i="1"/>
  <c r="S249" i="1"/>
  <c r="S318" i="1"/>
  <c r="S310" i="1"/>
  <c r="S306" i="1"/>
  <c r="S301" i="1"/>
  <c r="S293" i="1"/>
  <c r="S285" i="1"/>
  <c r="S277" i="1"/>
  <c r="S269" i="1"/>
  <c r="S261" i="1"/>
  <c r="S253" i="1"/>
  <c r="S185" i="1"/>
  <c r="S177" i="1"/>
  <c r="S86" i="1"/>
  <c r="S82" i="1"/>
  <c r="S74" i="1"/>
  <c r="S14" i="1"/>
  <c r="S6" i="1"/>
  <c r="S254" i="1"/>
  <c r="S78" i="1"/>
  <c r="S23" i="1"/>
  <c r="S40" i="1"/>
  <c r="S107" i="1"/>
  <c r="S131" i="1"/>
  <c r="S147" i="1"/>
  <c r="S164" i="1"/>
  <c r="S208" i="1"/>
  <c r="S248" i="1"/>
  <c r="S71" i="1"/>
  <c r="S171" i="1"/>
  <c r="S299" i="1"/>
  <c r="S11" i="1"/>
  <c r="S28" i="1"/>
  <c r="S96" i="1"/>
  <c r="S112" i="1"/>
  <c r="S148" i="1"/>
  <c r="S224" i="1"/>
  <c r="S315" i="1"/>
  <c r="S4" i="1"/>
  <c r="S84" i="1"/>
  <c r="S187" i="1"/>
  <c r="S255" i="1"/>
  <c r="S9" i="1"/>
  <c r="S26" i="1"/>
  <c r="S62" i="1"/>
  <c r="S155" i="1"/>
  <c r="S188" i="1"/>
  <c r="S222" i="1"/>
  <c r="S292" i="1"/>
  <c r="S322" i="1"/>
  <c r="S46" i="1"/>
  <c r="S97" i="1"/>
  <c r="S125" i="1"/>
  <c r="S141" i="1"/>
  <c r="S193" i="1"/>
  <c r="S250" i="1"/>
  <c r="S324" i="1"/>
  <c r="S68" i="1"/>
  <c r="S184" i="1"/>
  <c r="S227" i="1"/>
  <c r="S260" i="1"/>
  <c r="S296" i="1"/>
  <c r="S81" i="1"/>
  <c r="S126" i="1"/>
  <c r="S302" i="1"/>
  <c r="S230" i="1"/>
  <c r="S158" i="1"/>
  <c r="S27" i="1"/>
  <c r="S44" i="1"/>
  <c r="S95" i="1"/>
  <c r="S135" i="1"/>
  <c r="S152" i="1"/>
  <c r="S195" i="1"/>
  <c r="S55" i="1"/>
  <c r="S80" i="1"/>
  <c r="S179" i="1"/>
  <c r="S308" i="1"/>
  <c r="S15" i="1"/>
  <c r="S83" i="1"/>
  <c r="S100" i="1"/>
  <c r="S119" i="1"/>
  <c r="S136" i="1"/>
  <c r="S239" i="1"/>
  <c r="S319" i="1"/>
  <c r="S8" i="1"/>
  <c r="S120" i="1"/>
  <c r="S215" i="1"/>
  <c r="S267" i="1"/>
  <c r="S13" i="1"/>
  <c r="S35" i="1"/>
  <c r="S90" i="1"/>
  <c r="S168" i="1"/>
  <c r="S199" i="1"/>
  <c r="S236" i="1"/>
  <c r="S305" i="1"/>
  <c r="S326" i="1"/>
  <c r="S50" i="1"/>
  <c r="S129" i="1"/>
  <c r="S145" i="1"/>
  <c r="S221" i="1"/>
  <c r="S39" i="1"/>
  <c r="S77" i="1"/>
  <c r="S159" i="1"/>
  <c r="S194" i="1"/>
  <c r="S232" i="1"/>
  <c r="S268" i="1"/>
  <c r="S300" i="1"/>
  <c r="S134" i="1"/>
  <c r="S325" i="1"/>
  <c r="S5" i="1"/>
  <c r="S12" i="1"/>
  <c r="S16" i="1"/>
  <c r="S18" i="1"/>
  <c r="S19" i="1"/>
  <c r="S21" i="1"/>
  <c r="S22" i="1"/>
  <c r="S24" i="1"/>
  <c r="S25" i="1"/>
  <c r="S30" i="1"/>
  <c r="S32" i="1"/>
  <c r="S34" i="1"/>
  <c r="S36" i="1"/>
  <c r="S38" i="1"/>
  <c r="S42" i="1"/>
  <c r="S43" i="1"/>
  <c r="S52" i="1"/>
  <c r="S58" i="1"/>
  <c r="S59" i="1"/>
  <c r="S61" i="1"/>
  <c r="S63" i="1"/>
  <c r="S65" i="1"/>
  <c r="S66" i="1"/>
  <c r="S67" i="1"/>
  <c r="S72" i="1"/>
  <c r="S79" i="1"/>
  <c r="S85" i="1"/>
  <c r="S87" i="1"/>
  <c r="S88" i="1"/>
  <c r="S91" i="1"/>
  <c r="S94" i="1"/>
  <c r="S99" i="1"/>
  <c r="S101" i="1"/>
  <c r="S103" i="1"/>
  <c r="S105" i="1"/>
  <c r="S111" i="1"/>
  <c r="S113" i="1"/>
  <c r="S114" i="1"/>
  <c r="S115" i="1"/>
  <c r="S116" i="1"/>
  <c r="S117" i="1"/>
  <c r="S121" i="1"/>
  <c r="S122" i="1"/>
  <c r="S128" i="1"/>
  <c r="S130" i="1"/>
  <c r="S132" i="1"/>
  <c r="S146" i="1"/>
  <c r="S149" i="1"/>
  <c r="S157" i="1"/>
  <c r="S160" i="1"/>
  <c r="S162" i="1"/>
  <c r="S163" i="1"/>
  <c r="S166" i="1"/>
  <c r="S167" i="1"/>
  <c r="S169" i="1"/>
  <c r="S174" i="1"/>
  <c r="S180" i="1"/>
  <c r="S189" i="1"/>
  <c r="S191" i="1"/>
  <c r="S192" i="1"/>
  <c r="S196" i="1"/>
  <c r="S197" i="1"/>
  <c r="S198" i="1"/>
  <c r="S203" i="1"/>
  <c r="S210" i="1"/>
  <c r="S211" i="1"/>
  <c r="S212" i="1"/>
  <c r="S213" i="1"/>
  <c r="S217" i="1"/>
  <c r="S219" i="1"/>
  <c r="S223" i="1"/>
  <c r="S225" i="1"/>
  <c r="S226" i="1"/>
  <c r="S228" i="1"/>
  <c r="S229" i="1"/>
  <c r="S233" i="1"/>
  <c r="S238" i="1"/>
  <c r="S240" i="1"/>
  <c r="S241" i="1"/>
  <c r="S242" i="1"/>
  <c r="S243" i="1"/>
  <c r="S251" i="1"/>
  <c r="S252" i="1"/>
  <c r="S263" i="1"/>
  <c r="S264" i="1"/>
  <c r="S271" i="1"/>
  <c r="S272" i="1"/>
  <c r="S275" i="1"/>
  <c r="S278" i="1"/>
  <c r="S282" i="1"/>
  <c r="S287" i="1"/>
  <c r="S288" i="1"/>
  <c r="S295" i="1"/>
  <c r="S303" i="1"/>
  <c r="S307" i="1"/>
  <c r="S309" i="1"/>
  <c r="S311" i="1"/>
  <c r="S312" i="1"/>
  <c r="S317" i="1"/>
  <c r="S57" i="1" l="1"/>
  <c r="S150" i="1"/>
  <c r="S170" i="1"/>
  <c r="S182" i="1"/>
  <c r="S262" i="1"/>
  <c r="S274" i="1"/>
  <c r="S10" i="1"/>
  <c r="S118" i="1"/>
  <c r="S190" i="1"/>
  <c r="S218" i="1"/>
  <c r="S314" i="1"/>
  <c r="S234" i="1"/>
  <c r="S258" i="1"/>
  <c r="S294" i="1"/>
  <c r="S53" i="1"/>
  <c r="S69" i="1"/>
  <c r="S173" i="1"/>
  <c r="S181" i="1"/>
  <c r="S237" i="1"/>
  <c r="S257" i="1"/>
  <c r="S265" i="1"/>
  <c r="S273" i="1"/>
  <c r="S281" i="1"/>
  <c r="S289" i="1"/>
  <c r="S297" i="1"/>
  <c r="S33" i="1"/>
  <c r="S41" i="1"/>
  <c r="S49" i="1"/>
  <c r="S153" i="1"/>
  <c r="S161" i="1"/>
  <c r="S201" i="1"/>
  <c r="S209" i="1"/>
  <c r="S245" i="1"/>
  <c r="S2" i="1"/>
  <c r="W133" i="4"/>
  <c r="W217" i="1" l="1"/>
  <c r="W72" i="1" l="1"/>
  <c r="W199" i="1"/>
  <c r="K112" i="4" l="1"/>
  <c r="W207" i="1" l="1"/>
  <c r="C3" i="7" l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" i="7"/>
  <c r="W45" i="1" l="1"/>
  <c r="W98" i="1"/>
  <c r="W65" i="1" l="1"/>
  <c r="W325" i="1"/>
  <c r="W324" i="1"/>
  <c r="W323" i="1"/>
  <c r="W203" i="1"/>
  <c r="W322" i="1"/>
  <c r="W130" i="1"/>
  <c r="W145" i="1"/>
  <c r="W318" i="1"/>
  <c r="W316" i="1"/>
  <c r="W314" i="1"/>
  <c r="W163" i="1"/>
  <c r="W311" i="1"/>
  <c r="W309" i="1"/>
  <c r="W307" i="1"/>
  <c r="W306" i="1"/>
  <c r="W304" i="1"/>
  <c r="W302" i="1"/>
  <c r="W220" i="1"/>
  <c r="W301" i="1"/>
  <c r="W300" i="1"/>
  <c r="W7" i="1"/>
  <c r="W299" i="1"/>
  <c r="W298" i="1"/>
  <c r="W296" i="1"/>
  <c r="W295" i="1"/>
  <c r="W294" i="1"/>
  <c r="W289" i="1"/>
  <c r="W288" i="1"/>
  <c r="W287" i="1"/>
  <c r="W26" i="1"/>
  <c r="W286" i="1"/>
  <c r="W283" i="1"/>
  <c r="W80" i="1"/>
  <c r="W312" i="1"/>
  <c r="W273" i="1"/>
  <c r="W320" i="1"/>
  <c r="W256" i="1"/>
  <c r="W280" i="1"/>
  <c r="W135" i="1"/>
  <c r="W63" i="1"/>
  <c r="W61" i="1"/>
  <c r="W190" i="1"/>
  <c r="W184" i="1"/>
  <c r="W277" i="1"/>
  <c r="W265" i="1"/>
  <c r="W264" i="1"/>
  <c r="W262" i="1"/>
  <c r="W261" i="1"/>
  <c r="W260" i="1"/>
  <c r="W259" i="1"/>
  <c r="W258" i="1"/>
  <c r="W257" i="1"/>
  <c r="W5" i="1"/>
  <c r="W179" i="1"/>
  <c r="W255" i="1"/>
  <c r="W266" i="1"/>
  <c r="W254" i="1"/>
  <c r="W253" i="1"/>
  <c r="W252" i="1"/>
  <c r="W269" i="1"/>
  <c r="W96" i="1"/>
  <c r="W251" i="1"/>
  <c r="W250" i="1"/>
  <c r="W249" i="1"/>
  <c r="W222" i="1"/>
  <c r="W248" i="1"/>
  <c r="W226" i="1"/>
  <c r="W275" i="1"/>
  <c r="W247" i="1"/>
  <c r="W246" i="1"/>
  <c r="W227" i="1"/>
  <c r="W245" i="1"/>
  <c r="W244" i="1"/>
  <c r="W243" i="1"/>
  <c r="W240" i="1"/>
  <c r="W270" i="1"/>
  <c r="W239" i="1"/>
  <c r="W78" i="1"/>
  <c r="W268" i="1"/>
  <c r="W237" i="1"/>
  <c r="W236" i="1"/>
  <c r="W235" i="1"/>
  <c r="W234" i="1"/>
  <c r="W233" i="1"/>
  <c r="W232" i="1"/>
  <c r="W113" i="1"/>
  <c r="W215" i="1"/>
  <c r="W231" i="1"/>
  <c r="W230" i="1"/>
  <c r="W228" i="1"/>
  <c r="W225" i="1"/>
  <c r="W219" i="1"/>
  <c r="W218" i="1"/>
  <c r="W205" i="1"/>
  <c r="W214" i="1"/>
  <c r="W213" i="1"/>
  <c r="W210" i="1"/>
  <c r="W209" i="1"/>
  <c r="W208" i="1"/>
  <c r="W206" i="1"/>
  <c r="W282" i="1"/>
  <c r="W198" i="1"/>
  <c r="W201" i="1"/>
  <c r="W200" i="1"/>
  <c r="W196" i="1"/>
  <c r="W195" i="1"/>
  <c r="W194" i="1"/>
  <c r="W193" i="1"/>
  <c r="W189" i="1"/>
  <c r="W187" i="1"/>
  <c r="W186" i="1"/>
  <c r="W185" i="1"/>
  <c r="W278" i="1"/>
  <c r="W183" i="1"/>
  <c r="W291" i="1"/>
  <c r="W238" i="1"/>
  <c r="W211" i="1"/>
  <c r="W182" i="1"/>
  <c r="W321" i="1"/>
  <c r="W178" i="1"/>
  <c r="W173" i="1"/>
  <c r="W172" i="1"/>
  <c r="W170" i="1"/>
  <c r="W169" i="1"/>
  <c r="W168" i="1"/>
  <c r="W143" i="1"/>
  <c r="W167" i="1"/>
  <c r="W165" i="1"/>
  <c r="W162" i="1"/>
  <c r="W161" i="1"/>
  <c r="W160" i="1"/>
  <c r="W159" i="1"/>
  <c r="W157" i="1"/>
  <c r="W156" i="1"/>
  <c r="W155" i="1"/>
  <c r="W154" i="1"/>
  <c r="W202" i="1"/>
  <c r="W148" i="1"/>
  <c r="W158" i="1"/>
  <c r="W147" i="1"/>
  <c r="W146" i="1"/>
  <c r="W281" i="1"/>
  <c r="W142" i="1"/>
  <c r="W141" i="1"/>
  <c r="W140" i="1"/>
  <c r="W139" i="1"/>
  <c r="W138" i="1"/>
  <c r="W137" i="1"/>
  <c r="W134" i="1"/>
  <c r="W133" i="1"/>
  <c r="W66" i="1"/>
  <c r="W132" i="1"/>
  <c r="W131" i="1"/>
  <c r="W153" i="1"/>
  <c r="W129" i="1"/>
  <c r="W128" i="1"/>
  <c r="W126" i="1"/>
  <c r="W223" i="1"/>
  <c r="W123" i="1"/>
  <c r="W121" i="1"/>
  <c r="W120" i="1"/>
  <c r="W290" i="1"/>
  <c r="W119" i="1"/>
  <c r="W118" i="1"/>
  <c r="W117" i="1"/>
  <c r="W116" i="1"/>
  <c r="W115" i="1"/>
  <c r="W112" i="1"/>
  <c r="W192" i="1"/>
  <c r="W164" i="1"/>
  <c r="W174" i="1"/>
  <c r="W111" i="1"/>
  <c r="W191" i="1"/>
  <c r="W197" i="1"/>
  <c r="W55" i="1"/>
  <c r="W110" i="1"/>
  <c r="W109" i="1"/>
  <c r="W108" i="1"/>
  <c r="W107" i="1"/>
  <c r="W106" i="1"/>
  <c r="W105" i="1"/>
  <c r="W34" i="1"/>
  <c r="W104" i="1"/>
  <c r="W103" i="1"/>
  <c r="W102" i="1"/>
  <c r="W175" i="1"/>
  <c r="W101" i="1"/>
  <c r="W180" i="1"/>
  <c r="W100" i="1"/>
  <c r="W99" i="1"/>
  <c r="W95" i="1"/>
  <c r="W94" i="1"/>
  <c r="W93" i="1"/>
  <c r="W91" i="1"/>
  <c r="W90" i="1"/>
  <c r="W89" i="1"/>
  <c r="W88" i="1"/>
  <c r="W35" i="1"/>
  <c r="W87" i="1"/>
  <c r="W85" i="1"/>
  <c r="W84" i="1"/>
  <c r="W83" i="1"/>
  <c r="W82" i="1"/>
  <c r="W81" i="1"/>
  <c r="W229" i="1"/>
  <c r="W77" i="1"/>
  <c r="W76" i="1"/>
  <c r="W75" i="1"/>
  <c r="W272" i="1"/>
  <c r="W86" i="1"/>
  <c r="W74" i="1"/>
  <c r="W73" i="1"/>
  <c r="W276" i="1"/>
  <c r="W212" i="1"/>
  <c r="W70" i="1"/>
  <c r="W40" i="1"/>
  <c r="W69" i="1"/>
  <c r="W68" i="1"/>
  <c r="W67" i="1"/>
  <c r="W62" i="1"/>
  <c r="W41" i="1"/>
  <c r="W60" i="1"/>
  <c r="W58" i="1"/>
  <c r="W57" i="1"/>
  <c r="W54" i="1"/>
  <c r="W49" i="1"/>
  <c r="W48" i="1"/>
  <c r="W47" i="1"/>
  <c r="W46" i="1"/>
  <c r="W144" i="1"/>
  <c r="W44" i="1"/>
  <c r="W43" i="1"/>
  <c r="W122" i="1"/>
  <c r="W176" i="1"/>
  <c r="W42" i="1"/>
  <c r="W39" i="1"/>
  <c r="W38" i="1"/>
  <c r="W150" i="1"/>
  <c r="W97" i="1"/>
  <c r="W37" i="1"/>
  <c r="W166" i="1"/>
  <c r="W181" i="1"/>
  <c r="W36" i="1"/>
  <c r="W33" i="1"/>
  <c r="W64" i="1"/>
  <c r="W32" i="1"/>
  <c r="W31" i="1"/>
  <c r="W30" i="1"/>
  <c r="W267" i="1"/>
  <c r="W29" i="1"/>
  <c r="W224" i="1"/>
  <c r="W28" i="1"/>
  <c r="W79" i="1"/>
  <c r="W221" i="1"/>
  <c r="W59" i="1"/>
  <c r="W274" i="1"/>
  <c r="W27" i="1"/>
  <c r="W317" i="1"/>
  <c r="W92" i="1"/>
  <c r="W313" i="1"/>
  <c r="W25" i="1"/>
  <c r="W24" i="1"/>
  <c r="W23" i="1"/>
  <c r="W204" i="1"/>
  <c r="W22" i="1"/>
  <c r="W293" i="1"/>
  <c r="W21" i="1"/>
  <c r="W20" i="1"/>
  <c r="W19" i="1"/>
  <c r="W18" i="1"/>
  <c r="W17" i="1"/>
  <c r="W151" i="1"/>
  <c r="W56" i="1"/>
  <c r="W14" i="1"/>
  <c r="W13" i="1"/>
  <c r="W15" i="1"/>
  <c r="W12" i="1"/>
  <c r="W11" i="1"/>
  <c r="W10" i="1"/>
  <c r="W9" i="1"/>
  <c r="W8" i="1"/>
  <c r="W4" i="1"/>
  <c r="W3" i="1"/>
  <c r="W2" i="1"/>
  <c r="W50" i="1"/>
  <c r="W315" i="1"/>
  <c r="H144" i="3" l="1"/>
</calcChain>
</file>

<file path=xl/comments1.xml><?xml version="1.0" encoding="utf-8"?>
<comments xmlns="http://schemas.openxmlformats.org/spreadsheetml/2006/main">
  <authors>
    <author>LUIS NOGUERA</author>
    <author>Reina Montero</author>
  </authors>
  <commentList>
    <comment ref="B45" authorId="0" shapeId="0">
      <text>
        <r>
          <rPr>
            <b/>
            <sz val="9"/>
            <color indexed="81"/>
            <rFont val="Tahoma"/>
            <family val="2"/>
          </rPr>
          <t>LUIS NOGUERA:</t>
        </r>
        <r>
          <rPr>
            <sz val="9"/>
            <color indexed="81"/>
            <rFont val="Tahoma"/>
            <family val="2"/>
          </rPr>
          <t xml:space="preserve">
Caja Interna Piso 21</t>
        </r>
      </text>
    </comment>
    <comment ref="B98" authorId="0" shapeId="0">
      <text>
        <r>
          <rPr>
            <b/>
            <sz val="9"/>
            <color indexed="81"/>
            <rFont val="Tahoma"/>
            <family val="2"/>
          </rPr>
          <t>LUIS NOGUERA:</t>
        </r>
        <r>
          <rPr>
            <sz val="9"/>
            <color indexed="81"/>
            <rFont val="Tahoma"/>
            <family val="2"/>
          </rPr>
          <t xml:space="preserve">
Centro de Procesamiento
</t>
        </r>
      </text>
    </comment>
    <comment ref="F253" authorId="1" shapeId="0">
      <text>
        <r>
          <rPr>
            <b/>
            <sz val="9"/>
            <color indexed="81"/>
            <rFont val="Tahoma"/>
            <family val="2"/>
          </rPr>
          <t>Reina Montero:</t>
        </r>
        <r>
          <rPr>
            <sz val="9"/>
            <color indexed="81"/>
            <rFont val="Tahoma"/>
            <family val="2"/>
          </rPr>
          <t xml:space="preserve">
Ubicada en region usadas por Ejecutivos y personal de RRHH
</t>
        </r>
      </text>
    </comment>
    <comment ref="F274" authorId="0" shapeId="0">
      <text>
        <r>
          <rPr>
            <b/>
            <sz val="9"/>
            <color indexed="81"/>
            <rFont val="Tahoma"/>
            <charset val="1"/>
          </rPr>
          <t>LUIS NOGUERA:</t>
        </r>
        <r>
          <rPr>
            <sz val="9"/>
            <color indexed="81"/>
            <rFont val="Tahoma"/>
            <charset val="1"/>
          </rPr>
          <t xml:space="preserve">
Usadas por la secretaria de la region</t>
        </r>
      </text>
    </comment>
  </commentList>
</comments>
</file>

<file path=xl/comments2.xml><?xml version="1.0" encoding="utf-8"?>
<comments xmlns="http://schemas.openxmlformats.org/spreadsheetml/2006/main">
  <authors>
    <author>Reina Montero</author>
  </authors>
  <commentList>
    <comment ref="A197" authorId="0" shapeId="0">
      <text>
        <r>
          <rPr>
            <b/>
            <sz val="9"/>
            <color indexed="81"/>
            <rFont val="Tahoma"/>
            <family val="2"/>
          </rPr>
          <t>Reina Montero:</t>
        </r>
        <r>
          <rPr>
            <sz val="9"/>
            <color indexed="81"/>
            <rFont val="Tahoma"/>
            <family val="2"/>
          </rPr>
          <t xml:space="preserve">
Ubicada en region usadas por Ejecutivos y personal de RRHH
</t>
        </r>
      </text>
    </comment>
  </commentList>
</comments>
</file>

<file path=xl/sharedStrings.xml><?xml version="1.0" encoding="utf-8"?>
<sst xmlns="http://schemas.openxmlformats.org/spreadsheetml/2006/main" count="5436" uniqueCount="2508">
  <si>
    <t>IPv4Address</t>
  </si>
  <si>
    <t>10.10.89.201</t>
  </si>
  <si>
    <t>10.10.88.200</t>
  </si>
  <si>
    <t>10.10.251.201</t>
  </si>
  <si>
    <t>10.10.230.200</t>
  </si>
  <si>
    <t>10.11.25.200</t>
  </si>
  <si>
    <t>10.14.66.201</t>
  </si>
  <si>
    <t>10.10.113.200</t>
  </si>
  <si>
    <t>10.10.197.200</t>
  </si>
  <si>
    <t>10.10.56.201</t>
  </si>
  <si>
    <t>10.10.141.200</t>
  </si>
  <si>
    <t>10.10.171.14</t>
  </si>
  <si>
    <t>10.10.33.200</t>
  </si>
  <si>
    <t>10.10.65.200</t>
  </si>
  <si>
    <t>10.10.95.201</t>
  </si>
  <si>
    <t>10.10.210.202</t>
  </si>
  <si>
    <t>10.10.162.201</t>
  </si>
  <si>
    <t>10.10.78.200</t>
  </si>
  <si>
    <t>10.10.130.200</t>
  </si>
  <si>
    <t>10.10.90.203</t>
  </si>
  <si>
    <t>10.10.216.200</t>
  </si>
  <si>
    <t>10.10.193.201</t>
  </si>
  <si>
    <t>10.11.28.201</t>
  </si>
  <si>
    <t>10.10.148.200</t>
  </si>
  <si>
    <t>10.10.128.200</t>
  </si>
  <si>
    <t>10.10.64.200</t>
  </si>
  <si>
    <t>10.10.18.201</t>
  </si>
  <si>
    <t>10.10.19.201</t>
  </si>
  <si>
    <t>10.11.6.201</t>
  </si>
  <si>
    <t>10.10.180.210</t>
  </si>
  <si>
    <t>10.10.155.200</t>
  </si>
  <si>
    <t>10.10.164.200</t>
  </si>
  <si>
    <t>10.10.230.202</t>
  </si>
  <si>
    <t>10.10.67.200</t>
  </si>
  <si>
    <t>10.14.11.203</t>
  </si>
  <si>
    <t>10.10.171.206</t>
  </si>
  <si>
    <t>10.14.12.200</t>
  </si>
  <si>
    <t>10.10.241.200</t>
  </si>
  <si>
    <t>10.10.31.203</t>
  </si>
  <si>
    <t>10.10.64.101</t>
  </si>
  <si>
    <t>10.10.44.200</t>
  </si>
  <si>
    <t>10.10.6.201</t>
  </si>
  <si>
    <t>10.10.137.200</t>
  </si>
  <si>
    <t>10.10.161.200</t>
  </si>
  <si>
    <t>10.11.6.200</t>
  </si>
  <si>
    <t>10.10.84.200</t>
  </si>
  <si>
    <t>10.10.222.201</t>
  </si>
  <si>
    <t>10.14.9.201</t>
  </si>
  <si>
    <t>10.10.14.240</t>
  </si>
  <si>
    <t>10.10.63.201</t>
  </si>
  <si>
    <t>10.10.206.201</t>
  </si>
  <si>
    <t>10.10.73.211</t>
  </si>
  <si>
    <t>10.11.11.200</t>
  </si>
  <si>
    <t>10.10.147.202</t>
  </si>
  <si>
    <t>10.10.148.201</t>
  </si>
  <si>
    <t>10.11.18.202</t>
  </si>
  <si>
    <t>10.14.35.202</t>
  </si>
  <si>
    <t>10.0.40.203</t>
  </si>
  <si>
    <t>10.10.171.207</t>
  </si>
  <si>
    <t>10.14.84.199</t>
  </si>
  <si>
    <t>10.10.125.201</t>
  </si>
  <si>
    <t>10.10.85.200</t>
  </si>
  <si>
    <t>10.10.171.205</t>
  </si>
  <si>
    <t>10.14.19.200</t>
  </si>
  <si>
    <t>10.10.243.201</t>
  </si>
  <si>
    <t>10.10.135.200</t>
  </si>
  <si>
    <t>10.10.246.200</t>
  </si>
  <si>
    <t>10.10.59.201</t>
  </si>
  <si>
    <t>10.10.219.231</t>
  </si>
  <si>
    <t>10.14.68.200</t>
  </si>
  <si>
    <t>10.10.63.200</t>
  </si>
  <si>
    <t>10.10.0.200</t>
  </si>
  <si>
    <t>10.10.7.201</t>
  </si>
  <si>
    <t>10.11.73.202</t>
  </si>
  <si>
    <t>10.10.32.201</t>
  </si>
  <si>
    <t>10.14.80.200</t>
  </si>
  <si>
    <t>10.10.1.201</t>
  </si>
  <si>
    <t>10.10.24.200</t>
  </si>
  <si>
    <t>10.14.7.200</t>
  </si>
  <si>
    <t>10.11.8.201</t>
  </si>
  <si>
    <t>10.14.16.200</t>
  </si>
  <si>
    <t>10.10.161.201</t>
  </si>
  <si>
    <t>10.14.15.200</t>
  </si>
  <si>
    <t>10.10.186.202</t>
  </si>
  <si>
    <t>10.10.138.200</t>
  </si>
  <si>
    <t>10.10.57.201</t>
  </si>
  <si>
    <t>10.10.181.200</t>
  </si>
  <si>
    <t>10.10.90.201</t>
  </si>
  <si>
    <t>10.10.210.200</t>
  </si>
  <si>
    <t>10.10.119.200</t>
  </si>
  <si>
    <t>10.11.45.201</t>
  </si>
  <si>
    <t>10.10.212.200</t>
  </si>
  <si>
    <t>10.10.43.201</t>
  </si>
  <si>
    <t>10.10.39.200</t>
  </si>
  <si>
    <t>10.10.140.202</t>
  </si>
  <si>
    <t>10.10.64.207</t>
  </si>
  <si>
    <t>10.10.62.200</t>
  </si>
  <si>
    <t>10.10.171.13</t>
  </si>
  <si>
    <t>10.10.184.201</t>
  </si>
  <si>
    <t>10.10.100.205</t>
  </si>
  <si>
    <t>10.0.40.200</t>
  </si>
  <si>
    <t>10.14.13.201</t>
  </si>
  <si>
    <t>10.11.61.200</t>
  </si>
  <si>
    <t>10.10.91.201</t>
  </si>
  <si>
    <t>10.14.11.204</t>
  </si>
  <si>
    <t>10.11.99.201</t>
  </si>
  <si>
    <t>10.10.220.201</t>
  </si>
  <si>
    <t>10.11.24.201</t>
  </si>
  <si>
    <t>10.10.161.206</t>
  </si>
  <si>
    <t>10.10.163.200</t>
  </si>
  <si>
    <t>10.10.71.200</t>
  </si>
  <si>
    <t>10.10.59.200</t>
  </si>
  <si>
    <t>10.11.24.200</t>
  </si>
  <si>
    <t>10.11.13.201</t>
  </si>
  <si>
    <t>10.10.14.200</t>
  </si>
  <si>
    <t>10.10.50.201</t>
  </si>
  <si>
    <t>10.11.32.200</t>
  </si>
  <si>
    <t>10.10.194.201</t>
  </si>
  <si>
    <t>10.10.206.200</t>
  </si>
  <si>
    <t>10.11.10.200</t>
  </si>
  <si>
    <t>10.11.26.200</t>
  </si>
  <si>
    <t>10.10.161.204</t>
  </si>
  <si>
    <t>10.10.244.204</t>
  </si>
  <si>
    <t>10.14.71.210</t>
  </si>
  <si>
    <t>10.14.72.201</t>
  </si>
  <si>
    <t>10.11.3.201</t>
  </si>
  <si>
    <t>10.11.37.202</t>
  </si>
  <si>
    <t>10.11.32.201</t>
  </si>
  <si>
    <t>10.10.125.203</t>
  </si>
  <si>
    <t>10.10.141.203</t>
  </si>
  <si>
    <t>10.11.28.203</t>
  </si>
  <si>
    <t>10.11.11.202</t>
  </si>
  <si>
    <t>10.10.138.201</t>
  </si>
  <si>
    <t>10.14.21.201</t>
  </si>
  <si>
    <t>10.14.69.201</t>
  </si>
  <si>
    <t>10.11.99.200</t>
  </si>
  <si>
    <t>10.11.41.203</t>
  </si>
  <si>
    <t>10.10.233.201</t>
  </si>
  <si>
    <t>10.10.114.200</t>
  </si>
  <si>
    <t>10.14.90.201</t>
  </si>
  <si>
    <t>10.10.166.201</t>
  </si>
  <si>
    <t>10.10.131.201</t>
  </si>
  <si>
    <t>10.10.127.202</t>
  </si>
  <si>
    <t>10.11.4.11</t>
  </si>
  <si>
    <t>10.10.243.207</t>
  </si>
  <si>
    <t>10.10.137.201</t>
  </si>
  <si>
    <t>10.11.15.202</t>
  </si>
  <si>
    <t>10.10.211.212</t>
  </si>
  <si>
    <t>10.10.7.200</t>
  </si>
  <si>
    <t>10.14.11.202</t>
  </si>
  <si>
    <t>10.10.131.200</t>
  </si>
  <si>
    <t>10.10.150.200</t>
  </si>
  <si>
    <t>10.10.139.201</t>
  </si>
  <si>
    <t>10.10.240.201</t>
  </si>
  <si>
    <t>10.11.31.200</t>
  </si>
  <si>
    <t>10.10.24.201</t>
  </si>
  <si>
    <t>10.14.85.200</t>
  </si>
  <si>
    <t>10.14.87.203</t>
  </si>
  <si>
    <t>10.14.84.201</t>
  </si>
  <si>
    <t>10.14.89.200</t>
  </si>
  <si>
    <t>10.14.8.201</t>
  </si>
  <si>
    <t>10.11.16.200</t>
  </si>
  <si>
    <t>10.11.25.201</t>
  </si>
  <si>
    <t>10.11.92.201</t>
  </si>
  <si>
    <t>10.10.81.200</t>
  </si>
  <si>
    <t>10.10.222.202</t>
  </si>
  <si>
    <t>10.10.170.200</t>
  </si>
  <si>
    <t>10.11.9.203</t>
  </si>
  <si>
    <t>10.11.33.201</t>
  </si>
  <si>
    <t>10.10.41.200</t>
  </si>
  <si>
    <t>10.14.14.200</t>
  </si>
  <si>
    <t>10.11.43.110</t>
  </si>
  <si>
    <t>10.10.31.210</t>
  </si>
  <si>
    <t>10.10.147.200</t>
  </si>
  <si>
    <t>10.10.64.102</t>
  </si>
  <si>
    <t>10.10.209.200</t>
  </si>
  <si>
    <t>10.10.129.203</t>
  </si>
  <si>
    <t>10.10.168.201</t>
  </si>
  <si>
    <t>10.10.153.202</t>
  </si>
  <si>
    <t>10.11.23.200</t>
  </si>
  <si>
    <t>10.10.9.201</t>
  </si>
  <si>
    <t>10.14.94.201</t>
  </si>
  <si>
    <t>10.10.68.201</t>
  </si>
  <si>
    <t>10.11.73.201</t>
  </si>
  <si>
    <t>10.11.29.203</t>
  </si>
  <si>
    <t>10.10.160.203</t>
  </si>
  <si>
    <t>10.10.40.200</t>
  </si>
  <si>
    <t>10.11.45.200</t>
  </si>
  <si>
    <t>10.11.10.201</t>
  </si>
  <si>
    <t>10.10.90.200</t>
  </si>
  <si>
    <t>10.14.87.201</t>
  </si>
  <si>
    <t>10.10.48.200</t>
  </si>
  <si>
    <t>10.10.80.201</t>
  </si>
  <si>
    <t>10.10.52.201</t>
  </si>
  <si>
    <t>10.10.65.201</t>
  </si>
  <si>
    <t>10.10.189.201</t>
  </si>
  <si>
    <t>10.14.80.201</t>
  </si>
  <si>
    <t>10.11.98.200</t>
  </si>
  <si>
    <t>10.10.100.110</t>
  </si>
  <si>
    <t>10.10.253.201</t>
  </si>
  <si>
    <t>10.14.90.200</t>
  </si>
  <si>
    <t>10.11.37.200</t>
  </si>
  <si>
    <t>10.10.211.200</t>
  </si>
  <si>
    <t>10.14.93.203</t>
  </si>
  <si>
    <t>10.10.151.201</t>
  </si>
  <si>
    <t>10.10.194.202</t>
  </si>
  <si>
    <t>10.10.162.200</t>
  </si>
  <si>
    <t>10.10.110.200</t>
  </si>
  <si>
    <t>10.10.72.200</t>
  </si>
  <si>
    <t>10.11.22.201</t>
  </si>
  <si>
    <t>10.10.42.203</t>
  </si>
  <si>
    <t>10.10.55.200</t>
  </si>
  <si>
    <t>10.10.165.202</t>
  </si>
  <si>
    <t>10.14.21.200</t>
  </si>
  <si>
    <t>10.10.222.200</t>
  </si>
  <si>
    <t>10.10.146.200</t>
  </si>
  <si>
    <t>10.10.34.201</t>
  </si>
  <si>
    <t>10.14.19.201</t>
  </si>
  <si>
    <t>10.11.3.202</t>
  </si>
  <si>
    <t>10.14.85.202</t>
  </si>
  <si>
    <t>10.10.147.201</t>
  </si>
  <si>
    <t>10.11.17.208</t>
  </si>
  <si>
    <t>10.10.159.200</t>
  </si>
  <si>
    <t>10.14.12.201</t>
  </si>
  <si>
    <t>10.10.75.202</t>
  </si>
  <si>
    <t>10.10.12.200</t>
  </si>
  <si>
    <t>10.10.81.208</t>
  </si>
  <si>
    <t>10.10.23.201</t>
  </si>
  <si>
    <t>10.10.211.201</t>
  </si>
  <si>
    <t>10.10.144.203</t>
  </si>
  <si>
    <t>10.10.25.200</t>
  </si>
  <si>
    <t>10.10.93.202</t>
  </si>
  <si>
    <t>10.10.3.201</t>
  </si>
  <si>
    <t>10.10.144.204</t>
  </si>
  <si>
    <t>10.10.77.10</t>
  </si>
  <si>
    <t>10.11.26.201</t>
  </si>
  <si>
    <t>10.10.197.203</t>
  </si>
  <si>
    <t>10.10.13.200</t>
  </si>
  <si>
    <t>10.10.100.208</t>
  </si>
  <si>
    <t>10.11.12.200</t>
  </si>
  <si>
    <t>10.14.93.204</t>
  </si>
  <si>
    <t>10.10.81.201</t>
  </si>
  <si>
    <t>10.14.86.201</t>
  </si>
  <si>
    <t>10.10.25.201</t>
  </si>
  <si>
    <t>10.10.171.10</t>
  </si>
  <si>
    <t>10.10.127.203</t>
  </si>
  <si>
    <t>10.10.112.200</t>
  </si>
  <si>
    <t>10.10.100.202</t>
  </si>
  <si>
    <t>10.14.16.201</t>
  </si>
  <si>
    <t>10.11.71.202</t>
  </si>
  <si>
    <t>10.10.227.200</t>
  </si>
  <si>
    <t>10.10.150.202</t>
  </si>
  <si>
    <t>10.14.86.202</t>
  </si>
  <si>
    <t>10.10.120.200</t>
  </si>
  <si>
    <t>10.10.108.203</t>
  </si>
  <si>
    <t>10.10.76.200</t>
  </si>
  <si>
    <t>10.11.73.203</t>
  </si>
  <si>
    <t>10.14.13.200</t>
  </si>
  <si>
    <t>10.10.150.201</t>
  </si>
  <si>
    <t>10.10.108.200</t>
  </si>
  <si>
    <t>10.11.19.200</t>
  </si>
  <si>
    <t>10.10.169.200</t>
  </si>
  <si>
    <t>10.11.13.200</t>
  </si>
  <si>
    <t>10.10.209.201</t>
  </si>
  <si>
    <t>10.10.240.200</t>
  </si>
  <si>
    <t>10.10.53.200</t>
  </si>
  <si>
    <t>10.10.166.200</t>
  </si>
  <si>
    <t>10.14.44.201</t>
  </si>
  <si>
    <t>10.11.5.202</t>
  </si>
  <si>
    <t>10.11.100.200</t>
  </si>
  <si>
    <t>10.14.19.202</t>
  </si>
  <si>
    <t>10.14.47.202</t>
  </si>
  <si>
    <t>10.10.146.201</t>
  </si>
  <si>
    <t>10.11.67.225</t>
  </si>
  <si>
    <t>10.10.168.202</t>
  </si>
  <si>
    <t>10.10.85.202</t>
  </si>
  <si>
    <t>10.10.135.201</t>
  </si>
  <si>
    <t>10.10.129.201</t>
  </si>
  <si>
    <t>10.10.6.202</t>
  </si>
  <si>
    <t>10.10.50.200</t>
  </si>
  <si>
    <t>10.11.97.200</t>
  </si>
  <si>
    <t>10.10.8.200</t>
  </si>
  <si>
    <t>10.10.227.204</t>
  </si>
  <si>
    <t>10.14.8.200</t>
  </si>
  <si>
    <t>10.10.206.203</t>
  </si>
  <si>
    <t>10.10.91.202</t>
  </si>
  <si>
    <t>10.14.68.201</t>
  </si>
  <si>
    <t>10.10.186.201</t>
  </si>
  <si>
    <t>10.10.253.203</t>
  </si>
  <si>
    <t>10.10.170.202</t>
  </si>
  <si>
    <t>10.10.78.201</t>
  </si>
  <si>
    <t>10.11.29.202</t>
  </si>
  <si>
    <t>10.10.233.200</t>
  </si>
  <si>
    <t>10.10.9.200</t>
  </si>
  <si>
    <t>10.10.180.204</t>
  </si>
  <si>
    <t>10.10.73.210</t>
  </si>
  <si>
    <t>10.11.9.201</t>
  </si>
  <si>
    <t>10.10.16.201</t>
  </si>
  <si>
    <t>10.11.19.201</t>
  </si>
  <si>
    <t>10.10.68.200</t>
  </si>
  <si>
    <t>10.10.201.200</t>
  </si>
  <si>
    <t>10.10.142.200</t>
  </si>
  <si>
    <t>10.10.10.201</t>
  </si>
  <si>
    <t>10.10.23.200</t>
  </si>
  <si>
    <t>10.10.230.203</t>
  </si>
  <si>
    <t>10.10.186.203</t>
  </si>
  <si>
    <t>10.11.72.202</t>
  </si>
  <si>
    <t>10.10.211.209</t>
  </si>
  <si>
    <t>10.10.84.202</t>
  </si>
  <si>
    <t>10.10.253.202</t>
  </si>
  <si>
    <t>10.10.60.200</t>
  </si>
  <si>
    <t>10.11.15.201</t>
  </si>
  <si>
    <t>10.10.185.200</t>
  </si>
  <si>
    <t>10.10.97.200</t>
  </si>
  <si>
    <t>10.10.181.201</t>
  </si>
  <si>
    <t>10.10.186.200</t>
  </si>
  <si>
    <t>10.10.162.202</t>
  </si>
  <si>
    <t>10.10.145.202</t>
  </si>
  <si>
    <t>10.14.47.201</t>
  </si>
  <si>
    <t>10.10.44.201</t>
  </si>
  <si>
    <t>10.11.40.201</t>
  </si>
  <si>
    <t>10.10.12.202</t>
  </si>
  <si>
    <t>10.10.3.200</t>
  </si>
  <si>
    <t>10.11.36.200</t>
  </si>
  <si>
    <t>10.11.29.201</t>
  </si>
  <si>
    <t>10.14.47.204</t>
  </si>
  <si>
    <t>10.10.89.200</t>
  </si>
  <si>
    <t>10.10.188.201</t>
  </si>
  <si>
    <t>10.10.244.200</t>
  </si>
  <si>
    <t>10.10.139.200</t>
  </si>
  <si>
    <t>10.11.23.203</t>
  </si>
  <si>
    <t>10.14.93.201</t>
  </si>
  <si>
    <t>10.10.16.200</t>
  </si>
  <si>
    <t>10.10.211.202</t>
  </si>
  <si>
    <t>10.11.35.200</t>
  </si>
  <si>
    <t>10.14.3.200</t>
  </si>
  <si>
    <t>10.10.180.203</t>
  </si>
  <si>
    <t>10.10.111.200</t>
  </si>
  <si>
    <t>10.11.31.201</t>
  </si>
  <si>
    <t>10.11.101.201</t>
  </si>
  <si>
    <t>10.10.8.201</t>
  </si>
  <si>
    <t>10.10.246.201</t>
  </si>
  <si>
    <t>10.10.11.200</t>
  </si>
  <si>
    <t>10.10.11.201</t>
  </si>
  <si>
    <t>10.10.128.230</t>
  </si>
  <si>
    <t>10.10.135.203</t>
  </si>
  <si>
    <t>10.10.152.201</t>
  </si>
  <si>
    <t>10.10.154.200</t>
  </si>
  <si>
    <t>10.10.158.200</t>
  </si>
  <si>
    <t>10.10.158.201</t>
  </si>
  <si>
    <t>10.10.165.203</t>
  </si>
  <si>
    <t>10.10.167.200</t>
  </si>
  <si>
    <t>10.10.179.200</t>
  </si>
  <si>
    <t>10.10.228.200</t>
  </si>
  <si>
    <t>10.10.252.200</t>
  </si>
  <si>
    <t>10.10.252.202</t>
  </si>
  <si>
    <t>10.10.33.201</t>
  </si>
  <si>
    <t>10.10.52.202</t>
  </si>
  <si>
    <t>10.10.56.200</t>
  </si>
  <si>
    <t>10.10.60.201</t>
  </si>
  <si>
    <t>10.10.71.202</t>
  </si>
  <si>
    <t>10.10.74.200</t>
  </si>
  <si>
    <t>10.10.75.200</t>
  </si>
  <si>
    <t>10.10.93.200</t>
  </si>
  <si>
    <t>10.11.12.201</t>
  </si>
  <si>
    <t>10.11.29.204</t>
  </si>
  <si>
    <t>10.11.39.200</t>
  </si>
  <si>
    <t>10.11.39.201</t>
  </si>
  <si>
    <t>10.11.67.226</t>
  </si>
  <si>
    <t>10.11.83.200</t>
  </si>
  <si>
    <t>10.14.18.200</t>
  </si>
  <si>
    <t>10.14.3.201</t>
  </si>
  <si>
    <t>10.14.5.201</t>
  </si>
  <si>
    <t>10.14.51.200</t>
  </si>
  <si>
    <t>10.14.58.200</t>
  </si>
  <si>
    <t>10.14.9.200</t>
  </si>
  <si>
    <t>10.14.72.200</t>
  </si>
  <si>
    <t>10.10.88.201</t>
  </si>
  <si>
    <t>10.10.1.200</t>
  </si>
  <si>
    <t>Observaciones</t>
  </si>
  <si>
    <t>10.10.159.201</t>
  </si>
  <si>
    <t>10.10.17.201</t>
  </si>
  <si>
    <t>10.10.252.201</t>
  </si>
  <si>
    <t>10.10.77.201</t>
  </si>
  <si>
    <t>10.10.80.200</t>
  </si>
  <si>
    <t>10.11.30.204</t>
  </si>
  <si>
    <t>10.14.11.200</t>
  </si>
  <si>
    <t>10.14.7.201</t>
  </si>
  <si>
    <t>10.10.161.203</t>
  </si>
  <si>
    <t>10.10.161.212</t>
  </si>
  <si>
    <t>10.10.83.201</t>
  </si>
  <si>
    <t>10.10.95.200</t>
  </si>
  <si>
    <t>10.11.23.201</t>
  </si>
  <si>
    <t>10.10.206.204</t>
  </si>
  <si>
    <t>10.11.29.205</t>
  </si>
  <si>
    <t>Contador Mensual</t>
  </si>
  <si>
    <t>10.10.206.206</t>
  </si>
  <si>
    <t>10.11.7.200</t>
  </si>
  <si>
    <t>10.11.7.201</t>
  </si>
  <si>
    <t>10.10.211.215</t>
  </si>
  <si>
    <t>10.10.10.200</t>
  </si>
  <si>
    <t>10.14.81.201</t>
  </si>
  <si>
    <t>10.10.168.203</t>
  </si>
  <si>
    <t>10.10.83.203</t>
  </si>
  <si>
    <t>Region</t>
  </si>
  <si>
    <t>Nombre Oficina</t>
  </si>
  <si>
    <t>Codigo de Oficina</t>
  </si>
  <si>
    <t>Nombre de Host Oficina</t>
  </si>
  <si>
    <t>DisplayName</t>
  </si>
  <si>
    <t>Serial</t>
  </si>
  <si>
    <t>Andina</t>
  </si>
  <si>
    <t>Av. Las Américas</t>
  </si>
  <si>
    <t>9875MFAP01</t>
  </si>
  <si>
    <t>Canon iR1025</t>
  </si>
  <si>
    <t>Barrio Obrero</t>
  </si>
  <si>
    <t>9963MFTQ01</t>
  </si>
  <si>
    <t>9963MFAP01</t>
  </si>
  <si>
    <t>Canon iR2525</t>
  </si>
  <si>
    <t>Coloncito</t>
  </si>
  <si>
    <t>9874MFAP01</t>
  </si>
  <si>
    <t>Ejido</t>
  </si>
  <si>
    <t>9864MFGE01</t>
  </si>
  <si>
    <t>9864MFAP01</t>
  </si>
  <si>
    <t>El Vigia</t>
  </si>
  <si>
    <t>9855MFGE01</t>
  </si>
  <si>
    <t>9855MFAP01</t>
  </si>
  <si>
    <t xml:space="preserve">Glorias Patrias </t>
  </si>
  <si>
    <t>9836MFAP01</t>
  </si>
  <si>
    <t>La Concordia</t>
  </si>
  <si>
    <t>9837MFTQ01</t>
  </si>
  <si>
    <t>9837MFAP01</t>
  </si>
  <si>
    <t>Las Tapias</t>
  </si>
  <si>
    <t>Mérida</t>
  </si>
  <si>
    <t>9822MFGE01</t>
  </si>
  <si>
    <t>9837MFOT01</t>
  </si>
  <si>
    <t>Paramillo</t>
  </si>
  <si>
    <t>9877MFGE01</t>
  </si>
  <si>
    <t xml:space="preserve">Andina </t>
  </si>
  <si>
    <t>9892MFAP01</t>
  </si>
  <si>
    <t>San Cristobal II</t>
  </si>
  <si>
    <t>9822MFAP01</t>
  </si>
  <si>
    <t>Tovar</t>
  </si>
  <si>
    <t>9869MFGE01</t>
  </si>
  <si>
    <t>9877MFAP01</t>
  </si>
  <si>
    <t>Sambil San Cristobal</t>
  </si>
  <si>
    <t>9947MFAP01</t>
  </si>
  <si>
    <t>San Cristobal</t>
  </si>
  <si>
    <t>9821MFAP01</t>
  </si>
  <si>
    <t>9836MFGE01</t>
  </si>
  <si>
    <t>9895MFAP01</t>
  </si>
  <si>
    <t>FRU83049</t>
  </si>
  <si>
    <t>9837MFGE01</t>
  </si>
  <si>
    <t>San Juan De Colon</t>
  </si>
  <si>
    <t>9876MFAP01</t>
  </si>
  <si>
    <t>Tariba</t>
  </si>
  <si>
    <t>9873MFAP01</t>
  </si>
  <si>
    <t>9821MFGE01</t>
  </si>
  <si>
    <t>DRL64098</t>
  </si>
  <si>
    <t>9869MFAP01</t>
  </si>
  <si>
    <t>Carabobo</t>
  </si>
  <si>
    <t>Alianza Mall Guacara</t>
  </si>
  <si>
    <t>9485MFAP01</t>
  </si>
  <si>
    <t>Av. Bolivar - Valencia</t>
  </si>
  <si>
    <t>9471MFAP01</t>
  </si>
  <si>
    <t>9471MFGE01</t>
  </si>
  <si>
    <t>Bejuma</t>
  </si>
  <si>
    <t>9440MFAP01</t>
  </si>
  <si>
    <t>9440MFEN01</t>
  </si>
  <si>
    <t>Centro Cientifico Metropolitano del Norte</t>
  </si>
  <si>
    <t>9481MFAP01</t>
  </si>
  <si>
    <t>CM Dr Rafael Guerra Mendez</t>
  </si>
  <si>
    <t>9484MFAP01</t>
  </si>
  <si>
    <t>9484MFCO01</t>
  </si>
  <si>
    <t>El Palito</t>
  </si>
  <si>
    <t>9473MFAP01</t>
  </si>
  <si>
    <t>El Recreo</t>
  </si>
  <si>
    <t>9425MFAP01</t>
  </si>
  <si>
    <t>9425MFTQ01</t>
  </si>
  <si>
    <t>9425MFGE01</t>
  </si>
  <si>
    <t>DRL54956</t>
  </si>
  <si>
    <t>9425MFOT01</t>
  </si>
  <si>
    <t>Firestone</t>
  </si>
  <si>
    <t>9479MFAP01</t>
  </si>
  <si>
    <t>Heinz San Joaquin</t>
  </si>
  <si>
    <t>9474MFAP01</t>
  </si>
  <si>
    <t>Lomas Del Este</t>
  </si>
  <si>
    <t>9420MFGE01</t>
  </si>
  <si>
    <t>9420MFTQ01</t>
  </si>
  <si>
    <t>Lomas del Este</t>
  </si>
  <si>
    <t>9420MFCC01</t>
  </si>
  <si>
    <t>9420MFAP01</t>
  </si>
  <si>
    <t>9414MFAP01</t>
  </si>
  <si>
    <t>Plaza Bolivar</t>
  </si>
  <si>
    <t>9410MFAP01</t>
  </si>
  <si>
    <t>Plaza Flores</t>
  </si>
  <si>
    <t>9469MFAP01</t>
  </si>
  <si>
    <t>Protinal</t>
  </si>
  <si>
    <t>9417MFAP01</t>
  </si>
  <si>
    <t>Puerto Cabello</t>
  </si>
  <si>
    <t>9470MFGE01</t>
  </si>
  <si>
    <t>9470MFAP01</t>
  </si>
  <si>
    <t>Sambil Valencia</t>
  </si>
  <si>
    <t>9461MFAP01</t>
  </si>
  <si>
    <t>9461MFTQ01</t>
  </si>
  <si>
    <t>San Blas</t>
  </si>
  <si>
    <t>9430MFAP01</t>
  </si>
  <si>
    <t>San Carlos</t>
  </si>
  <si>
    <t>9472MFGE01</t>
  </si>
  <si>
    <t>9472MFAP01</t>
  </si>
  <si>
    <t>San Diego</t>
  </si>
  <si>
    <t>9467MFCO01</t>
  </si>
  <si>
    <t>Shopping Center</t>
  </si>
  <si>
    <t>9405MFCO01</t>
  </si>
  <si>
    <t>Valencia Norte</t>
  </si>
  <si>
    <t>9429MFCO01</t>
  </si>
  <si>
    <t>Vicson</t>
  </si>
  <si>
    <t>9477MFAP01</t>
  </si>
  <si>
    <t>Zona Industrial - Valencia</t>
  </si>
  <si>
    <t>9415MFGE01</t>
  </si>
  <si>
    <t>9415MFAP01</t>
  </si>
  <si>
    <t>Centro</t>
  </si>
  <si>
    <t>Av. Aragua - Maracay</t>
  </si>
  <si>
    <t xml:space="preserve">Centro </t>
  </si>
  <si>
    <t>9393MFAP01</t>
  </si>
  <si>
    <t>Cagua</t>
  </si>
  <si>
    <t>9340MFAP01</t>
  </si>
  <si>
    <t>Calabozo</t>
  </si>
  <si>
    <t>9392MFAP01</t>
  </si>
  <si>
    <t>9392MFGE01</t>
  </si>
  <si>
    <t>Cervecería Regional</t>
  </si>
  <si>
    <t>9399MFAP01</t>
  </si>
  <si>
    <t>Colonia Tovar</t>
  </si>
  <si>
    <t>9336MFAP01</t>
  </si>
  <si>
    <t>El Palmar</t>
  </si>
  <si>
    <t>9374MFCO01</t>
  </si>
  <si>
    <t>DRL64147</t>
  </si>
  <si>
    <t>Girardot</t>
  </si>
  <si>
    <t>9396MFAP01</t>
  </si>
  <si>
    <t>La Morita</t>
  </si>
  <si>
    <t>9397MFAP01</t>
  </si>
  <si>
    <t>La Victoria</t>
  </si>
  <si>
    <t>9330MFAP01</t>
  </si>
  <si>
    <t>9330MFEN01</t>
  </si>
  <si>
    <t xml:space="preserve">Las Delicias </t>
  </si>
  <si>
    <t>9312MFAP01</t>
  </si>
  <si>
    <t>9312MFOT01</t>
  </si>
  <si>
    <t>9312MFRH01</t>
  </si>
  <si>
    <t>Las Tejerias</t>
  </si>
  <si>
    <t>9311MFAP01</t>
  </si>
  <si>
    <t>DRL52641</t>
  </si>
  <si>
    <t>Makro Maracay</t>
  </si>
  <si>
    <t>9381MFAP01</t>
  </si>
  <si>
    <t>Maracay</t>
  </si>
  <si>
    <t>9310MFHP01</t>
  </si>
  <si>
    <t>9310MFCO01</t>
  </si>
  <si>
    <t>Maracay II</t>
  </si>
  <si>
    <t>9388MFAP01</t>
  </si>
  <si>
    <t>Plumrose - Cagua</t>
  </si>
  <si>
    <t>9382MFAP01</t>
  </si>
  <si>
    <t>San Juan De Los Morros</t>
  </si>
  <si>
    <t>San Fernando De Apure</t>
  </si>
  <si>
    <t>9360MFAP01</t>
  </si>
  <si>
    <t>9370MTAP01</t>
  </si>
  <si>
    <t>Seravica</t>
  </si>
  <si>
    <t>9341MFAP01</t>
  </si>
  <si>
    <t>Tucupido</t>
  </si>
  <si>
    <t>9350MFGE01</t>
  </si>
  <si>
    <t>9350MFAP01</t>
  </si>
  <si>
    <t>Villa de Cura</t>
  </si>
  <si>
    <t>9390MFGE01</t>
  </si>
  <si>
    <t>Turmero</t>
  </si>
  <si>
    <t>9391MFAP01</t>
  </si>
  <si>
    <t>Valle De La Pascua</t>
  </si>
  <si>
    <t>9398MFAP01</t>
  </si>
  <si>
    <t>9390MFAP01</t>
  </si>
  <si>
    <t>9360MFTQ01</t>
  </si>
  <si>
    <t>Zaraza</t>
  </si>
  <si>
    <t>9389MFAP01</t>
  </si>
  <si>
    <t>Centro Occidente</t>
  </si>
  <si>
    <t>Acarigua</t>
  </si>
  <si>
    <t>9845MFAP01</t>
  </si>
  <si>
    <t>FRU40701</t>
  </si>
  <si>
    <t>9845MFGE01</t>
  </si>
  <si>
    <t>Araure</t>
  </si>
  <si>
    <t>9834MFAP01</t>
  </si>
  <si>
    <t>9834MFGE01</t>
  </si>
  <si>
    <t>Av. Lara Barquisimeto</t>
  </si>
  <si>
    <t>9853MFTQ01</t>
  </si>
  <si>
    <t>FRU47919</t>
  </si>
  <si>
    <t>9853MFAP01</t>
  </si>
  <si>
    <t>FRU40771</t>
  </si>
  <si>
    <t>Av. Libertador - Barquisimeto</t>
  </si>
  <si>
    <t>9838MFAP01</t>
  </si>
  <si>
    <t>9838MFGE01</t>
  </si>
  <si>
    <t xml:space="preserve">Barinas  </t>
  </si>
  <si>
    <t>9831MFAP01</t>
  </si>
  <si>
    <t>9831MFGE01</t>
  </si>
  <si>
    <t>Barinas Centro</t>
  </si>
  <si>
    <t>9841MFAP01</t>
  </si>
  <si>
    <t>9841MFGE01</t>
  </si>
  <si>
    <t>Barquisimeto</t>
  </si>
  <si>
    <t>9833MFGE01</t>
  </si>
  <si>
    <t>DRL43591</t>
  </si>
  <si>
    <t>9833MFOT01</t>
  </si>
  <si>
    <t>9833MFAP01</t>
  </si>
  <si>
    <t>Barquisimeto - Este</t>
  </si>
  <si>
    <t>9839MFAP01</t>
  </si>
  <si>
    <t>FRU46152</t>
  </si>
  <si>
    <t>Barquisimeto Centro</t>
  </si>
  <si>
    <t>9408MFGE01</t>
  </si>
  <si>
    <t>9408MFCH01</t>
  </si>
  <si>
    <t>C.C. Buenaventura Acarigua</t>
  </si>
  <si>
    <t>9445MFAP01</t>
  </si>
  <si>
    <t>Cabudare</t>
  </si>
  <si>
    <t>9540</t>
  </si>
  <si>
    <t>Carora</t>
  </si>
  <si>
    <t>9842MFAP01</t>
  </si>
  <si>
    <t>CIMA Barinas</t>
  </si>
  <si>
    <t>9448MFAP01</t>
  </si>
  <si>
    <t>Guanare</t>
  </si>
  <si>
    <t>9832MFGE01</t>
  </si>
  <si>
    <t>9832MFAP01</t>
  </si>
  <si>
    <t>Las Trinitarias</t>
  </si>
  <si>
    <t>9402MFAP01</t>
  </si>
  <si>
    <t>Metropolis Barquisimeto</t>
  </si>
  <si>
    <t>9442MFAP01</t>
  </si>
  <si>
    <t>Quibor</t>
  </si>
  <si>
    <t>9868MFAP01</t>
  </si>
  <si>
    <t>Sambil Barquisimeto</t>
  </si>
  <si>
    <t>9446MFAP01</t>
  </si>
  <si>
    <t>9446MFGE01</t>
  </si>
  <si>
    <t>San Felipe</t>
  </si>
  <si>
    <t>9835MFAP01</t>
  </si>
  <si>
    <t>Terepaima cabudare</t>
  </si>
  <si>
    <t>9444MFAP01</t>
  </si>
  <si>
    <t>Turen</t>
  </si>
  <si>
    <t>9858MFGE01</t>
  </si>
  <si>
    <t>9858MFAP01</t>
  </si>
  <si>
    <t>Metropolitana I</t>
  </si>
  <si>
    <t>Av. Francisco Solano</t>
  </si>
  <si>
    <t>9214MFAP01</t>
  </si>
  <si>
    <t>9214MFCO01</t>
  </si>
  <si>
    <t>Av. Presidente Medina</t>
  </si>
  <si>
    <t>9905MFAP01</t>
  </si>
  <si>
    <t>9905MFTQ01</t>
  </si>
  <si>
    <t>Bello  Monte</t>
  </si>
  <si>
    <t>9272MFGE01</t>
  </si>
  <si>
    <t>9272MFAP01</t>
  </si>
  <si>
    <t>C.C. Galerias El Recreo</t>
  </si>
  <si>
    <t>9955MFAP01</t>
  </si>
  <si>
    <t>Campo Alegre</t>
  </si>
  <si>
    <t>9970MFAP01</t>
  </si>
  <si>
    <t>9970MFCO01</t>
  </si>
  <si>
    <t>Casa Bera</t>
  </si>
  <si>
    <t>9203MFAP01</t>
  </si>
  <si>
    <t>9203MFGE01</t>
  </si>
  <si>
    <t>DRL38009</t>
  </si>
  <si>
    <t>Centro Médico II</t>
  </si>
  <si>
    <t>9914MFAP01</t>
  </si>
  <si>
    <t>Centro Sambil II</t>
  </si>
  <si>
    <t>9924MFAP01</t>
  </si>
  <si>
    <t>Chacao</t>
  </si>
  <si>
    <t>9234MFGE01</t>
  </si>
  <si>
    <t>9234MFAP01</t>
  </si>
  <si>
    <t>Country Club</t>
  </si>
  <si>
    <t>9941MFAP01</t>
  </si>
  <si>
    <t>Canon IR1025</t>
  </si>
  <si>
    <t>El Rosal</t>
  </si>
  <si>
    <t>9224MFGE01</t>
  </si>
  <si>
    <t>9224MFTQ01</t>
  </si>
  <si>
    <t>9224MFAP01</t>
  </si>
  <si>
    <t>Hosp. Clinicas Caracas</t>
  </si>
  <si>
    <t>9935MFAP01</t>
  </si>
  <si>
    <t>I.E.S.A</t>
  </si>
  <si>
    <t>La Candelaria</t>
  </si>
  <si>
    <t>9252MFAP01</t>
  </si>
  <si>
    <t>9252MFCO01</t>
  </si>
  <si>
    <t>La Castellana</t>
  </si>
  <si>
    <t>9259MFAP01</t>
  </si>
  <si>
    <t>La Florida</t>
  </si>
  <si>
    <t>9222MFEN01</t>
  </si>
  <si>
    <t>9222MFTQ01</t>
  </si>
  <si>
    <t>9222MFAP01</t>
  </si>
  <si>
    <t>La Pelota</t>
  </si>
  <si>
    <t>9235MFAP01</t>
  </si>
  <si>
    <t>9235MFEN01</t>
  </si>
  <si>
    <t>Los Chaguaramos</t>
  </si>
  <si>
    <t>9304MFAP01</t>
  </si>
  <si>
    <t>Principal</t>
  </si>
  <si>
    <t>9217MFAP01</t>
  </si>
  <si>
    <t>9217MFGE01</t>
  </si>
  <si>
    <t>Sabana Grande</t>
  </si>
  <si>
    <t>9213MFAP01</t>
  </si>
  <si>
    <t>San Bernardino</t>
  </si>
  <si>
    <t>9216MFCO01</t>
  </si>
  <si>
    <t>9216MFAP01</t>
  </si>
  <si>
    <t>San Ignacio</t>
  </si>
  <si>
    <t>9269MFAP01</t>
  </si>
  <si>
    <t>Santa Mónica</t>
  </si>
  <si>
    <t>9232MFAP01</t>
  </si>
  <si>
    <t>Seguros Mercantil</t>
  </si>
  <si>
    <t>9936MFCO01</t>
  </si>
  <si>
    <t>Metropolitana II</t>
  </si>
  <si>
    <t>Aeropuerto Simon Bolivar</t>
  </si>
  <si>
    <t>9342MFAP01</t>
  </si>
  <si>
    <t>Av. España</t>
  </si>
  <si>
    <t>9261MTAP01</t>
  </si>
  <si>
    <t>C. C. Uslar</t>
  </si>
  <si>
    <t>9907MFAP01</t>
  </si>
  <si>
    <t>Caraballeda</t>
  </si>
  <si>
    <t>9268MFAP01</t>
  </si>
  <si>
    <t>DRL38007</t>
  </si>
  <si>
    <t>Caricuao</t>
  </si>
  <si>
    <t>9263MFAP01</t>
  </si>
  <si>
    <t>Catia La Mar</t>
  </si>
  <si>
    <t>9226MFAP01</t>
  </si>
  <si>
    <t>9226MFCO01</t>
  </si>
  <si>
    <t>Charallave</t>
  </si>
  <si>
    <t>9250MFAP01</t>
  </si>
  <si>
    <t>Coche</t>
  </si>
  <si>
    <t>9293MFAP01</t>
  </si>
  <si>
    <t>9293MFGE01</t>
  </si>
  <si>
    <t>Cua</t>
  </si>
  <si>
    <t>9298MFAP01</t>
  </si>
  <si>
    <t>9298MFEN01</t>
  </si>
  <si>
    <t>La Cascada</t>
  </si>
  <si>
    <t>9276MFAP01</t>
  </si>
  <si>
    <t>La Casona</t>
  </si>
  <si>
    <t>9246MFAP01</t>
  </si>
  <si>
    <t>9246MFGE01</t>
  </si>
  <si>
    <t>La Guaira</t>
  </si>
  <si>
    <t>9241MFAP01</t>
  </si>
  <si>
    <t>9241MFGE01</t>
  </si>
  <si>
    <t>La Yaguara</t>
  </si>
  <si>
    <t>9297MFAP01</t>
  </si>
  <si>
    <t>9297MFGE01</t>
  </si>
  <si>
    <t>9292MFGE01</t>
  </si>
  <si>
    <t>9292MFAP01</t>
  </si>
  <si>
    <t>Los Teques II</t>
  </si>
  <si>
    <t>9345MFAP01</t>
  </si>
  <si>
    <t>Maiquetia</t>
  </si>
  <si>
    <t>9906MFAP01</t>
  </si>
  <si>
    <t>Multiplazas El Paraiso</t>
  </si>
  <si>
    <t>9264MFAP01</t>
  </si>
  <si>
    <t>9264</t>
  </si>
  <si>
    <t>9264MFEN01</t>
  </si>
  <si>
    <t>9264MFTQ01</t>
  </si>
  <si>
    <t>Prado De Maria</t>
  </si>
  <si>
    <t>9212MFAP01</t>
  </si>
  <si>
    <t>9212MFGE01</t>
  </si>
  <si>
    <t>Propatria</t>
  </si>
  <si>
    <t>9349MFAP01</t>
  </si>
  <si>
    <t>Quinta Crespo</t>
  </si>
  <si>
    <t>9299MFAP01</t>
  </si>
  <si>
    <t>DRL51893</t>
  </si>
  <si>
    <t>R.C.T.V.</t>
  </si>
  <si>
    <t>9937MFAP01</t>
  </si>
  <si>
    <t>San Francisco (H)</t>
  </si>
  <si>
    <t>9211MFAP01</t>
  </si>
  <si>
    <t>9211MFGE01</t>
  </si>
  <si>
    <t>9211MFAP02</t>
  </si>
  <si>
    <t>9211MFEN01</t>
  </si>
  <si>
    <t>DRL51898</t>
  </si>
  <si>
    <t>San Martin</t>
  </si>
  <si>
    <t>9253MFAP01</t>
  </si>
  <si>
    <t>Ucab</t>
  </si>
  <si>
    <t>9929MFAP01</t>
  </si>
  <si>
    <t>Metropolitana III</t>
  </si>
  <si>
    <t>Altamira</t>
  </si>
  <si>
    <t>9221MFAP01</t>
  </si>
  <si>
    <t>9221MFEN01</t>
  </si>
  <si>
    <t>9221MFCU01</t>
  </si>
  <si>
    <t>Boleita</t>
  </si>
  <si>
    <t>9295MFAP01</t>
  </si>
  <si>
    <t>9295MFGE01</t>
  </si>
  <si>
    <t>Buenaventura</t>
  </si>
  <si>
    <t>9908MFTQ01</t>
  </si>
  <si>
    <t>9908MFAP01</t>
  </si>
  <si>
    <t>C. C. Manzanares</t>
  </si>
  <si>
    <t>9932MFAP01</t>
  </si>
  <si>
    <t>C.C. Lider</t>
  </si>
  <si>
    <t>9282MFEN01</t>
  </si>
  <si>
    <t>9282MFAP01</t>
  </si>
  <si>
    <t>9282MFGE01</t>
  </si>
  <si>
    <t>C.C. Milenium</t>
  </si>
  <si>
    <t>9911MFAP01</t>
  </si>
  <si>
    <t>9911MFGE01</t>
  </si>
  <si>
    <t>C.C.C.T. II</t>
  </si>
  <si>
    <t>9441MFAP01</t>
  </si>
  <si>
    <t>9441MFTQ01</t>
  </si>
  <si>
    <t>C.C. Tolon las Mercedes</t>
  </si>
  <si>
    <t>9270MFAP01</t>
  </si>
  <si>
    <t>9270MFGE01</t>
  </si>
  <si>
    <t>Centro Plaza</t>
  </si>
  <si>
    <t>9294MFAP01</t>
  </si>
  <si>
    <t>9294MFTQ01</t>
  </si>
  <si>
    <t>9294MFGE01</t>
  </si>
  <si>
    <t>Chuao</t>
  </si>
  <si>
    <t>9271MFGE01</t>
  </si>
  <si>
    <t>9271MTAP01</t>
  </si>
  <si>
    <t>9271MFBP01</t>
  </si>
  <si>
    <t>9271MFTQ01</t>
  </si>
  <si>
    <t>DRL43584</t>
  </si>
  <si>
    <t>Clinica Santa Sofia</t>
  </si>
  <si>
    <t>9395MFCO01</t>
  </si>
  <si>
    <t>CMD La Trinidad</t>
  </si>
  <si>
    <t>9940MFAP01</t>
  </si>
  <si>
    <t>Concresa</t>
  </si>
  <si>
    <t>9231MFAP01</t>
  </si>
  <si>
    <t>9231MFGE01</t>
  </si>
  <si>
    <t>9231MFTQ01</t>
  </si>
  <si>
    <t>Corporación Andina De Fomento (CAF)</t>
  </si>
  <si>
    <t>9260MFAP01</t>
  </si>
  <si>
    <t>El Placer</t>
  </si>
  <si>
    <t>9233MFAP01</t>
  </si>
  <si>
    <t>Filas De Mariche</t>
  </si>
  <si>
    <t>9288MFAP01</t>
  </si>
  <si>
    <t>Guarenas</t>
  </si>
  <si>
    <t>9291MFAP01</t>
  </si>
  <si>
    <t>9291MFTQ01</t>
  </si>
  <si>
    <t>DRL54290</t>
  </si>
  <si>
    <t>Guatire</t>
  </si>
  <si>
    <t>9227MFGE01</t>
  </si>
  <si>
    <t>9227MFAP01</t>
  </si>
  <si>
    <t>Higuerote</t>
  </si>
  <si>
    <t>9290MFAP01</t>
  </si>
  <si>
    <t>9290MFTQ01</t>
  </si>
  <si>
    <t>La Lagunita</t>
  </si>
  <si>
    <t>9249MFGE01</t>
  </si>
  <si>
    <t>9249MFAP01</t>
  </si>
  <si>
    <t>La Trinidad</t>
  </si>
  <si>
    <t>9228MFAP01</t>
  </si>
  <si>
    <t>La Urbina</t>
  </si>
  <si>
    <t>9284MFAP01</t>
  </si>
  <si>
    <t>FRU38037</t>
  </si>
  <si>
    <t>9284MFGE01</t>
  </si>
  <si>
    <t>Las Mercedes</t>
  </si>
  <si>
    <t>9225MFAP01</t>
  </si>
  <si>
    <t>9225MFCO01</t>
  </si>
  <si>
    <t>Los Palos Grandes</t>
  </si>
  <si>
    <t>9229MFGE01</t>
  </si>
  <si>
    <t>9229MFAP01</t>
  </si>
  <si>
    <t>Los Ruices</t>
  </si>
  <si>
    <t>9238MFAP01</t>
  </si>
  <si>
    <t>FRU82176</t>
  </si>
  <si>
    <t>Macaracuay</t>
  </si>
  <si>
    <t>9283MFAP01</t>
  </si>
  <si>
    <t>9283MFGE01</t>
  </si>
  <si>
    <t>Makro - La Urbina</t>
  </si>
  <si>
    <t>9275MFAP01</t>
  </si>
  <si>
    <t>Plaza Francia</t>
  </si>
  <si>
    <t>9394MFAP01</t>
  </si>
  <si>
    <t>Plaza Las Americas</t>
  </si>
  <si>
    <t>9289MFAP01</t>
  </si>
  <si>
    <t>9289MFTQ01</t>
  </si>
  <si>
    <t>Plumrose - Los Ruices</t>
  </si>
  <si>
    <t>9933MFAP01</t>
  </si>
  <si>
    <t>Santa Fe</t>
  </si>
  <si>
    <t>9915MFGE01</t>
  </si>
  <si>
    <t>9915MFAP01</t>
  </si>
  <si>
    <t>Taquilla DHL</t>
  </si>
  <si>
    <t>Terrazas Del Ávila</t>
  </si>
  <si>
    <t>9218MFAP01</t>
  </si>
  <si>
    <t>Universidad Metropolitana</t>
  </si>
  <si>
    <t>9927MFAP01</t>
  </si>
  <si>
    <t>Universidad Simon Bolivar</t>
  </si>
  <si>
    <t>9928MFAP01</t>
  </si>
  <si>
    <t>DRL21807</t>
  </si>
  <si>
    <t>Occidente</t>
  </si>
  <si>
    <t>5 De Julio</t>
  </si>
  <si>
    <t>9811MFEN01</t>
  </si>
  <si>
    <t>9811MFCO01</t>
  </si>
  <si>
    <t>5 De Julio II</t>
  </si>
  <si>
    <t>9857MFGE01</t>
  </si>
  <si>
    <t>Bachaquero</t>
  </si>
  <si>
    <t>9843MFAP01</t>
  </si>
  <si>
    <t>Bella Vista</t>
  </si>
  <si>
    <t>9818MFGE01</t>
  </si>
  <si>
    <t>9818MFAP01</t>
  </si>
  <si>
    <t>C. C. Lago Mall</t>
  </si>
  <si>
    <t>9830MFAP01</t>
  </si>
  <si>
    <t>Cabimas</t>
  </si>
  <si>
    <t>9815MFTQ01</t>
  </si>
  <si>
    <t>9815MFAP01</t>
  </si>
  <si>
    <t>9815MFGE01</t>
  </si>
  <si>
    <t>Ciudad Ojeda</t>
  </si>
  <si>
    <t>9816MFAP01</t>
  </si>
  <si>
    <t>9816MFBO01</t>
  </si>
  <si>
    <t>Coro</t>
  </si>
  <si>
    <t>9826MFAP01</t>
  </si>
  <si>
    <t>La Cañada</t>
  </si>
  <si>
    <t>9883MFAP01</t>
  </si>
  <si>
    <t>La Chinita</t>
  </si>
  <si>
    <t>9854MFAP01</t>
  </si>
  <si>
    <t>9854MFGE01</t>
  </si>
  <si>
    <t>DRL54881</t>
  </si>
  <si>
    <t>La Limpia</t>
  </si>
  <si>
    <t>9884MFGE01</t>
  </si>
  <si>
    <t>9884MFAP01</t>
  </si>
  <si>
    <t>Las Galerias</t>
  </si>
  <si>
    <t>9849MFAP01</t>
  </si>
  <si>
    <t>9849MFGE01</t>
  </si>
  <si>
    <t>Las Virtudes</t>
  </si>
  <si>
    <t>9860MFAP01</t>
  </si>
  <si>
    <t>Machiques</t>
  </si>
  <si>
    <t>9820MFAP01</t>
  </si>
  <si>
    <t>9820MFGE01</t>
  </si>
  <si>
    <t>Mene Grande</t>
  </si>
  <si>
    <t>9844MFAP01</t>
  </si>
  <si>
    <t xml:space="preserve">Plaza Alonso De Ojeda </t>
  </si>
  <si>
    <t>9847MFGE01</t>
  </si>
  <si>
    <t>Plaza Republica</t>
  </si>
  <si>
    <t>9813MFAP01</t>
  </si>
  <si>
    <t>Punto Fijo</t>
  </si>
  <si>
    <t>9817MFGE02</t>
  </si>
  <si>
    <t>9817MFAP01</t>
  </si>
  <si>
    <t>9817MFGE01</t>
  </si>
  <si>
    <t>Sambil Maracaibo</t>
  </si>
  <si>
    <t>9878MFAP01</t>
  </si>
  <si>
    <t>9878MFGE01</t>
  </si>
  <si>
    <t>Sambil Paraguana</t>
  </si>
  <si>
    <t>9499MFAP01</t>
  </si>
  <si>
    <t>Santa Bárbara Del Zulia</t>
  </si>
  <si>
    <t>9814MFAP01</t>
  </si>
  <si>
    <t>9814MFGE01</t>
  </si>
  <si>
    <t>Valera</t>
  </si>
  <si>
    <t>9824MFAP01</t>
  </si>
  <si>
    <t>9824MFGE01</t>
  </si>
  <si>
    <t>Valera Centro</t>
  </si>
  <si>
    <t>9801MFGE01</t>
  </si>
  <si>
    <t>9801MFAP01</t>
  </si>
  <si>
    <t>Villa Del Rosario</t>
  </si>
  <si>
    <t>9827MFAP01</t>
  </si>
  <si>
    <t>Zona Industrial - Maracaibo</t>
  </si>
  <si>
    <t>9819MFGE01</t>
  </si>
  <si>
    <t>9819MFAP01</t>
  </si>
  <si>
    <t>Zona Industrial II - Maracaibo</t>
  </si>
  <si>
    <t>9805MFAP01</t>
  </si>
  <si>
    <t>9805MFGE01</t>
  </si>
  <si>
    <t>Oriente</t>
  </si>
  <si>
    <t>4 De Mayo</t>
  </si>
  <si>
    <t>9660MFAP01</t>
  </si>
  <si>
    <t>FRU40597</t>
  </si>
  <si>
    <t>Anaco</t>
  </si>
  <si>
    <t>9580MFEN01</t>
  </si>
  <si>
    <t>9580MFAP01</t>
  </si>
  <si>
    <t>Av. Bermudez Cumana</t>
  </si>
  <si>
    <t>9665MFAP01</t>
  </si>
  <si>
    <t>9665MFGE01</t>
  </si>
  <si>
    <t>Barcelona</t>
  </si>
  <si>
    <t>9560MFGE01</t>
  </si>
  <si>
    <t>DRL64121</t>
  </si>
  <si>
    <t>9560MFTQ01</t>
  </si>
  <si>
    <t>9560MFAP01</t>
  </si>
  <si>
    <t>Boulevard Sucre</t>
  </si>
  <si>
    <t>9678MFTQ01</t>
  </si>
  <si>
    <t>9678MFAP01</t>
  </si>
  <si>
    <t>FRU48558</t>
  </si>
  <si>
    <t>C. C. Caribbean Mall</t>
  </si>
  <si>
    <t>9571MFAP01</t>
  </si>
  <si>
    <t>C.C. Sambil Margarita</t>
  </si>
  <si>
    <t>9555MFAP01</t>
  </si>
  <si>
    <t>Carupano</t>
  </si>
  <si>
    <t>9570MFAP01</t>
  </si>
  <si>
    <t>Corp. Emp. Mitsubishi</t>
  </si>
  <si>
    <t>9583MFAP01</t>
  </si>
  <si>
    <t>Cumana</t>
  </si>
  <si>
    <t>9630MFAP01</t>
  </si>
  <si>
    <t>9630MFTQ01</t>
  </si>
  <si>
    <t>El Tigre</t>
  </si>
  <si>
    <t>9540MFGE01</t>
  </si>
  <si>
    <t>9540MFAP01</t>
  </si>
  <si>
    <t>El Tigrito</t>
  </si>
  <si>
    <t>9681</t>
  </si>
  <si>
    <t>9681MFGE01</t>
  </si>
  <si>
    <t>9681MFAP01</t>
  </si>
  <si>
    <t>Guaraguao</t>
  </si>
  <si>
    <t>9567MFAP01</t>
  </si>
  <si>
    <t>Irapa</t>
  </si>
  <si>
    <t>9640MFAP01</t>
  </si>
  <si>
    <t>Las Garzas</t>
  </si>
  <si>
    <t>9655MFEN01</t>
  </si>
  <si>
    <t>9655MFAP01</t>
  </si>
  <si>
    <t>9655MFTQ01</t>
  </si>
  <si>
    <t>9655MFGE01</t>
  </si>
  <si>
    <t>9655MFGE03</t>
  </si>
  <si>
    <t>DRL37941</t>
  </si>
  <si>
    <t>9655MFOT01</t>
  </si>
  <si>
    <t>DRL51896</t>
  </si>
  <si>
    <t>9655MFBP01</t>
  </si>
  <si>
    <t>Lecherias</t>
  </si>
  <si>
    <t>9538MFAP01</t>
  </si>
  <si>
    <t>Puerto La Cruz</t>
  </si>
  <si>
    <t>9610MFAP01</t>
  </si>
  <si>
    <t>9610MFTQ01</t>
  </si>
  <si>
    <t>9610MFGE01</t>
  </si>
  <si>
    <t xml:space="preserve">Puertos de Sucre </t>
  </si>
  <si>
    <t>9599MFAP01</t>
  </si>
  <si>
    <t>Refinería Pto. La Cruz</t>
  </si>
  <si>
    <t>9541MFTQ01</t>
  </si>
  <si>
    <t>DRL61678</t>
  </si>
  <si>
    <t>San Tome</t>
  </si>
  <si>
    <t>9543MFAP01</t>
  </si>
  <si>
    <t>Terranova</t>
  </si>
  <si>
    <t>9536MFAP01</t>
  </si>
  <si>
    <t>FRU40785</t>
  </si>
  <si>
    <t>9536MFTQ01</t>
  </si>
  <si>
    <t>DRL94590</t>
  </si>
  <si>
    <t>Sur</t>
  </si>
  <si>
    <t>C. C. Monagas Plaza</t>
  </si>
  <si>
    <t>9658MFAP01</t>
  </si>
  <si>
    <t>Caripito</t>
  </si>
  <si>
    <t>Ciudad Bolívar</t>
  </si>
  <si>
    <t>9520MFAP01</t>
  </si>
  <si>
    <t xml:space="preserve">Corp. El Morichal / Maturin    </t>
  </si>
  <si>
    <t>9651MFAP01</t>
  </si>
  <si>
    <t xml:space="preserve">Corp. Punta De Mata </t>
  </si>
  <si>
    <t>9566MTAP01</t>
  </si>
  <si>
    <t>Matanzas</t>
  </si>
  <si>
    <t>9550MFAP01</t>
  </si>
  <si>
    <t>Maturin</t>
  </si>
  <si>
    <t>9530MFAP01</t>
  </si>
  <si>
    <t>Maturin II</t>
  </si>
  <si>
    <t>9615MFEN01</t>
  </si>
  <si>
    <t>9615MFAP01</t>
  </si>
  <si>
    <t>Maturin La Cascada</t>
  </si>
  <si>
    <t>9503MFAP01</t>
  </si>
  <si>
    <t>9503MFTQ01</t>
  </si>
  <si>
    <t>DRL37786</t>
  </si>
  <si>
    <t>Orinokia Mall</t>
  </si>
  <si>
    <t>9504MFAP01</t>
  </si>
  <si>
    <t>Paseo Orinoco</t>
  </si>
  <si>
    <t>9612MFAP01</t>
  </si>
  <si>
    <t>9612MFGE01</t>
  </si>
  <si>
    <t>Puerto Ordaz  - Centro</t>
  </si>
  <si>
    <t xml:space="preserve">Puerto Ordaz Oficina </t>
  </si>
  <si>
    <t>9510MFNE01</t>
  </si>
  <si>
    <t>9510MFAP01</t>
  </si>
  <si>
    <t>9510MFGE02</t>
  </si>
  <si>
    <t>9510MFCO01</t>
  </si>
  <si>
    <t>Punta De Mata - Maturin</t>
  </si>
  <si>
    <t>9647MFAP01</t>
  </si>
  <si>
    <t>9647MFGE01</t>
  </si>
  <si>
    <t>San Felix</t>
  </si>
  <si>
    <t>9650MFAP01</t>
  </si>
  <si>
    <t>9650MFGE01</t>
  </si>
  <si>
    <t>San Simon - Maturin</t>
  </si>
  <si>
    <t>9675MFGE01</t>
  </si>
  <si>
    <t>9675MFAP01</t>
  </si>
  <si>
    <t>Unare - Pto. Ordaz</t>
  </si>
  <si>
    <t>9611MFAP01</t>
  </si>
  <si>
    <t>FRU47913</t>
  </si>
  <si>
    <t>9611MFGE01</t>
  </si>
  <si>
    <t>DRL61547</t>
  </si>
  <si>
    <t>Upata</t>
  </si>
  <si>
    <t>9654MFAP01</t>
  </si>
  <si>
    <t>DRL64138</t>
  </si>
  <si>
    <t>10.10.2.201</t>
  </si>
  <si>
    <t>FRU83008</t>
  </si>
  <si>
    <t>FRU38986</t>
  </si>
  <si>
    <t>FRU83464</t>
  </si>
  <si>
    <t>Oficina cerrada el día 07-02-2018</t>
  </si>
  <si>
    <t>FRU38980</t>
  </si>
  <si>
    <t>DRL64109</t>
  </si>
  <si>
    <t>DRL39190</t>
  </si>
  <si>
    <t>FRU40581</t>
  </si>
  <si>
    <t>FRU40767</t>
  </si>
  <si>
    <t>DRL39440</t>
  </si>
  <si>
    <t>FRU40588</t>
  </si>
  <si>
    <t>DRL39400</t>
  </si>
  <si>
    <t>FRU40583</t>
  </si>
  <si>
    <t>FRU38961</t>
  </si>
  <si>
    <t>DRL39193</t>
  </si>
  <si>
    <t>FRU40700</t>
  </si>
  <si>
    <t>DRL37787</t>
  </si>
  <si>
    <t>DRL37951</t>
  </si>
  <si>
    <t>FRU82548</t>
  </si>
  <si>
    <t>DRL39404</t>
  </si>
  <si>
    <t>FRU38979</t>
  </si>
  <si>
    <t>DRL39198</t>
  </si>
  <si>
    <t>FRU38876</t>
  </si>
  <si>
    <t>DRL39204</t>
  </si>
  <si>
    <t>FRU38977</t>
  </si>
  <si>
    <t>FRU40703</t>
  </si>
  <si>
    <t>FRU38963</t>
  </si>
  <si>
    <t>DRL37944</t>
  </si>
  <si>
    <t>DRL39406</t>
  </si>
  <si>
    <t>FRU40589</t>
  </si>
  <si>
    <t>FRU38964</t>
  </si>
  <si>
    <t>FRU40765</t>
  </si>
  <si>
    <t>FRU38975</t>
  </si>
  <si>
    <t>DRL45570</t>
  </si>
  <si>
    <t>FRU39281</t>
  </si>
  <si>
    <t>DRL39408</t>
  </si>
  <si>
    <t>DRL61553</t>
  </si>
  <si>
    <t>FRU39282</t>
  </si>
  <si>
    <t>DRL43577</t>
  </si>
  <si>
    <t>FRU39277</t>
  </si>
  <si>
    <t>FRU40513</t>
  </si>
  <si>
    <t>DRL39202</t>
  </si>
  <si>
    <t>DRL45542</t>
  </si>
  <si>
    <t>FRU39260</t>
  </si>
  <si>
    <t>FRU37962</t>
  </si>
  <si>
    <t>DRL43476</t>
  </si>
  <si>
    <t>FRU40520</t>
  </si>
  <si>
    <t>DRL45569</t>
  </si>
  <si>
    <t>DRL39437</t>
  </si>
  <si>
    <t>DRL45553</t>
  </si>
  <si>
    <t>DRL39200</t>
  </si>
  <si>
    <t>DRL39438</t>
  </si>
  <si>
    <t>FRU39264</t>
  </si>
  <si>
    <t>FRU39284</t>
  </si>
  <si>
    <t>FRU40486</t>
  </si>
  <si>
    <t>DRL39432</t>
  </si>
  <si>
    <t>DRL39401</t>
  </si>
  <si>
    <t>FRU39280</t>
  </si>
  <si>
    <t>DRL45576</t>
  </si>
  <si>
    <t>FRU40488</t>
  </si>
  <si>
    <t>DRL39405</t>
  </si>
  <si>
    <t>DRL43595</t>
  </si>
  <si>
    <t>FRU39344</t>
  </si>
  <si>
    <t>DRL45572</t>
  </si>
  <si>
    <t>FRU40483</t>
  </si>
  <si>
    <t>DRL64130</t>
  </si>
  <si>
    <t>DRL45434</t>
  </si>
  <si>
    <t>DRL43583</t>
  </si>
  <si>
    <t>FRU39348</t>
  </si>
  <si>
    <t>DRL43594</t>
  </si>
  <si>
    <t>FRU39345</t>
  </si>
  <si>
    <t>FRU38981</t>
  </si>
  <si>
    <t>DRL39403</t>
  </si>
  <si>
    <t>FRU40518</t>
  </si>
  <si>
    <t>FRU40582</t>
  </si>
  <si>
    <t>DRL39446</t>
  </si>
  <si>
    <t>DRL39184</t>
  </si>
  <si>
    <t>DRL37948</t>
  </si>
  <si>
    <t>DRL39426</t>
  </si>
  <si>
    <t>FRU40438</t>
  </si>
  <si>
    <t>FRU40769</t>
  </si>
  <si>
    <t>FRU40702</t>
  </si>
  <si>
    <t>FRU40882</t>
  </si>
  <si>
    <t>DRL54879</t>
  </si>
  <si>
    <t>DRL54001</t>
  </si>
  <si>
    <t>DRL43563</t>
  </si>
  <si>
    <t>FRU40596</t>
  </si>
  <si>
    <t>FRU40591</t>
  </si>
  <si>
    <t>DRL52650</t>
  </si>
  <si>
    <t>FRU48556</t>
  </si>
  <si>
    <t>DRL54002</t>
  </si>
  <si>
    <t>FRU46105</t>
  </si>
  <si>
    <t>FRU40577</t>
  </si>
  <si>
    <t>DRL52661</t>
  </si>
  <si>
    <t>DRL52645</t>
  </si>
  <si>
    <t>FRU47938</t>
  </si>
  <si>
    <t>DRL43574</t>
  </si>
  <si>
    <t>FRU47930</t>
  </si>
  <si>
    <t>DRL52635</t>
  </si>
  <si>
    <t>FRU40705</t>
  </si>
  <si>
    <t>FRU46148</t>
  </si>
  <si>
    <t>DRL52643</t>
  </si>
  <si>
    <t>DRL54904</t>
  </si>
  <si>
    <t>FRU40599</t>
  </si>
  <si>
    <t>FRU47933</t>
  </si>
  <si>
    <t>DRL53972</t>
  </si>
  <si>
    <t>DRL45549</t>
  </si>
  <si>
    <t>FRU46145</t>
  </si>
  <si>
    <t>DRL43558</t>
  </si>
  <si>
    <t>FRU46102</t>
  </si>
  <si>
    <t>FRU47807</t>
  </si>
  <si>
    <t>FRU46113</t>
  </si>
  <si>
    <t>DRL52663</t>
  </si>
  <si>
    <t>FRU46159</t>
  </si>
  <si>
    <t>DRL45551</t>
  </si>
  <si>
    <t>FRU47812</t>
  </si>
  <si>
    <t>DRL53959</t>
  </si>
  <si>
    <t>FRU40653</t>
  </si>
  <si>
    <t>DRL54334</t>
  </si>
  <si>
    <t>DRL53999</t>
  </si>
  <si>
    <t>FRU46157</t>
  </si>
  <si>
    <t>DRL43590</t>
  </si>
  <si>
    <t>FRU40690</t>
  </si>
  <si>
    <t>DRL55643</t>
  </si>
  <si>
    <t>DRL55638</t>
  </si>
  <si>
    <t>FRU40793</t>
  </si>
  <si>
    <t>FRU47917</t>
  </si>
  <si>
    <t>DRL54900</t>
  </si>
  <si>
    <t>FRU46088</t>
  </si>
  <si>
    <t>DRL43598</t>
  </si>
  <si>
    <t>FRU40644</t>
  </si>
  <si>
    <t>FRU47909</t>
  </si>
  <si>
    <t>FRU46144</t>
  </si>
  <si>
    <t>FRU40666</t>
  </si>
  <si>
    <t>DRL51800</t>
  </si>
  <si>
    <t>FRU47922</t>
  </si>
  <si>
    <t>DRL54885</t>
  </si>
  <si>
    <t>FRU47906</t>
  </si>
  <si>
    <t>DRL43608</t>
  </si>
  <si>
    <t>DRL52658</t>
  </si>
  <si>
    <t>DRL54000</t>
  </si>
  <si>
    <t>FRU38166</t>
  </si>
  <si>
    <t>DRL37936</t>
  </si>
  <si>
    <t>FRU38984</t>
  </si>
  <si>
    <t>DRL51016</t>
  </si>
  <si>
    <t>DRL37767</t>
  </si>
  <si>
    <t>FRU38953</t>
  </si>
  <si>
    <t>FRU38959</t>
  </si>
  <si>
    <t>FRU38050</t>
  </si>
  <si>
    <t>DRL37946</t>
  </si>
  <si>
    <t>FRU38983</t>
  </si>
  <si>
    <t>DRL37777</t>
  </si>
  <si>
    <t>FRU38015</t>
  </si>
  <si>
    <t>FRU38976</t>
  </si>
  <si>
    <t>FRU38120</t>
  </si>
  <si>
    <t>DRL37950</t>
  </si>
  <si>
    <t>FRU38962</t>
  </si>
  <si>
    <t>DRL38000</t>
  </si>
  <si>
    <t>DRL37989</t>
  </si>
  <si>
    <t>DRL37947</t>
  </si>
  <si>
    <t>DRL37783</t>
  </si>
  <si>
    <t>FRU38985</t>
  </si>
  <si>
    <t>DRL37997</t>
  </si>
  <si>
    <t>FRU38121</t>
  </si>
  <si>
    <t>FRU37964</t>
  </si>
  <si>
    <t>DRL37942</t>
  </si>
  <si>
    <t>DRL37781</t>
  </si>
  <si>
    <t>FRU38051</t>
  </si>
  <si>
    <t>DRL37788</t>
  </si>
  <si>
    <t>DRL37795</t>
  </si>
  <si>
    <t>FRU38987</t>
  </si>
  <si>
    <t>FRU38033</t>
  </si>
  <si>
    <t>DRL37789</t>
  </si>
  <si>
    <t>FRU38049</t>
  </si>
  <si>
    <t>DRL37752</t>
  </si>
  <si>
    <t>FRU38974</t>
  </si>
  <si>
    <t>DRL37952</t>
  </si>
  <si>
    <t>FRU38954</t>
  </si>
  <si>
    <t>DRL53987</t>
  </si>
  <si>
    <t>FRU40585</t>
  </si>
  <si>
    <t>FRU46130</t>
  </si>
  <si>
    <t>DRL54954</t>
  </si>
  <si>
    <t>DRL54950</t>
  </si>
  <si>
    <t>FRU40854</t>
  </si>
  <si>
    <t>DRL52039</t>
  </si>
  <si>
    <t>FRU40862</t>
  </si>
  <si>
    <t>DRL54294</t>
  </si>
  <si>
    <t>FRU48557</t>
  </si>
  <si>
    <t>DRL43602</t>
  </si>
  <si>
    <t>FRU46112</t>
  </si>
  <si>
    <t>DRL43587</t>
  </si>
  <si>
    <t>FRU46140</t>
  </si>
  <si>
    <t>FRU47901</t>
  </si>
  <si>
    <t>DRL43567</t>
  </si>
  <si>
    <t>FRU40598</t>
  </si>
  <si>
    <t>DRL54932</t>
  </si>
  <si>
    <t>FRU47925</t>
  </si>
  <si>
    <t>DRL54882</t>
  </si>
  <si>
    <t>FRU47895</t>
  </si>
  <si>
    <t>FRU40571</t>
  </si>
  <si>
    <t>FRU48561</t>
  </si>
  <si>
    <t>FRU48560</t>
  </si>
  <si>
    <t>DRL51912</t>
  </si>
  <si>
    <t>FRU46155</t>
  </si>
  <si>
    <t>DRL64127</t>
  </si>
  <si>
    <t>DRL43605</t>
  </si>
  <si>
    <t>FRU48550</t>
  </si>
  <si>
    <t>DRL51897</t>
  </si>
  <si>
    <t>FRU48580</t>
  </si>
  <si>
    <t>FRU48545</t>
  </si>
  <si>
    <t>DRL54054</t>
  </si>
  <si>
    <t>FRU40570</t>
  </si>
  <si>
    <t>DRL54055</t>
  </si>
  <si>
    <t>FRU46126</t>
  </si>
  <si>
    <t>FRU47829</t>
  </si>
  <si>
    <t>DRL51907</t>
  </si>
  <si>
    <t>FRU40772</t>
  </si>
  <si>
    <t>FRU48553</t>
  </si>
  <si>
    <t>DRL52598</t>
  </si>
  <si>
    <t>FRU46101</t>
  </si>
  <si>
    <t>DRL43573</t>
  </si>
  <si>
    <t>FRU47910</t>
  </si>
  <si>
    <t>DRL45558</t>
  </si>
  <si>
    <t>DRL43564</t>
  </si>
  <si>
    <t>FRU47939</t>
  </si>
  <si>
    <t>FRU47914</t>
  </si>
  <si>
    <t>DRL43570</t>
  </si>
  <si>
    <t>FRU82990</t>
  </si>
  <si>
    <t>DRL64126</t>
  </si>
  <si>
    <t>FRU46143</t>
  </si>
  <si>
    <t>DRL54293</t>
  </si>
  <si>
    <t>FRU48555</t>
  </si>
  <si>
    <t>DRL51768</t>
  </si>
  <si>
    <t>FRU48548</t>
  </si>
  <si>
    <t>DRL43547</t>
  </si>
  <si>
    <t>FRU46106</t>
  </si>
  <si>
    <t>FRU40704</t>
  </si>
  <si>
    <t>FRU46107</t>
  </si>
  <si>
    <t>DRL52044</t>
  </si>
  <si>
    <t>DRL43601</t>
  </si>
  <si>
    <t>DRL54343</t>
  </si>
  <si>
    <t>DRL45545</t>
  </si>
  <si>
    <t>DRL43607</t>
  </si>
  <si>
    <t>FRU47942</t>
  </si>
  <si>
    <t>FRU48559</t>
  </si>
  <si>
    <t>DRL43466</t>
  </si>
  <si>
    <t>DRL54280</t>
  </si>
  <si>
    <t>FRU82545</t>
  </si>
  <si>
    <t>FRU82382</t>
  </si>
  <si>
    <t>FRU47921</t>
  </si>
  <si>
    <t>FRU47898</t>
  </si>
  <si>
    <t>FRU40791</t>
  </si>
  <si>
    <t>DRL54340</t>
  </si>
  <si>
    <t>FRU40590</t>
  </si>
  <si>
    <t>FRU47940</t>
  </si>
  <si>
    <t>DRL54292</t>
  </si>
  <si>
    <t>DRL52037</t>
  </si>
  <si>
    <t>FRU47820</t>
  </si>
  <si>
    <t>FRU46149</t>
  </si>
  <si>
    <t>FRU47935</t>
  </si>
  <si>
    <t>DRL51911</t>
  </si>
  <si>
    <t>FRU46116</t>
  </si>
  <si>
    <t>FRU46139</t>
  </si>
  <si>
    <t>DRL52038</t>
  </si>
  <si>
    <t>FRU47920</t>
  </si>
  <si>
    <t>FRU46133</t>
  </si>
  <si>
    <t>DRL52652</t>
  </si>
  <si>
    <t>FRU47916</t>
  </si>
  <si>
    <t>DRL43603</t>
  </si>
  <si>
    <t>FRU46137</t>
  </si>
  <si>
    <t>FRU47937</t>
  </si>
  <si>
    <t>DRL54906</t>
  </si>
  <si>
    <t>DRL52602</t>
  </si>
  <si>
    <t>DRL43557</t>
  </si>
  <si>
    <t>FRU47924</t>
  </si>
  <si>
    <t>DRL54335</t>
  </si>
  <si>
    <t>DRL52642</t>
  </si>
  <si>
    <t>DRL43565</t>
  </si>
  <si>
    <t>FRU40795</t>
  </si>
  <si>
    <t>FRU46136</t>
  </si>
  <si>
    <t>FRU46123</t>
  </si>
  <si>
    <t>DRL52588</t>
  </si>
  <si>
    <t>DRL51789</t>
  </si>
  <si>
    <t>FRU40668</t>
  </si>
  <si>
    <t>FRU46146</t>
  </si>
  <si>
    <t>FRU48547</t>
  </si>
  <si>
    <t>FRU48549</t>
  </si>
  <si>
    <t>DRL54053</t>
  </si>
  <si>
    <t>DRL54955</t>
  </si>
  <si>
    <t>FRU40770</t>
  </si>
  <si>
    <t>DRL52597</t>
  </si>
  <si>
    <t>FRU40587</t>
  </si>
  <si>
    <t>DRL49254</t>
  </si>
  <si>
    <t>FRU47897</t>
  </si>
  <si>
    <t>DRL45563</t>
  </si>
  <si>
    <t>FRU47923</t>
  </si>
  <si>
    <t>DRL43568</t>
  </si>
  <si>
    <t>FRU46128</t>
  </si>
  <si>
    <t>FRU40803</t>
  </si>
  <si>
    <t>DRL49256</t>
  </si>
  <si>
    <t>FRU46117</t>
  </si>
  <si>
    <t>FRU46131</t>
  </si>
  <si>
    <t>DRL52601</t>
  </si>
  <si>
    <t>DRL52041</t>
  </si>
  <si>
    <t>DRL43532</t>
  </si>
  <si>
    <t>FRU47915</t>
  </si>
  <si>
    <t>FRU46104</t>
  </si>
  <si>
    <t>FRU40881</t>
  </si>
  <si>
    <t>DRL52646</t>
  </si>
  <si>
    <t>DRL49252</t>
  </si>
  <si>
    <t>FRU40773</t>
  </si>
  <si>
    <t>DRL45567</t>
  </si>
  <si>
    <t>FRU46150</t>
  </si>
  <si>
    <t>DRL52657</t>
  </si>
  <si>
    <t>FRU47903</t>
  </si>
  <si>
    <t>FRU47912</t>
  </si>
  <si>
    <t>DRL55629</t>
  </si>
  <si>
    <t>FRU47911</t>
  </si>
  <si>
    <t>DRL43562</t>
  </si>
  <si>
    <t>FRU47929</t>
  </si>
  <si>
    <t>DRL45547</t>
  </si>
  <si>
    <t>FRU47900</t>
  </si>
  <si>
    <t>DRL49255</t>
  </si>
  <si>
    <t>FRU48579</t>
  </si>
  <si>
    <t>DRL55647</t>
  </si>
  <si>
    <t>DRL64206</t>
  </si>
  <si>
    <t>FRU46138</t>
  </si>
  <si>
    <t>DRL52647</t>
  </si>
  <si>
    <t>FRU47896</t>
  </si>
  <si>
    <t>DRL52651</t>
  </si>
  <si>
    <t>FRU47905</t>
  </si>
  <si>
    <t>FRU46118</t>
  </si>
  <si>
    <t>DRL43582</t>
  </si>
  <si>
    <t>DRL54288</t>
  </si>
  <si>
    <t>DRL52599</t>
  </si>
  <si>
    <t>DRL55598</t>
  </si>
  <si>
    <t>FRU40790</t>
  </si>
  <si>
    <t>FRU40792</t>
  </si>
  <si>
    <t>DRL51803</t>
  </si>
  <si>
    <t>DRL55625</t>
  </si>
  <si>
    <t>FRU40804</t>
  </si>
  <si>
    <t>DRL43571</t>
  </si>
  <si>
    <t>DRL45557</t>
  </si>
  <si>
    <t>FRU82996</t>
  </si>
  <si>
    <t>FRU40766</t>
  </si>
  <si>
    <t>DRL54883</t>
  </si>
  <si>
    <t>DRL51909</t>
  </si>
  <si>
    <t>FRU46127</t>
  </si>
  <si>
    <t>DRL64106</t>
  </si>
  <si>
    <t>FRU40691</t>
  </si>
  <si>
    <t>DRL55645</t>
  </si>
  <si>
    <t>DRL54903</t>
  </si>
  <si>
    <t>DRL54905</t>
  </si>
  <si>
    <t>FRU40656</t>
  </si>
  <si>
    <t>DRL64112</t>
  </si>
  <si>
    <t>FRU82405</t>
  </si>
  <si>
    <t>DRL45555</t>
  </si>
  <si>
    <t>FRU47904</t>
  </si>
  <si>
    <t>DRL55641</t>
  </si>
  <si>
    <t>FRU47907</t>
  </si>
  <si>
    <t>DRL51900</t>
  </si>
  <si>
    <t>FRU40584</t>
  </si>
  <si>
    <t>DRL64149</t>
  </si>
  <si>
    <t>DRL51801</t>
  </si>
  <si>
    <t>DRL51895</t>
  </si>
  <si>
    <t>FRU84161</t>
  </si>
  <si>
    <t>DRL43579</t>
  </si>
  <si>
    <t>DRL64110</t>
  </si>
  <si>
    <t>FRU40687</t>
  </si>
  <si>
    <t>DRL51879</t>
  </si>
  <si>
    <t>DRL43589</t>
  </si>
  <si>
    <t>DRL64113</t>
  </si>
  <si>
    <t>DRL54886</t>
  </si>
  <si>
    <t>FRU40586</t>
  </si>
  <si>
    <t>FRU82551</t>
  </si>
  <si>
    <t>FRU40651</t>
  </si>
  <si>
    <t>DRL64081</t>
  </si>
  <si>
    <t>DRL61554</t>
  </si>
  <si>
    <t>DRL45538</t>
  </si>
  <si>
    <t>DRL64209</t>
  </si>
  <si>
    <t>DRL45568</t>
  </si>
  <si>
    <t>FRU83452</t>
  </si>
  <si>
    <t>DRL45546</t>
  </si>
  <si>
    <t>FRU40861</t>
  </si>
  <si>
    <t>FRU82161</t>
  </si>
  <si>
    <t>DRL64143</t>
  </si>
  <si>
    <t>FRU83467</t>
  </si>
  <si>
    <t>FRU40593</t>
  </si>
  <si>
    <t>DRL61690</t>
  </si>
  <si>
    <t>FRU84144</t>
  </si>
  <si>
    <t>DRL61685</t>
  </si>
  <si>
    <t>DRL43810</t>
  </si>
  <si>
    <t>FRU40775</t>
  </si>
  <si>
    <t>DRL64207</t>
  </si>
  <si>
    <t>FRU84158</t>
  </si>
  <si>
    <t>FRU47918</t>
  </si>
  <si>
    <t>FRU46114</t>
  </si>
  <si>
    <t>FRU83448</t>
  </si>
  <si>
    <t>DRL64171</t>
  </si>
  <si>
    <t>FRU83458</t>
  </si>
  <si>
    <t>DRL64125</t>
  </si>
  <si>
    <t>DRL64166</t>
  </si>
  <si>
    <t>FRU84156</t>
  </si>
  <si>
    <t>FRU83470</t>
  </si>
  <si>
    <t>DRL43227</t>
  </si>
  <si>
    <t>Modelo de Equipo</t>
  </si>
  <si>
    <t>IR1025</t>
  </si>
  <si>
    <t>IR2525</t>
  </si>
  <si>
    <t>DRL37991</t>
  </si>
  <si>
    <t>Oficina cerrada el día 01-09-2018</t>
  </si>
  <si>
    <t>FRU40592</t>
  </si>
  <si>
    <t>DRL51891</t>
  </si>
  <si>
    <t>Impresora desincorporada el día 14-12-2018</t>
  </si>
  <si>
    <t>Oficina cerrada desde Lunes 22-10-2018</t>
  </si>
  <si>
    <t>03-10 al 07-10</t>
  </si>
  <si>
    <t>Contador 07-10</t>
  </si>
  <si>
    <t>10-10 al 14-10</t>
  </si>
  <si>
    <t>Contador 14-10</t>
  </si>
  <si>
    <t>17-10 al 21-10</t>
  </si>
  <si>
    <t>Contador 21-10</t>
  </si>
  <si>
    <t>24-10 al 28-10</t>
  </si>
  <si>
    <t>Contador 28-10</t>
  </si>
  <si>
    <t>Contador 31-10</t>
  </si>
  <si>
    <t>La Vega</t>
  </si>
  <si>
    <t>9262MFGE01</t>
  </si>
  <si>
    <t>10.10.116.203</t>
  </si>
  <si>
    <t>Esta Agencia fue cerrada, Contador: 80191, Fecha 01-10-2016</t>
  </si>
  <si>
    <t>Petare</t>
  </si>
  <si>
    <t>9296MFAP01</t>
  </si>
  <si>
    <t>10.10.20.201</t>
  </si>
  <si>
    <t>Esta Agencia fue cerrada, Contador: 118073, Fecha 01-10-2016</t>
  </si>
  <si>
    <t>9296MFTQ01</t>
  </si>
  <si>
    <t>10.10.20.200</t>
  </si>
  <si>
    <t>Esta Agencia fue cerrada, Contador: 9877, Fecha 01-10-2016</t>
  </si>
  <si>
    <t>Impresora Desconectada, Pendiente por Retirar, Contador 186660</t>
  </si>
  <si>
    <t>Valle Arriba Market</t>
  </si>
  <si>
    <t>9439MFAP01</t>
  </si>
  <si>
    <t>10.14.95.200</t>
  </si>
  <si>
    <t>Esta Agencia fue cerrada, Contador: 95910, Fecha 03-10-2016</t>
  </si>
  <si>
    <t>Galerias Avila</t>
  </si>
  <si>
    <t>9942MFRS01</t>
  </si>
  <si>
    <t>10.10.27.200</t>
  </si>
  <si>
    <t>Esta Agencia fue cerrada, Contador: 91144, Fecha 01-10-2016</t>
  </si>
  <si>
    <t>Galerias Los Naranjos</t>
  </si>
  <si>
    <t>9945MFAP01</t>
  </si>
  <si>
    <t>10.10.26.200</t>
  </si>
  <si>
    <t>Esta Agencia fue cerrada, Contador: 142393, Fecha 04-10-2016</t>
  </si>
  <si>
    <t>Parque Central</t>
  </si>
  <si>
    <t>9215MFAP01</t>
  </si>
  <si>
    <t>10.10.149.210</t>
  </si>
  <si>
    <t>Esta Agencia fue cerrada, Contador: 200773, Fecha 04-10-2016</t>
  </si>
  <si>
    <t>9215MFTQ01</t>
  </si>
  <si>
    <t>10.10.149.201</t>
  </si>
  <si>
    <t>Esta Agencia fue cerrada, Contador: 56319, Fecha 04-10-2016</t>
  </si>
  <si>
    <t xml:space="preserve">La Pilita </t>
  </si>
  <si>
    <t>9251MFAP01</t>
  </si>
  <si>
    <t>10.10.239.200</t>
  </si>
  <si>
    <t>Esta Agencia fue cerrada, Contador: 210315, Fecha 08-10-2016</t>
  </si>
  <si>
    <t>9251MFTQ01</t>
  </si>
  <si>
    <t>10.10.239.201</t>
  </si>
  <si>
    <t>Esta Agencia fue cerrada, Contador: 40722, Fecha 08-10-2016</t>
  </si>
  <si>
    <t>Las Acacias</t>
  </si>
  <si>
    <t>9254MFBV01</t>
  </si>
  <si>
    <t>10.10.255.200</t>
  </si>
  <si>
    <t>Esta Agencia fue cerrada, Contador: 34722, Fecha 08-10-2016</t>
  </si>
  <si>
    <t>Los Samanes</t>
  </si>
  <si>
    <t>9364MFAP01</t>
  </si>
  <si>
    <t>10.14.50.207</t>
  </si>
  <si>
    <t>Esta Agencia fue cerrada, Contador: 171131, Fecha 08-10-2016</t>
  </si>
  <si>
    <t>El Bosque</t>
  </si>
  <si>
    <t>9223MFAP01</t>
  </si>
  <si>
    <t>10.10.22.203</t>
  </si>
  <si>
    <t>Esta Agencia fue cerrada, Contador: 394746, Fecha 10-10-2016</t>
  </si>
  <si>
    <t>9223MFNE01</t>
  </si>
  <si>
    <t>10.10.22.202</t>
  </si>
  <si>
    <t>Esta Agencia fue cerrada, Contador: 81651, Fecha 10-10-2016</t>
  </si>
  <si>
    <t>Sambil</t>
  </si>
  <si>
    <t>9237MFGE01</t>
  </si>
  <si>
    <t>10.10.45.200</t>
  </si>
  <si>
    <t>Esta Agencia fue cerrada, Contador: 86976, Fecha 11-10-2016</t>
  </si>
  <si>
    <t>I.B.M</t>
  </si>
  <si>
    <t>9938MFAP01</t>
  </si>
  <si>
    <t>10.10.29.201</t>
  </si>
  <si>
    <t>Esta Agencia fue cerrada, Contador: 35686, Fecha 14-10-2016</t>
  </si>
  <si>
    <t>El Paraiso II</t>
  </si>
  <si>
    <t>9347</t>
  </si>
  <si>
    <t>9347MFAP01</t>
  </si>
  <si>
    <t>10.14.67.201</t>
  </si>
  <si>
    <t>Esta Agencia fue cerrada, Contador: 49792, Fecha 15-10-2016</t>
  </si>
  <si>
    <t>9347MFGE01</t>
  </si>
  <si>
    <t>10.14.67.202</t>
  </si>
  <si>
    <t>Esta Agencia fue cerrada, Contador: 168527, Fecha 15-10-2016</t>
  </si>
  <si>
    <t>Esquina Salas</t>
  </si>
  <si>
    <t>9949MFAP01</t>
  </si>
  <si>
    <t>10.10.54.201</t>
  </si>
  <si>
    <t>Esta Agencia fue cerrada, Contador: 182698, Fecha 15-10-2016</t>
  </si>
  <si>
    <t>9949MFGE01</t>
  </si>
  <si>
    <t>10.10.54.200</t>
  </si>
  <si>
    <t>Esta Agencia fue cerrada, Contador: 57631, Fecha 15-10-2016</t>
  </si>
  <si>
    <t>Boleita Center</t>
  </si>
  <si>
    <t>9944MFAP01</t>
  </si>
  <si>
    <t>10.10.38.200</t>
  </si>
  <si>
    <t>Esta Agencia fue cerrada, Contador: 121072, Fecha 15-10-2016</t>
  </si>
  <si>
    <t>El Marques II</t>
  </si>
  <si>
    <t>9372</t>
  </si>
  <si>
    <t>9372MFAP01</t>
  </si>
  <si>
    <t>10.14.62.201</t>
  </si>
  <si>
    <t>Esta Agencia fue cerrada, Contador: 236207, Fecha 17-10-2016</t>
  </si>
  <si>
    <t>9372MFGE01</t>
  </si>
  <si>
    <t>10.14.62.200</t>
  </si>
  <si>
    <t>Esta Agencia fue cerrada, Contador: 38487, Fecha 17-10-2016</t>
  </si>
  <si>
    <t>Mercado San Jorge</t>
  </si>
  <si>
    <t>9946MFGE01</t>
  </si>
  <si>
    <t>10.10.134.200</t>
  </si>
  <si>
    <t>Esta Agencia fue cerrada, Contador: 75862, Fecha 17-10-2016</t>
  </si>
  <si>
    <t>9223MFTQ01</t>
  </si>
  <si>
    <t>10.10.22.201</t>
  </si>
  <si>
    <t>Esta Agencia fue cerrada, Contador: 91527, Fecha 21-10-2016</t>
  </si>
  <si>
    <t>Gold Country</t>
  </si>
  <si>
    <t>9537MFAP01</t>
  </si>
  <si>
    <t>10.10.47.200</t>
  </si>
  <si>
    <t>Esta Agencia fue cerrada, Contador: 150960, Fecha 22-10-2016</t>
  </si>
  <si>
    <t>9537MFTQ01</t>
  </si>
  <si>
    <t>10.10.47.201</t>
  </si>
  <si>
    <t>Esta Agencia fue cerrada, Contador: 52613, Fecha 22-10-2016 ( La impresora fue reemplazada con el S/N: DRL55642 de Agencia Barcelona, Autorizado por Logistica y Soporte en Sitio)</t>
  </si>
  <si>
    <t>9560MFEN01</t>
  </si>
  <si>
    <t>La impresora fue reemplazada con el S/N: DRL64121, Autorizado por Logistica y Soporte en Sitio</t>
  </si>
  <si>
    <t>Guacara</t>
  </si>
  <si>
    <t>9424MFAP01</t>
  </si>
  <si>
    <t>10.10.236.200</t>
  </si>
  <si>
    <t>Esta Agencia fue cerrada, Contador: 426522, Fecha 22-10-2016</t>
  </si>
  <si>
    <t>9424MFGE01</t>
  </si>
  <si>
    <t>10.10.236.201</t>
  </si>
  <si>
    <t>Esta Agencia fue cerrada, Contador: 144210, Fecha 22-10-2016</t>
  </si>
  <si>
    <t>Las Playitas</t>
  </si>
  <si>
    <t>9812MFAP01</t>
  </si>
  <si>
    <t>Esta Agencia fue cerrada, Contador: 190105, Fecha 22-10-2016</t>
  </si>
  <si>
    <t>10.10.2.200</t>
  </si>
  <si>
    <t>Esta Agencia fue cerrada, Contador: 77320, Fecha 22-10-2016</t>
  </si>
  <si>
    <t>La castellana Mérida</t>
  </si>
  <si>
    <t>9958MFAP01</t>
  </si>
  <si>
    <t>10.10.61.200</t>
  </si>
  <si>
    <t>Esta Agencia fue cerrada, Contador: 248320, Fecha 22-10-2016</t>
  </si>
  <si>
    <t>9958MFTQ01</t>
  </si>
  <si>
    <t>DRL39201</t>
  </si>
  <si>
    <t>10.10.61.201</t>
  </si>
  <si>
    <t>Esta Agencia fue cerrada, Contador: 75718, Fecha 22-10-2016</t>
  </si>
  <si>
    <t>La Coromoto - Maracay</t>
  </si>
  <si>
    <t>9380MFAP01</t>
  </si>
  <si>
    <t>10.11.14.201</t>
  </si>
  <si>
    <t>Esta Agencia fue cerrada, Contador: 263922, Fecha 24-10-2016</t>
  </si>
  <si>
    <t>9380MFGE01</t>
  </si>
  <si>
    <t>10.11.14.200</t>
  </si>
  <si>
    <t>Esta Agencia fue cerrada, Contador: 125573, Fecha 24-10-2016</t>
  </si>
  <si>
    <t>Enelco</t>
  </si>
  <si>
    <t>9882MFAP01</t>
  </si>
  <si>
    <t>10.14.55.200</t>
  </si>
  <si>
    <t>Esta Agencia fue cerrada, Contador: 22526, Fecha 28-10-2016</t>
  </si>
  <si>
    <t>01-11 al 04-11</t>
  </si>
  <si>
    <t>Contador 04-11</t>
  </si>
  <si>
    <t>07-11 al 11-11</t>
  </si>
  <si>
    <t>Contador 11-11</t>
  </si>
  <si>
    <t>14-11 al 18-11</t>
  </si>
  <si>
    <t>Contador 18-11</t>
  </si>
  <si>
    <t>21-11 al 25-11</t>
  </si>
  <si>
    <t>Contador 25-11</t>
  </si>
  <si>
    <t>28-11 al 30-11</t>
  </si>
  <si>
    <t>Contador 30-11</t>
  </si>
  <si>
    <t>C. C. Plaza Mayor</t>
  </si>
  <si>
    <t>9561MFAP01</t>
  </si>
  <si>
    <t>10.10.98.200</t>
  </si>
  <si>
    <t>Esta Agencia fue cerrada, Contador: 43624, Fecha 01-11-2017</t>
  </si>
  <si>
    <t>9441MTGE01</t>
  </si>
  <si>
    <t>10.10.84.201</t>
  </si>
  <si>
    <t>Esta Impresora fue retirada por autorizacion de Logistica y Soporte en Sitio, con un contador de 116334, Pendiente por Retirar. Fecha 02-11-2016</t>
  </si>
  <si>
    <t>9420MFCO01</t>
  </si>
  <si>
    <t>10.10.100.210</t>
  </si>
  <si>
    <t>Esta Impresora fue retirada por autorizacion de Logistica y Soporte en Sitio, con un contador de 65501, Pendiente por Retirar. Fecha 04-11-2016</t>
  </si>
  <si>
    <t>30-de Nov</t>
  </si>
  <si>
    <t>01-12 al 02-12</t>
  </si>
  <si>
    <t>Contador 02-12</t>
  </si>
  <si>
    <t>05-12 al 09-12</t>
  </si>
  <si>
    <t>Contador 09-12</t>
  </si>
  <si>
    <t>12-12 al 16-12</t>
  </si>
  <si>
    <t>Contador 16-12</t>
  </si>
  <si>
    <t>19-12 al 23-12</t>
  </si>
  <si>
    <t>Contador 23-12</t>
  </si>
  <si>
    <t>26-12 al 30-12</t>
  </si>
  <si>
    <t>Contador 30-12</t>
  </si>
  <si>
    <t>9394MFGE01</t>
  </si>
  <si>
    <t>10.11.97.201</t>
  </si>
  <si>
    <t>Esta Impresora fue retirada por autorizacion de Logistica y Soporte en Sitio, con un contador de 51132, Pendiente por Retirar. Fecha 07-12-2016</t>
  </si>
  <si>
    <t>9445MFGE01</t>
  </si>
  <si>
    <t>10.10.220.200</t>
  </si>
  <si>
    <t>Esta Impresora fue retirada por autorizacion de Logistica y Soporte en Sitio, con un contador de 104776, Pendiente por Retirar. Fecha 08-12-2016</t>
  </si>
  <si>
    <t>Este equipo se reemplazo por la Impresora 2525 S/N FRU38037, con un contador de 482486, Pendiente por Retirar. Fecha 09-12-2016</t>
  </si>
  <si>
    <t>30-de Dic</t>
  </si>
  <si>
    <t>02-01 al 06-01</t>
  </si>
  <si>
    <t>Contador 06-01</t>
  </si>
  <si>
    <t>09-01 al 13-01</t>
  </si>
  <si>
    <t>Contador 13-01</t>
  </si>
  <si>
    <t>16-01 al 20-01</t>
  </si>
  <si>
    <t>Contador 20-01</t>
  </si>
  <si>
    <t>23-01 al 27-01</t>
  </si>
  <si>
    <t>Contador 27-01</t>
  </si>
  <si>
    <t>30-01 al 31-01</t>
  </si>
  <si>
    <t>Contador 31-01</t>
  </si>
  <si>
    <t>9874MFGE01</t>
  </si>
  <si>
    <t>10.10.76.201</t>
  </si>
  <si>
    <t>Esta Impresora fue retirada por autorizacion de Logistica y Soporte en Sitio, con un contador de 61183, Pendiente por Retirar. Fecha 04-01-2017</t>
  </si>
  <si>
    <t>10.10.194.200</t>
  </si>
  <si>
    <t>Esta Impresora fue retirada por autorizacion de Logistica y Soporte en Sitio, con un contador de 177790, Pendiente por Retirar. Fecha 04-01-2017</t>
  </si>
  <si>
    <t>9396MFGE01</t>
  </si>
  <si>
    <t>10.10.219.230</t>
  </si>
  <si>
    <t>Esta Impresora fue retirada por autorizacion de Logistica y Soporte en Sitio, con un contador de 83505, Pendiente por Retirar. Fecha 04-01-2017</t>
  </si>
  <si>
    <t>10.10.52.200</t>
  </si>
  <si>
    <t>Esta Impresora fue retirada por autorizacion de Logistica y Soporte en Sitio, con un contador de 59312, Pendiente por Retirar. Fecha 04-01-2017</t>
  </si>
  <si>
    <t>9681MFCO01</t>
  </si>
  <si>
    <t>10.10.93.201</t>
  </si>
  <si>
    <t>Esta Impresora fue retirada por autorizacion de Logistica y Soporte en Sitio, con un contador de 24492, Pendiente por Retirar. Fecha 04-01-2017</t>
  </si>
  <si>
    <t>9947MFTQ01</t>
  </si>
  <si>
    <t>10.10.18.202</t>
  </si>
  <si>
    <t>Esta Impresora fue retirada por autorizacion de Logistica y Soporte en Sitio, con un contador de 65991, Pendiente por Retirar. Fecha 04-01-2017</t>
  </si>
  <si>
    <t>9405MFAP01</t>
  </si>
  <si>
    <t>10.10.17.210</t>
  </si>
  <si>
    <t>Esta Impresora fue retirada por autorizacion de Logistica y Soporte en Sitio, con un contador de 205346, Pendiente por Retirar. Fecha 05-01-2017</t>
  </si>
  <si>
    <t>9388MFTQ01</t>
  </si>
  <si>
    <t>10.14.66.200</t>
  </si>
  <si>
    <t>Esta Impresora fue retirada por autorizacion de Logistica y Soporte en Sitio, con un contador de 51500, Pendiente por Retirar. Fecha 05-01-2017</t>
  </si>
  <si>
    <t>9658MFGE01</t>
  </si>
  <si>
    <t>10.10.160.201</t>
  </si>
  <si>
    <t>Esta Impresora fue retirada por autorizacion de Logistica y Soporte en Sitio, con un contador de 13963, Pendiente por Retirar. Fecha 05-01-2017</t>
  </si>
  <si>
    <t>9530MFTQ01</t>
  </si>
  <si>
    <t>10.10.165.207</t>
  </si>
  <si>
    <t>Esta Impresora fue retirada por autorizacion de Logistica y Soporte en Sitio, con un contador de 138164, Pendiente por Retirar. Fecha 05-01-2017</t>
  </si>
  <si>
    <t>9442MFCO01</t>
  </si>
  <si>
    <t>Canon ir1025</t>
  </si>
  <si>
    <t>10.10.152.200</t>
  </si>
  <si>
    <t>Esta Impresora fue retirada por autorizacion de Logistica y Soporte en Sitio, con un contador de 67377, Pendiente por Retirar. Fecha 05-01-2017</t>
  </si>
  <si>
    <t>9345MFTQ01</t>
  </si>
  <si>
    <t>10.14.51.201</t>
  </si>
  <si>
    <t>Esta Impresora fue retirada por autorizacion de Logistica y Soporte en Sitio, con un contador de 35471, Pendiente por Retirar. Fecha 05-01-2017</t>
  </si>
  <si>
    <t>9276MFGE01</t>
  </si>
  <si>
    <t>10.10.43.200</t>
  </si>
  <si>
    <t>Esta Impresora fue retirada por autorizacion de Logistica y Soporte en Sitio, con un contador de 24156, Pendiente por Retirar. Fecha 05-01-2017</t>
  </si>
  <si>
    <t xml:space="preserve">Ameriven II </t>
  </si>
  <si>
    <t>9666MFGE01</t>
  </si>
  <si>
    <t>10.10.103.200</t>
  </si>
  <si>
    <t>Esta Agencia fue cerrada, Contador: 15415, Fecha 05-01-2017</t>
  </si>
  <si>
    <t>9259MFTQ01</t>
  </si>
  <si>
    <t>10.10.67.201</t>
  </si>
  <si>
    <t>Esta Impresora fue retirada por autorizacion de Logistica y Soporte en Sitio, con un contador de 88367, Pendiente por Retirar. Fecha 06-01-2017</t>
  </si>
  <si>
    <t>9221MFTQ01</t>
  </si>
  <si>
    <t>10.10.141.201</t>
  </si>
  <si>
    <t>Esta Impresora fue retirada por autorizacion de Logistica y Soporte en Sitio, con un contador de 95164, Pendiente por Retirar. Fecha 06-01-2017</t>
  </si>
  <si>
    <t>9360MFCO01</t>
  </si>
  <si>
    <t>10.10.75.205</t>
  </si>
  <si>
    <t>Esta Impresora fue retirada por autorizacion de Logistica y Soporte en Sitio, con un contador de 30468, Pendiente por Retirar. Fecha 06-01-2017</t>
  </si>
  <si>
    <t>9336MFTQ01</t>
  </si>
  <si>
    <t>10.10.153.200</t>
  </si>
  <si>
    <t>Esta Impresora fue retirada por autorizacion de Logistica y Soporte en Sitio, con un contador de 52717, Pendiente por Retirar. Fecha 06-01-2017</t>
  </si>
  <si>
    <t>9653MFAP01</t>
  </si>
  <si>
    <t>10.10.193.200</t>
  </si>
  <si>
    <t>Esta Impresora fue retirada por autorizacion de Logistica y Soporte en Sitio, con un contador de 67658, Pendiente por Retirar. Fecha 06-01-2017</t>
  </si>
  <si>
    <t>9430MFGE01</t>
  </si>
  <si>
    <t>10.11.11.201</t>
  </si>
  <si>
    <t>Esta Impresora fue retirada por autorizacion de Logistica y Soporte en Sitio, con un contador de 251447, Pendiente por Retirar. Fecha 10-01-2017</t>
  </si>
  <si>
    <t>10.11.22.202</t>
  </si>
  <si>
    <t>Esta Impresora fue retirada por autorizacion de Logistica y Soporte en Sitio, con un contador de 24482, Pendiente por Retirar. Fecha 10-01-2017</t>
  </si>
  <si>
    <t>9394MFBP01</t>
  </si>
  <si>
    <t>10.11.97.206</t>
  </si>
  <si>
    <t xml:space="preserve">Esta Impresora fue traslada a la Agencia de Chuao por autorizacion de Logistica y Soporte en Sitio, Dpto. Banca Privada, Contador: 264671, Fecha 11-01-2017 </t>
  </si>
  <si>
    <t>9883MFCO01</t>
  </si>
  <si>
    <t>10.14.15.201</t>
  </si>
  <si>
    <t xml:space="preserve">Esta Impresora fue retirada por autorizacion de Logistica y Soporte en Sitio, Contador: 44544,Pendiente por Retirar. Fecha 12-01-2017 </t>
  </si>
  <si>
    <t>9570MFGE01</t>
  </si>
  <si>
    <t>10.10.129.200</t>
  </si>
  <si>
    <t xml:space="preserve">Esta Impresora fue retirada por autorizacion de Logistica y Soporte en Sitio, Contador: 111481, Pendiente por Retirar Fecha 12-01-2017 </t>
  </si>
  <si>
    <t>Esta Impresora fue retirada por autorizacion de Logistica y Soporte en Sitio, contador de 91388, Pendiente por Retirar. Fecha 12-01-2017</t>
  </si>
  <si>
    <t>9816MFGE01</t>
  </si>
  <si>
    <t>DRL52596</t>
  </si>
  <si>
    <t>10.10.72.202</t>
  </si>
  <si>
    <t>Esta Impresora fue retirada por autorizacion de Logistica y Soporte en Sitio, contador de 152642 Pendiente por Retirar. Fecha 13-01-2017</t>
  </si>
  <si>
    <t>9640MFGE01</t>
  </si>
  <si>
    <t>10.11.33.200</t>
  </si>
  <si>
    <t>Esta Impresora fue retirada por autorizacion de Logistica y Soporte en Sitio, contador de 24598, Pendiente por Retirar. Fecha 12-01-2017</t>
  </si>
  <si>
    <t>9550MFGE01</t>
  </si>
  <si>
    <t>10.14.94.202</t>
  </si>
  <si>
    <t>Esta Impresora fue retirada por autorizacion de Logistica y Soporte en Sitio, contador de 26861, Pendiente por Retirar. Fecha 13-01-2017</t>
  </si>
  <si>
    <t>9843MFGE01</t>
  </si>
  <si>
    <t>10.10.32.200</t>
  </si>
  <si>
    <t>Esta Impresora fue retirada por autorizacion de Logistica y Soporte en Sitio, contador de 39260, Pendiente por Retirar. Fecha 10-01-2017</t>
  </si>
  <si>
    <t>9282LMFTQ01</t>
  </si>
  <si>
    <t>10.10.162.203</t>
  </si>
  <si>
    <t>Esta Impresora fue retirada por autorizacion de Logistica y Soporte en Sitio, contador de 78037, Pendiente por Retirar. Fecha 12-01-2017</t>
  </si>
  <si>
    <t>9911MFTQ01</t>
  </si>
  <si>
    <t>10.10.12.201</t>
  </si>
  <si>
    <t>Esta Impresora fue retirada por autorizacion de Logistica y Soporte en Sitio, contador de 60690, Pendiente por Retirar. Fecha 12-01-2017</t>
  </si>
  <si>
    <t>9214MFGE01</t>
  </si>
  <si>
    <t>10.10.6.200</t>
  </si>
  <si>
    <t>Esta Impresora fue retirada por autorizacion de Logistica y Soporte en Sitio, contador de 90757, Pendiente por Retirar. Fecha 16-01-2017</t>
  </si>
  <si>
    <t>9235MFCO01</t>
  </si>
  <si>
    <t>DRL37790</t>
  </si>
  <si>
    <t>10.10.127.201</t>
  </si>
  <si>
    <t>Esta Impresora fue retirada por autorizacion de Logistica y Soporte en Sitio, contador de 38602, Pendiente por Retirar. Fecha 16-01-2017</t>
  </si>
  <si>
    <t>9271MFCO01</t>
  </si>
  <si>
    <t>10.10.211.203</t>
  </si>
  <si>
    <t>Esta Impresora fue retirada por autorizacion de Logistica y Soporte en Sitio, contador de 39529, Pendiente por Retirar. Fecha 16-01-2017</t>
  </si>
  <si>
    <t>9225MFGE01</t>
  </si>
  <si>
    <t>10.10.243.200</t>
  </si>
  <si>
    <t>Esta Impresora fue retirada por autorizacion de Logistica y Soporte en Sitio, contador de 107024, Pendiente por Retirar. Fecha 16-01-2017</t>
  </si>
  <si>
    <t>9203MFTQ01</t>
  </si>
  <si>
    <t>DRL38012</t>
  </si>
  <si>
    <t>10.14.72.202</t>
  </si>
  <si>
    <t>Esta Impresora fue retirada por autorizacion de Logistica y Soporte en Sitio, contador de 64775, Pendiente por Retirar. Fecha 17-01-2017</t>
  </si>
  <si>
    <t>9253MFGE01</t>
  </si>
  <si>
    <t>DRL49231</t>
  </si>
  <si>
    <t>10.11.18.201</t>
  </si>
  <si>
    <t>Esta Impresora fue retirada por autorizacion de Logistica y Soporte en Sitio, contador de 52812, Pendiente por Retirar. Fecha 17-01-2017</t>
  </si>
  <si>
    <t>9234MFTQ01</t>
  </si>
  <si>
    <t>10.10.85.201</t>
  </si>
  <si>
    <t>Esta Impresora fue retirada por autorizacion de Logistica y Soporte en Sitio, contador de 64964, Pendiente por Retirar. Fecha 18-01-2017</t>
  </si>
  <si>
    <t>9955MFCO01</t>
  </si>
  <si>
    <t>10.10.167.201</t>
  </si>
  <si>
    <t>Esta Impresora fue retirada por autorizacion de Logistica y Soporte en Sitio, contador de 61733, Pendiente por Retirar. Fecha 19-01-2017</t>
  </si>
  <si>
    <t>9924MFTQ01</t>
  </si>
  <si>
    <t>10.14.5.200</t>
  </si>
  <si>
    <t>Esta Impresora fue retirada por autorizacion de Logistica y Soporte en Sitio, contador de 56733, Pendiente por Retirar. Fecha 19-01-2017</t>
  </si>
  <si>
    <t>San  Bernardino</t>
  </si>
  <si>
    <t>9216MFGE01</t>
  </si>
  <si>
    <t>10.10.24.202</t>
  </si>
  <si>
    <t>Esta Impresora fue retirada por autorizacion de Logistica y Soporte en Sitio, contador de 164225, Pendiente por Retirar. Fecha 23-01-2017</t>
  </si>
  <si>
    <t>9310MFGE02</t>
  </si>
  <si>
    <t>10.10.244.203</t>
  </si>
  <si>
    <t>Esta Impresora fue retirada por autorizacion de Logistica y Soporte en Sitio, contador de 75456, Pendiente por Retirar. Fecha 23-01-2017</t>
  </si>
  <si>
    <t>9391MFGE01</t>
  </si>
  <si>
    <t>10.10.112.201</t>
  </si>
  <si>
    <t>Esta Impresora fue retirada por autorizacion de Logistica y Soporte en Sitio, contador de 66246, Pendiente por Retirar. Fecha 26-01-2017</t>
  </si>
  <si>
    <t>31/01/17</t>
  </si>
  <si>
    <t>01-02 al 03/02</t>
  </si>
  <si>
    <t>Contador 03-02</t>
  </si>
  <si>
    <t>06-02 al 10/02</t>
  </si>
  <si>
    <t>Contador 10-02</t>
  </si>
  <si>
    <t>13-02 al 17/02</t>
  </si>
  <si>
    <t>Contador 17-02</t>
  </si>
  <si>
    <t>20-02 al 24/02</t>
  </si>
  <si>
    <t>Contador 24-02</t>
  </si>
  <si>
    <t>9217MFTQ01</t>
  </si>
  <si>
    <t>10.0.40.206</t>
  </si>
  <si>
    <t>Esta Impresora fue retirada por autorizacion de Logistica y Soporte en Sitio, contador de 1346895, Pendiente por Retirar. Fecha 02-02-2017</t>
  </si>
  <si>
    <t>9217MFCO01</t>
  </si>
  <si>
    <t>10.0.40.202</t>
  </si>
  <si>
    <t>Esta Impresora fue retirada por autorizacion de Logistica y Soporte en Sitio, contador de 68082, Pendiente por Retirar. Fecha 02-02-2017</t>
  </si>
  <si>
    <t>9678MFGE01</t>
  </si>
  <si>
    <t>10.10.144.200</t>
  </si>
  <si>
    <t>Esta Impresora fue retirada por autorizacion de Logistica y Soporte en Sitio, contador de 255215, Pendiente por Retirar. Fecha 20-02-2017</t>
  </si>
  <si>
    <t>Esta Impresora fue reemplaza por la FRU48558 ,Autorizado por Logistica y Soporte en Sitio, contador de 306044, Pendiente por Retirar. Fecha 20-02-2017</t>
  </si>
  <si>
    <t>24/02/17</t>
  </si>
  <si>
    <t>01-03 al 03/03</t>
  </si>
  <si>
    <t>Contador 03-03</t>
  </si>
  <si>
    <t>06-03 al 10/03</t>
  </si>
  <si>
    <t>Contador 10-03</t>
  </si>
  <si>
    <t>13-03 al 17/03</t>
  </si>
  <si>
    <t>Contador 17-03</t>
  </si>
  <si>
    <t>20-03 al 24/03</t>
  </si>
  <si>
    <t>Contador 24-03</t>
  </si>
  <si>
    <t>27-03 al 31/03</t>
  </si>
  <si>
    <t>Contador 31-03</t>
  </si>
  <si>
    <t>9503MFGE01</t>
  </si>
  <si>
    <t>Esta Impresora fue reemplazada por 1025 DRL37786 el 28-03-2017</t>
  </si>
  <si>
    <t>01-06 al 02/06</t>
  </si>
  <si>
    <t>Contador        02-06</t>
  </si>
  <si>
    <t>05-06 al 09/06</t>
  </si>
  <si>
    <t>Contador        09-06</t>
  </si>
  <si>
    <t>12-06 al 16/06</t>
  </si>
  <si>
    <t>Contador        16-06</t>
  </si>
  <si>
    <t>19-06 al 23/06</t>
  </si>
  <si>
    <t>Contador        23-06</t>
  </si>
  <si>
    <t>26-06 al 30/06</t>
  </si>
  <si>
    <t>Contador        30-06</t>
  </si>
  <si>
    <t>9288MFGE01</t>
  </si>
  <si>
    <t>10.10.241.201</t>
  </si>
  <si>
    <t>30/06/2017</t>
  </si>
  <si>
    <t>03-07 al 07/07</t>
  </si>
  <si>
    <t>Contador        07-07</t>
  </si>
  <si>
    <t>10-07 al 14/07</t>
  </si>
  <si>
    <t>Contador        14-07</t>
  </si>
  <si>
    <t>17-07 al 21/07</t>
  </si>
  <si>
    <t>Contador        21-07</t>
  </si>
  <si>
    <t>24-07 al 28/07</t>
  </si>
  <si>
    <t>Contador        28-07</t>
  </si>
  <si>
    <t>31-07</t>
  </si>
  <si>
    <t>Contador        31-07</t>
  </si>
  <si>
    <t>10.14.81.200</t>
  </si>
  <si>
    <t>Esta Impresora fue retirada por autorizacion de Logistica y Soporte en Sitio ya que presenta falla en la  tarjeta de imagen procesor PCB Assembly contador de 80494, se encuentra en resguardo Nivel 3. Fecha 17-07-2017</t>
  </si>
  <si>
    <t>31/07/2017</t>
  </si>
  <si>
    <t>01-08 al 04/08</t>
  </si>
  <si>
    <t>Contador        04-08</t>
  </si>
  <si>
    <t>07-08 al 11/08</t>
  </si>
  <si>
    <t>Contador        11-08</t>
  </si>
  <si>
    <t>14-08 al 18/08</t>
  </si>
  <si>
    <t>Contador        18-08</t>
  </si>
  <si>
    <t>21-08 al 25/08</t>
  </si>
  <si>
    <t>Contador        25-08</t>
  </si>
  <si>
    <t>28-08 al 31/08</t>
  </si>
  <si>
    <t>Contador        31-08</t>
  </si>
  <si>
    <t>9289MFGE01</t>
  </si>
  <si>
    <t>10.14.86.200</t>
  </si>
  <si>
    <t>Esta Impresora fue retirada por autorizacion de Logistica y Soporte en Sitio, Contador: 94474Pendiente por Retirar. Fecha 02-08-2017</t>
  </si>
  <si>
    <t>Esta Impresora fue retirada por autorizacion de Logistica y Soporte en Sitio ya que presentaba Error E000110,retirada por Star 2000, Contador: 443736 Fecha 21-08-2017</t>
  </si>
  <si>
    <t>29-09-2017</t>
  </si>
  <si>
    <t>02-10 al 06-10</t>
  </si>
  <si>
    <t>Contador 06-10</t>
  </si>
  <si>
    <t>09-10 al 13-10</t>
  </si>
  <si>
    <t>Contador 13-10</t>
  </si>
  <si>
    <t>16-10 al 20-10</t>
  </si>
  <si>
    <t>Contador 20-10</t>
  </si>
  <si>
    <t>23-10 al 27-10</t>
  </si>
  <si>
    <t>Contador 27-10</t>
  </si>
  <si>
    <t>30-10 al 31-10</t>
  </si>
  <si>
    <t>9425MFGE02</t>
  </si>
  <si>
    <t>Esta Impresora fue retirada por autorizacion de Logistica y Soporte en Sitio ya que la misma no reconoce el tamaño correcto del papel,Pendiente por Retirar, Contador: 306774 Fecha 24-10-2017</t>
  </si>
  <si>
    <t>9504MFBO01</t>
  </si>
  <si>
    <t>DRL61671</t>
  </si>
  <si>
    <t>10.10.42.201</t>
  </si>
  <si>
    <t>Esta Impresora fue retirada por autorizacion de Logistica y Soporte en Sitio, contador de 88122, Pendiente por Retirar. Fecha 30-10-2017</t>
  </si>
  <si>
    <t>10.11.2.201</t>
  </si>
  <si>
    <t>Esta Impresora fue retirada por autorizacion de Logistica y Soporte en Sitio ya que la misma presenta dañanda en El ADF, Panel de Control y El Registro de la Bandeja 1,Pendiente por Retirar, Contador:459285 Fecha 31-10-2017</t>
  </si>
  <si>
    <t>01-11 al 03-11</t>
  </si>
  <si>
    <t>Contador 03-11</t>
  </si>
  <si>
    <t>06-11 al 10-11</t>
  </si>
  <si>
    <t>Contador 10-11</t>
  </si>
  <si>
    <t>13-11 al 17-11</t>
  </si>
  <si>
    <t>Contador 17-11</t>
  </si>
  <si>
    <t>20-11 al 24-11</t>
  </si>
  <si>
    <t>Contador 24-11</t>
  </si>
  <si>
    <t>27-11 al 24-11</t>
  </si>
  <si>
    <t>Esta Impresora fue retirada por autorizacion de Logistica y Soporte en Sitio ya que la misma presenta dañanda La Base de la Puerta Lateral Izquierda Partida, El Drum y la reveladora presenta Desgaste y Lever Fixing Pressure Reléase se encuentra partido,Pendiente por Retirar, Contador:371560 Fecha 07-11-2017</t>
  </si>
  <si>
    <t>9839MFGE01</t>
  </si>
  <si>
    <t>10.11.2.200</t>
  </si>
  <si>
    <t>Esta Impresora fue retirada por autorización de Logística y Soporte en Sitio para ser trasladada a la Agencia Las Trinitarias para su instalación mientras llega el Reemplazo de la impresora Canon IR2525.</t>
  </si>
  <si>
    <t>Esta Impresora fue retirada por autorizacion de Logistica y Soporte en Sitio ya que la misma tiene dañada la puerta Lateral ,Retirada por el Transportsita, Contador:238117 Fecha 23-11-2017</t>
  </si>
  <si>
    <t>Esta Impresora fue retirada por autorizacion de Logistica y Soporte en Sitio ya que la misma no enciende,Retirada por el Transportsita, Contador:484752 Fecha 15-11-2017</t>
  </si>
  <si>
    <t>Esta Impresora fue retirada por autorizacion de Logistica y Soporte en Sitio ya que la misma tiene dañada el fusor,Retirada por el Transportista, Contador:162442 Fecha 15-11-2017</t>
  </si>
  <si>
    <t>Esta Impresora fue retirada por autorizacion de Logistica y Soporte en Sitio ya que la misma tiene dañada la puerta Lateral ,Retirada por el Transportsita, Contador:268539 Fecha 15-11-2017</t>
  </si>
  <si>
    <t>Esta Impresora fue retirada por autorizacion de Logistica y Soporte en Sitio ya que la misma tiene dañada en el motor del fusor ,Retirada por el Transportsita, Contador:568586 Fecha 24-11-2017</t>
  </si>
  <si>
    <t xml:space="preserve">DRL43609 </t>
  </si>
  <si>
    <t>Esta Impresora fue retirada por autorizacion de Logistica y Soporte en Sitio, Operativa ,Retirada por el Transportsita, Contador:384350 Fecha 23-11-2017</t>
  </si>
  <si>
    <t>9393MFEN01</t>
  </si>
  <si>
    <t>10.10.74.204</t>
  </si>
  <si>
    <t>Esta Impresora fue desincorporada por autorización de Logística y Soporte en Sitio, Impresora opeartiva,Pendiente por retirar, Contador:155378 Fecha 05-12-2017</t>
  </si>
  <si>
    <t>9905MFGE01</t>
  </si>
  <si>
    <t>10.11.28.200</t>
  </si>
  <si>
    <t>Esta Impresora fue desincorporada por autorización de Logística y Soporte en Sitio, Impresora opeartiva,Pendiente por retirar, Contador:150253 Fecha 05-12-2017</t>
  </si>
  <si>
    <t>9873MFGE01</t>
  </si>
  <si>
    <t>10.11.16.201</t>
  </si>
  <si>
    <t>Esta Impresora fue desincorporada por autorización de Logística y Soporte en Sitio, Impresora operativa,Retirada el dia 18-12-2017, Contador:47978 Fecha 18-12-2017</t>
  </si>
  <si>
    <t>29-12-2017</t>
  </si>
  <si>
    <t>02-01 al 05-01</t>
  </si>
  <si>
    <t>Contador 05-01</t>
  </si>
  <si>
    <t>08-01 al 12-01</t>
  </si>
  <si>
    <t>Contador 12-01</t>
  </si>
  <si>
    <t>15-01 al 12-01</t>
  </si>
  <si>
    <t>Contador 19-01</t>
  </si>
  <si>
    <t>22-01 al 26-01</t>
  </si>
  <si>
    <t>Contador 26-01</t>
  </si>
  <si>
    <t>29-01 al 31-01</t>
  </si>
  <si>
    <t>Esta Impresora fue retirada por autorizacion de Logistica y Soporte en Sitio ya que la misma presenta daño en el panel de control,Retirada por el Transportsita, Contador:162442 Fecha 15-11-2017</t>
  </si>
  <si>
    <t>Último Contador y Observaciones</t>
  </si>
  <si>
    <t>Equipo Embalado para Retiro el día 10-10-2018</t>
  </si>
  <si>
    <t>Oficina cerrada el día 16-11-2018</t>
  </si>
  <si>
    <t>Equipo Embalado para Retiro el día 03-02-2018</t>
  </si>
  <si>
    <t>10.10.145.200</t>
  </si>
  <si>
    <t>Oficina cerrada el día 01-09-2018 Equipo Instalado en la Oficina Puerto La Cruz</t>
  </si>
  <si>
    <t>Equipo embalado por fallas en el ADF y demás componentes en el sistema de Impresión</t>
  </si>
  <si>
    <t>Equipo embalado en la agencia 28/01/2019</t>
  </si>
  <si>
    <t>DRL43599</t>
  </si>
  <si>
    <t>DRL51798</t>
  </si>
  <si>
    <t>DRL45565</t>
  </si>
  <si>
    <t>DRL54297</t>
  </si>
  <si>
    <t>DRL54812</t>
  </si>
  <si>
    <t>FRU38957</t>
  </si>
  <si>
    <t>DRL37943</t>
  </si>
  <si>
    <t>FRU46125</t>
  </si>
  <si>
    <t>DRL54962</t>
  </si>
  <si>
    <t>FRU47855</t>
  </si>
  <si>
    <t>DRL37773</t>
  </si>
  <si>
    <t>DRL38010</t>
  </si>
  <si>
    <t>DRL45556</t>
  </si>
  <si>
    <t>DRL54052</t>
  </si>
  <si>
    <t>FRU46135</t>
  </si>
  <si>
    <t>DRL51918</t>
  </si>
  <si>
    <t>FRU46147</t>
  </si>
  <si>
    <t>FRU46103</t>
  </si>
  <si>
    <t>DRL52655</t>
  </si>
  <si>
    <t>DRL52644</t>
  </si>
  <si>
    <t>DRL37782</t>
  </si>
  <si>
    <t>FRU83003</t>
  </si>
  <si>
    <t>DRL55642</t>
  </si>
  <si>
    <t>DRL39407</t>
  </si>
  <si>
    <t>FRU48554</t>
  </si>
  <si>
    <t>DRL45534</t>
  </si>
  <si>
    <t>FRU40601</t>
  </si>
  <si>
    <t>DRL52648</t>
  </si>
  <si>
    <t>DRL49249</t>
  </si>
  <si>
    <t>DRL43544</t>
  </si>
  <si>
    <t>FRU40515</t>
  </si>
  <si>
    <t>DRL52654</t>
  </si>
  <si>
    <t>DRL45562</t>
  </si>
  <si>
    <t>FRU46132</t>
  </si>
  <si>
    <t>DRL45468</t>
  </si>
  <si>
    <t>DRL54958</t>
  </si>
  <si>
    <t>DRL51796</t>
  </si>
  <si>
    <t>DRL39442</t>
  </si>
  <si>
    <t>DRL45548</t>
  </si>
  <si>
    <t>DRL53995</t>
  </si>
  <si>
    <t>DRL64170</t>
  </si>
  <si>
    <t>DRL64172</t>
  </si>
  <si>
    <t>DRL54793</t>
  </si>
  <si>
    <t>DRL64075</t>
  </si>
  <si>
    <t>DRL52040</t>
  </si>
  <si>
    <t>DRL64111</t>
  </si>
  <si>
    <t>DRL37792</t>
  </si>
  <si>
    <t>DRL52656</t>
  </si>
  <si>
    <t>DRL52665</t>
  </si>
  <si>
    <t>FRU46109</t>
  </si>
  <si>
    <t>DRL61689</t>
  </si>
  <si>
    <t>DRL45559</t>
  </si>
  <si>
    <t>DRL51805</t>
  </si>
  <si>
    <t>DRL43585</t>
  </si>
  <si>
    <t>DRL45552</t>
  </si>
  <si>
    <t>DRL61555</t>
  </si>
  <si>
    <t>DRL49247</t>
  </si>
  <si>
    <t>DRL54291</t>
  </si>
  <si>
    <t>DRL61684</t>
  </si>
  <si>
    <t>DRL37949</t>
  </si>
  <si>
    <t>DRL54328</t>
  </si>
  <si>
    <t>DRL37785</t>
  </si>
  <si>
    <t>DRL37939</t>
  </si>
  <si>
    <t>FRU38032</t>
  </si>
  <si>
    <t>DRL52664</t>
  </si>
  <si>
    <t>DRL43541</t>
  </si>
  <si>
    <t>DRL37910</t>
  </si>
  <si>
    <t>DRL54876</t>
  </si>
  <si>
    <t>FRU47932</t>
  </si>
  <si>
    <t>DRL64144</t>
  </si>
  <si>
    <t>DRL55640</t>
  </si>
  <si>
    <t>DRL55644</t>
  </si>
  <si>
    <t>FRU83455</t>
  </si>
  <si>
    <t>DRL64080</t>
  </si>
  <si>
    <t>FRU40694</t>
  </si>
  <si>
    <t>DRL45530</t>
  </si>
  <si>
    <t>FRU40880</t>
  </si>
  <si>
    <t>DRL37955</t>
  </si>
  <si>
    <t>DRL43609</t>
  </si>
  <si>
    <t>FRU46134</t>
  </si>
  <si>
    <t>FRU40891</t>
  </si>
  <si>
    <t>DRL54907</t>
  </si>
  <si>
    <t>FRU46124</t>
  </si>
  <si>
    <t>FRU47870</t>
  </si>
  <si>
    <t>DRL54960</t>
  </si>
  <si>
    <t>DRL38003</t>
  </si>
  <si>
    <t>DRL37992</t>
  </si>
  <si>
    <t>Torre</t>
  </si>
  <si>
    <t>P31</t>
  </si>
  <si>
    <t>TBMP31M1</t>
  </si>
  <si>
    <t>Mercantil Merin B.</t>
  </si>
  <si>
    <t>Canon iR-ADV 4045</t>
  </si>
  <si>
    <t>10.0.31.49</t>
  </si>
  <si>
    <t>HRN01668</t>
  </si>
  <si>
    <t>El equipo que se encontraba anteriormente HRN01668 fue reemplazado por el HRN00880 el día 13-05-2019 a primera hora de la mañana</t>
  </si>
  <si>
    <t>Oficina cerrada temporalmente 20-06-2019</t>
  </si>
  <si>
    <t>Oficina cerrada temporalmente el día 13-06-2019</t>
  </si>
  <si>
    <t>Oficina cerrada temporalmente el día 19-06-2019</t>
  </si>
  <si>
    <t xml:space="preserve">Oficina cerrada temporalmente 25-06-2019 </t>
  </si>
  <si>
    <t>Falla de Comunicación</t>
  </si>
  <si>
    <t>Esta Impresora fue retirada por autorizacion de Logistica y Soporte en Sitio ya que presenta falla en la Duplex, contador de 418252, Pendiente por Retirar. Fecha 20-07-2017/Impresora se encuentra en la torre piso 11</t>
  </si>
  <si>
    <t>Equipo embalado en la agencia 28/01/2019 pendiente por retirar/Equipo desincorporado y embalado DRL37781 Contador: 283122 Fecha: 28/01/2019</t>
  </si>
  <si>
    <t>Oficina cerrada temporalmente 12-08-2019 S/N FRU47921 Contador: 247975</t>
  </si>
  <si>
    <t>10.10.206.205</t>
  </si>
  <si>
    <t>10.10.206.202</t>
  </si>
  <si>
    <t>Oficina cerrada temporalmente 10-10-2019</t>
  </si>
  <si>
    <t>Equipo no ha reportado impresiones/Oficina cerrada temporalmente 15-10-2019</t>
  </si>
  <si>
    <t>Oficina cerrada temporalmente 22-10-2019</t>
  </si>
  <si>
    <t>Se procede al embalaje de esta impresora por autorizacion de logistica y Soporte en sitio el dia 09-10-2019</t>
  </si>
  <si>
    <t>Cierre definitivo de la agencia 09/12/2019</t>
  </si>
  <si>
    <t>Cierre de la agencia definitivamente 11/12/2019</t>
  </si>
  <si>
    <t>Se cambio IP el 09-11-2017 por autorizacion del Banco/Agencia cerrada definitivamente 05/12/2019</t>
  </si>
  <si>
    <t>Falla de Comunicación desde el 21-05-2018/Agencia cerrada Definitivamente 06/12/2019</t>
  </si>
  <si>
    <t>Equipo con falla de Drum/Equipo desincorporada ya que presentaba multiples fallas por autorizacion de logistica y soporte en sitio 07/01/2020</t>
  </si>
  <si>
    <t>9859MFGE01</t>
  </si>
  <si>
    <t>9660MFGE01</t>
  </si>
  <si>
    <t>Agencia cerrada Definitivamente 06/03/2020</t>
  </si>
  <si>
    <t>9217MFAP02</t>
  </si>
  <si>
    <t>DRL54336</t>
  </si>
  <si>
    <t>Impresora inoperativa por inundación en la agencia notificado al cliente el 17-08-2020 (300-365135)</t>
  </si>
  <si>
    <t>Servicio de Crédito</t>
  </si>
  <si>
    <t>P13</t>
  </si>
  <si>
    <t>TBMP13M1</t>
  </si>
  <si>
    <t>HRN01676</t>
  </si>
  <si>
    <t>10.0.13.203</t>
  </si>
  <si>
    <t xml:space="preserve">Se desincorpora esta impresora por tener error E840-000/E248-001 no permite imprimir ni scanear Fecha: 02/08/2019 </t>
  </si>
  <si>
    <t>Gerencia de ahorro habitacional</t>
  </si>
  <si>
    <t>P20</t>
  </si>
  <si>
    <t>TBMP20M1</t>
  </si>
  <si>
    <t>HRN02972</t>
  </si>
  <si>
    <t>10.0.20.90</t>
  </si>
  <si>
    <t>Impresora en resguardo Piso 11</t>
  </si>
  <si>
    <t>Altamira (Mercantil Arte y Cultura)</t>
  </si>
  <si>
    <t>10.0.40.207</t>
  </si>
  <si>
    <t>Oficina cerrada el día 18-06-2019</t>
  </si>
  <si>
    <t>DRL54342</t>
  </si>
  <si>
    <t>10.0.40.253</t>
  </si>
  <si>
    <t>Impresora se encotraba en resguardo y se instalo en la principal area de boveda por autorizacion de logistica y soporte en sitio el dia 24/11</t>
  </si>
  <si>
    <t>Esta impresora fue reemplazada por el equipo DRL51891 en sustitución del DRL54336 por fallas en el mecanismo de impresión, autorizado por la mesa de servicio cambio realizado el 24/10/2018/Impresora desincorporada y embalada por el cierre de la agencia 07/12/2021</t>
  </si>
  <si>
    <t>Desincorporada y embalada 14/12/2021</t>
  </si>
  <si>
    <t>Impresora desincorporada y embalada por presentar fallas 14/12/2021</t>
  </si>
  <si>
    <t>9217MFBO01</t>
  </si>
  <si>
    <t>10.0.40.230</t>
  </si>
  <si>
    <t>DRL64102</t>
  </si>
  <si>
    <t>9217MFBV</t>
  </si>
  <si>
    <t>Se desincorpora la impresora por el cierre de la agencia 14/01/2022</t>
  </si>
  <si>
    <t>Oficina cerrada temporalmente</t>
  </si>
  <si>
    <t>Equipo instalado en foyer del auditorio en calidad de prestamo para atencion al cliente (CONT. 227.847) 30-06-2020/Se cambio la ip de la 10.0.40.205 a la 10.0.40.207 06/08/202/Se desincorpora y se embala la impresora y se encuentra en el piso 11 en resguardo 30/11/2021/Se instala en el piso 11 area de logistica y soporte en sitio con autorizacion 16/12/2021 ya que la DRL37939 PRESENTABA FALLAS CON EL ADF/Equipo se encuentra en resguardo en el nivel 3 ya que no fue necesario instalarla en el piso 11</t>
  </si>
  <si>
    <t>Centro Occidental</t>
  </si>
  <si>
    <t>9518MFAP01</t>
  </si>
  <si>
    <t>10.10.79.200</t>
  </si>
  <si>
    <t>Metropolis Valencia</t>
  </si>
  <si>
    <t>Equipo embalado pendiente retiro</t>
  </si>
  <si>
    <t>10.10.168.204</t>
  </si>
  <si>
    <t>Cierre definitivo impresora embalada \ Impresora sin Drum, se uso para impresora de Gerencia de Cabimas 12/12/20219</t>
  </si>
  <si>
    <t>Cierre definitivo impresora embalada \ Sin fusor se utilizo para caso de punto fijo 12/12/2019</t>
  </si>
  <si>
    <t>10.11.9.202</t>
  </si>
  <si>
    <t>9312MFNE01</t>
  </si>
  <si>
    <t>9211MFTQ01</t>
  </si>
  <si>
    <t>9271MFBP02</t>
  </si>
  <si>
    <t>9291MFEN01</t>
  </si>
  <si>
    <t>9964MFAP01</t>
  </si>
  <si>
    <t>9826MFGE01</t>
  </si>
  <si>
    <t>9530MFNE01</t>
  </si>
  <si>
    <t>Impresora desincorporada por varias fallas y se instala la impresora que se encontraba en la agencia makro maturin el mismo modelo con autorizacion de logistica y soporte en sitio el dia 16/02/2022</t>
  </si>
  <si>
    <t>Equipo con falla de Drum/Equipo embalado el dia 01/04</t>
  </si>
  <si>
    <t>Equipo embalado por autorización de Logística y soporte en sitio cont. 502076 07/10/2021. Equipo con fallas/Equipo se encuentra en torre en nivel 3</t>
  </si>
  <si>
    <t>Equipo Desincorporado y Embalado DRL54055 Contador: 305698 Fecha: 29/05/2019 Pendiente por retirar/Equipo con fallas del Drum y Fusor desde el 17/09/2018/Impresora ya se encuentra en la torre 19/05/2022</t>
  </si>
  <si>
    <t>Agencias</t>
  </si>
  <si>
    <t>Se reemplaza y se embala la impresora por presentar fallas de manera constante 27/06/2022</t>
  </si>
  <si>
    <t xml:space="preserve"> Impresora se encuentra en la torre nivel 3</t>
  </si>
  <si>
    <t>9271MFOT02</t>
  </si>
  <si>
    <t>Activa sin impresiones/Se desincorpora la impresora ya que tiene la puerta de bandeja manual partida y la base de la puerta partida el dia 26/09/2022 y se encuentra en la torre</t>
  </si>
  <si>
    <t>9813MFTQ01</t>
  </si>
  <si>
    <t>9510MFEN01</t>
  </si>
  <si>
    <t>9510MFEN02</t>
  </si>
  <si>
    <t>9813MFSE01</t>
  </si>
  <si>
    <t>9813MFOT01</t>
  </si>
  <si>
    <t>Oficina cerrada temporalmente/Impresora se encuentra en la torre nivel 3 el dia 06/10/2022</t>
  </si>
  <si>
    <t>Cierre definitivo impresora embalada 19/10/2022</t>
  </si>
  <si>
    <t>Equipo con Falla de DrumSe reemplazo Drum 06/04/2022/Cierre temporalmente de la agencia 16/06/2022/Impresora ya se encuentra en la torre nivel 3</t>
  </si>
  <si>
    <t>Cierre temporalmente de la agencia 16/06/2022/Impresora ya se encuentra en la torre nivel 3</t>
  </si>
  <si>
    <t>9471MFTQ01</t>
  </si>
  <si>
    <t>9655MFHP01</t>
  </si>
  <si>
    <t>9469MFTQ01</t>
  </si>
  <si>
    <t>DRL64107</t>
  </si>
  <si>
    <t>9615MFTQ01</t>
  </si>
  <si>
    <t>Oficina Cerrada</t>
  </si>
  <si>
    <t>9895MFTQ01</t>
  </si>
  <si>
    <t>DRL61533</t>
  </si>
  <si>
    <t>Se desincorpora esta impresora y se reemplaza en la agencia por la Canon IR1025 DRL43584 por presenta la base y soporte de la puerta lateral partidos 14/03/2023 y se encuentra en la torre piso 11</t>
  </si>
  <si>
    <t>Se desincorpora y se embala la impresora con autorizacion 24/03/2023</t>
  </si>
  <si>
    <t>No se embalo solo para scanear</t>
  </si>
  <si>
    <t>Se desincorpora y se embala con autorizacion de logistica y soporte en sitio 29/03/2023</t>
  </si>
  <si>
    <t>Laserjet</t>
  </si>
  <si>
    <t>MXBC179GE8</t>
  </si>
  <si>
    <t>Impresora con fallas de Drum/Impresora con fallas la utilizan solo para scanear</t>
  </si>
  <si>
    <t>Se desincorpora por presentar varias fallas y se encuentra en la torre 04/04/2023</t>
  </si>
  <si>
    <t>Se desincorpora y se embala por tener poco uso con autorizacion de logistica y soporte en sitio 04/04/2023</t>
  </si>
  <si>
    <t>Los Teques</t>
  </si>
  <si>
    <t>Se llamo a la agencia pero no hubo comunicación para validar por que se encuentra sin impresiones/Se desincorpora y se embala la impresora por presentar fallas con autorizacion de logistica y soporte en sitio el dia 11/03/2022/La Impresora se encuentra en el nivel 3 20/04/2023</t>
  </si>
  <si>
    <t>Equipo embalado por autorización de Logística y soporte en sitio cont. 116456 11/07/2019/Impresora se encuentra en la torre nivel 3 04/05/2023/Impresora se encuentra en la torre nivel 3</t>
  </si>
  <si>
    <r>
      <t>Impresora con fallas de Drum/</t>
    </r>
    <r>
      <rPr>
        <b/>
        <sz val="11"/>
        <rFont val="Calibri"/>
        <family val="2"/>
        <scheme val="minor"/>
      </rPr>
      <t>Se desincorpora y se embala la impresora por presentar fallas con autorizacion 28/03/2023/Impresora se encuentra en la torre nivel 3</t>
    </r>
  </si>
  <si>
    <r>
      <t>Impresora con fallas de Drum/</t>
    </r>
    <r>
      <rPr>
        <b/>
        <sz val="11"/>
        <rFont val="Calibri"/>
        <family val="2"/>
        <scheme val="minor"/>
      </rPr>
      <t>Se desincorpora y se embala la impresora con autorizacion de logistica y soporte en sitio 03/04/2023/Impresora se encuentra en la torre nivel 3 16/05/2023</t>
    </r>
  </si>
  <si>
    <t>Se desincorpora la impresora por presentar partes dañadas y se instala la DRL45567 EL DIA 28/09/2022/Impresora se encuentra en la torre nivel 3 16/05/2023</t>
  </si>
  <si>
    <t>Se desincorpora y se embala la impresora por autorizacion 23/03/2023/Impresora se encuentra en la torre nivel 3 16/05/2023</t>
  </si>
  <si>
    <r>
      <t>Equipo con fallas(drum,fusor,tapa lateral partida y unidad de imagen)/</t>
    </r>
    <r>
      <rPr>
        <b/>
        <sz val="11"/>
        <rFont val="Calibri"/>
        <family val="2"/>
        <scheme val="minor"/>
      </rPr>
      <t>Se desincorpora y se embala por presentar fallas con autorizacion 24/03/2023/Impresora se encuentra en la torre nivel 3 16/05/2023</t>
    </r>
  </si>
  <si>
    <t>Equipo embalado presenta multiples fallas/Impresora se encuentra en la torre nivel 3 16/05/2023</t>
  </si>
  <si>
    <t>Equipo sin uso, sin personal en el area/Se desincorpora y se embala la impresora por autorizacion 23/03/2023/Impresora se encuentra en la torre nivel 3 16/05/2023</t>
  </si>
  <si>
    <t>Equipo embalado por autorización de Logística y soporte en sitio cont. 125971 15/10/2021/Impresora se encuentra en la torre nivel 3 23/05/2023</t>
  </si>
  <si>
    <t>Impresora con multiples fallas, en su momento se solicito reemplazo de la impresora/Se embala impresora por presentar Error E000000 no imprime el dia 25/10/2022/Impresora se encuentra en la torre nivel 3 23/05/2023</t>
  </si>
  <si>
    <t>Se desincorpora y se embala el equipo con autorizacion de logistica y soporte en sitio el dia 15/03/2022/Impresora se encuentra en la torre nivel 3 23/05/2023</t>
  </si>
  <si>
    <r>
      <t>Equipo con fallas de Drum/</t>
    </r>
    <r>
      <rPr>
        <b/>
        <sz val="11"/>
        <rFont val="Calibri"/>
        <family val="2"/>
        <scheme val="minor"/>
      </rPr>
      <t>Se desincorpora y se embala con la autoriacion de soporte y logistica en sitio 29/03/2023/Impresora se encuentra en la torre en el nivel 3 23/05/2023</t>
    </r>
  </si>
  <si>
    <t>Apagada por presentar varias fallas/Se desincorpora y se embala con autorizacion el 28/03/2023/Impresora se encuentra en la torre en el nivel 3 23/05/2023</t>
  </si>
  <si>
    <t>Impresora con fallas la utilizan solo para scanear/Apagada no se encuentra personal en el area</t>
  </si>
  <si>
    <t>Impresora se encuentra embalada y en resguardo en la agencia de plaza alonso de ojeda</t>
  </si>
  <si>
    <t>Impresora Activa pero sin impresiones/Se desincorpora y se embala por cierre de la agencia con autorizacion de logistica y soporte en sitio 02/08/2023</t>
  </si>
  <si>
    <t>Se desincorpora y se embala por cierre de la agencia con autorizacion de logistica y soporte en sitio 02/08/2023</t>
  </si>
  <si>
    <t>9232MFTQ01</t>
  </si>
  <si>
    <t>Impresora retirada por personal de mt2005</t>
  </si>
  <si>
    <t xml:space="preserve">Contador Semana 1 </t>
  </si>
  <si>
    <t>Contador Semana 2</t>
  </si>
  <si>
    <t>Contador Final Semana 2</t>
  </si>
  <si>
    <t>Contador Semana 3</t>
  </si>
  <si>
    <t>Contador Final Semana 3</t>
  </si>
  <si>
    <t>Contador Semana 4</t>
  </si>
  <si>
    <t>Contador Final Semana 4</t>
  </si>
  <si>
    <t>Contador Semana 5</t>
  </si>
  <si>
    <t>Contador Final Semana 5</t>
  </si>
  <si>
    <t>Fecha</t>
  </si>
  <si>
    <t>FRU46142</t>
  </si>
  <si>
    <t>Cierre Definitivo 22/01/2023</t>
  </si>
  <si>
    <t>Cierre Definitivo 12/12/2023</t>
  </si>
  <si>
    <t>9217MFCP02</t>
  </si>
  <si>
    <t>10.10.72.203</t>
  </si>
  <si>
    <t>Cierre Temporal /Impresora instalada en la agencia ya que fue trasladada de plaza alonso de ojeda 08/12/2023</t>
  </si>
  <si>
    <t>DRL94592</t>
  </si>
  <si>
    <t>10.10.20.202</t>
  </si>
  <si>
    <t>10.10.20.203</t>
  </si>
  <si>
    <t>Equipo desincorporada 08/12/2023/Equipo desincorporado, embalado y se encuentra en el nivel 3 26/01/2024</t>
  </si>
  <si>
    <t>Equipo ubicado en Centro de Procesamiento/Se procedio a reemplazar la ip antes tenia 10.0.40.253 y estaba en la metro I Principal el dia 19/02/2024</t>
  </si>
  <si>
    <t>Cierre definitivo impresora embalada 16/11/2023/Se encuentra en la torre nivel 3 16/11/2023</t>
  </si>
  <si>
    <t>Se desincorpora y se embala por cierre definitivo 03/04/2023/ Se encuentra en el galpon de guarenas 5/9/2023</t>
  </si>
  <si>
    <r>
      <t>Impresora con fallas de Drum y Fusor/</t>
    </r>
    <r>
      <rPr>
        <b/>
        <sz val="11"/>
        <rFont val="Calibri"/>
        <family val="2"/>
        <scheme val="minor"/>
      </rPr>
      <t>Se desincorpora y se embala con autorizacion 29/03/2023/Se encuentra en el galpon guarenas 5/9/2023</t>
    </r>
  </si>
  <si>
    <t>Se desincorpora y se embala la impresora con autorizacion 24/03/2023/Se encuentra en el galpon guarenas 5/9/2023</t>
  </si>
  <si>
    <t>Equipo embalado por autorización de Logística y soporte en sitio 26/02/2020/Se encuentra en el galpon guarenas 5/9/2023</t>
  </si>
  <si>
    <t>Equipo embalado por autorizacion de logistica y soporte en sitio/Se encuentra en el galpon guarenas 5/9/2023</t>
  </si>
  <si>
    <t>Apagada por no haber personal en el area/Se desincorpora y se embala la impresora con autorizacion de logistica y soporte en sitio 08/03/2023/Se encuentra en el galpon guarenas 5/9/2023</t>
  </si>
  <si>
    <t>Equipo embalado por autorizacion de logistica y soporte en sitio DRL55638 Contador: 291.136/Se encuentra en el galpon guarenas 5/9/2023</t>
  </si>
  <si>
    <t>Se desincorpora y se embala el equipo con autorizacion de logistica y soporte en sitio el dia 13/07/2022 por presentar multiples fallas Contador: 607775/Se encuentra en el galpon guarenas 5/9/2023</t>
  </si>
  <si>
    <t>Equipo embalado por autorización de Logística y soporte en sitio 17/01/2020/Se encuentra en resguardo en el sotano 2 30/10/2023</t>
  </si>
  <si>
    <t>Oficina cerrada temporalmente 06/04/2022/Se encuentra en el sotano 2 30/10/2023</t>
  </si>
  <si>
    <t>Equipo con falla de Drum/Se desincorpora y se embala la impresora por no utilizarla con autorizacion de logistica y soporte en sitio el dia 11/03/2022/Se encuentra en el sotano 2 30/10/2023</t>
  </si>
  <si>
    <t>10.140.0.200</t>
  </si>
  <si>
    <t>Se cambio la ip 11/01/2024</t>
  </si>
  <si>
    <t>9261MFTQ01</t>
  </si>
  <si>
    <t>9228MFTQ01</t>
  </si>
  <si>
    <t>10.10.20.205</t>
  </si>
  <si>
    <t>Impresora se embala con autorizacion de logistica y soporte en sitio ya que presentaba varias fallas 13/07/2022/Impresora se encuentra en el nivel 3 02/04/2024</t>
  </si>
  <si>
    <t>Se desincorpora y se embala la impresora con autorizacion de logistica y soporte en sitio 30/03/2023/Impresora se encuentra en el nivel 3 02/04/2024</t>
  </si>
  <si>
    <r>
      <t>Equipo con falla de Drum/</t>
    </r>
    <r>
      <rPr>
        <sz val="11"/>
        <rFont val="Calibri"/>
        <family val="2"/>
        <scheme val="minor"/>
      </rPr>
      <t>Pendiente por desincorporar/Se desincorpora y se embala la impresora con autorizacion de logistica y soporte en sitio 03/04/2023/Impresora se encuentra en el nivel 3 02/04/2024</t>
    </r>
  </si>
  <si>
    <t>Equipo apagado por no haber linea en el area/Se desincorpora y se embala con autorizacion de logistica y soporte en sitio 29/03/2023/Impresora se encuentra en el nivel 3 02/04/2024</t>
  </si>
  <si>
    <t>Se desincorpora y se embala por poco uso con autorizacion 28/03/2023/Impresora se encuentra en la torre nivel 3 10/05/2024</t>
  </si>
  <si>
    <t>Se desincorpora y se embala con autorizacion de logistica y soporte en sitio 23/11/2023/Impresora se encuentra en la torre nivel 3 10/05/2024</t>
  </si>
  <si>
    <t>Se desincorpora y se embala la impresora con autorizacion de soporte y logistica en sitio el dia 26/10/2023/Impresora se encuentra en la torre nivel 3 10/05/2024</t>
  </si>
  <si>
    <t>Se desincorpora y se embala la impresora con autorizacion 27/03/2023/Impresora se encuentra en la torre nivel 3 10/05/2024</t>
  </si>
  <si>
    <t>Se desincorpora esta impresora por presentar poco uso pero se encuentra operativa y se encuentra en resguardo en el piso 11 17/11/2022/Se instala y se reemplaza en la agencia por la Canon IR1025 DRL43584 por presenta la base y soporte de la puerta lateral partidos 14/03/2023/Se embalo el 23/08/2023 por Joseph Torrealba/Impresora se encuentra en la torre nivel 3 10/05/2024</t>
  </si>
  <si>
    <t>Se embalo el 23/08/2023 por Joseph Torrealba/Impresora se encuentra en la torre nivel 3 10/05/2024</t>
  </si>
  <si>
    <t>Se desincorpora y se embala con autorizacion de logistica y soporte en sitio 29/03/2023/Impresora se encuentra en la torre nivel 3 10/05/2024</t>
  </si>
  <si>
    <t>9311MFTQ01</t>
  </si>
  <si>
    <t>9414MFTQ01</t>
  </si>
  <si>
    <t>9430MFTQ01</t>
  </si>
  <si>
    <t>Cierre Definitivo</t>
  </si>
  <si>
    <t>Activa sin impresiones/Se desincoporra y se embala con autorizacion de logistica y soporte en sitio el dia 25/10/2023/Impresora se encuentra en resguardo en nivel 3 12/07/2024</t>
  </si>
  <si>
    <t>Se desincorpora y se embala con autorizacion 24/03/2023/Impresora se encuentra en resguardo en nivel 3 12/07/2024</t>
  </si>
  <si>
    <t>Cierre Temporal</t>
  </si>
  <si>
    <t>Delcop</t>
  </si>
  <si>
    <t>LSH7327000</t>
  </si>
  <si>
    <t>DRL38005</t>
  </si>
  <si>
    <t>Cierre Temporal/Cierre Definitivo 01/08/2024</t>
  </si>
  <si>
    <t>Equipo instalado Agencia Guarenas para uso de personal del Galpon  \ Equipo embalado/Equipo se encuentra en la torre nivel 3 12/09/2024</t>
  </si>
  <si>
    <t>Equipo resguardado el 17/08/2023 por alexis figueroa/Equipo se encuentra en la torre nivel 3 12/09/2024</t>
  </si>
  <si>
    <t>Operativa pero sin impresiones/Equipo resguardado en la agencia el 10/08/2023/Equipo se encuentra en la torre nivel 3 12/09/2024</t>
  </si>
  <si>
    <t>Se llamo a la agencia pero no hubo comunicación para validar por que se encuentra sin impresiones no se logra comunicar con la agencia/Se contacto a la Sra. Angelica Rueda y nos indico que la impresora se encontraba apagada por los constante bajones de luz pero posee el mismo contador./Se desincorpora y se embala con autorizacion de logistica y soporte en sitio se deja en resguardo en la boveda 20/06/2023/Equipo se encuentra en la torre nivel 3 12/09/2024</t>
  </si>
  <si>
    <t>9238MFTQ01</t>
  </si>
  <si>
    <t>Se encuentra en resguardo en la torre nivel 3 17/10/2024</t>
  </si>
  <si>
    <t>Cierre Definitivo 30/11/2023/Impresora se encuentra en el nivel 3 05/11/2024</t>
  </si>
  <si>
    <t>Cierre Definitivo 27/09/2023/Impresora se encuentra en el nivel 3 29/11/2024</t>
  </si>
  <si>
    <t>Se desincorpora y se embala 17/12/2024</t>
  </si>
  <si>
    <t>Status impresora</t>
  </si>
  <si>
    <t>Codigo de Negocio</t>
  </si>
  <si>
    <t>Oficina</t>
  </si>
  <si>
    <t>Status</t>
  </si>
  <si>
    <t>Sede</t>
  </si>
  <si>
    <t>Activa</t>
  </si>
  <si>
    <t>San Francisco</t>
  </si>
  <si>
    <t>PRADOS DE MARIA</t>
  </si>
  <si>
    <t>Cierre temporal</t>
  </si>
  <si>
    <t>Avenida Francisco Solano</t>
  </si>
  <si>
    <t>Terrazas del Ávila</t>
  </si>
  <si>
    <t>Caja Interna</t>
  </si>
  <si>
    <t>LOS PALOS GRANDES</t>
  </si>
  <si>
    <t>LA GUAIRA</t>
  </si>
  <si>
    <t>LA CANDELARIA</t>
  </si>
  <si>
    <t>Cierre definitivo</t>
  </si>
  <si>
    <t xml:space="preserve">SAN MARTIN </t>
  </si>
  <si>
    <t xml:space="preserve">Corp. Corpororación Andina de Fomento  </t>
  </si>
  <si>
    <t>Avenida España</t>
  </si>
  <si>
    <t>C.C. Multiplaza Paraíso</t>
  </si>
  <si>
    <t>CARABALLEDA</t>
  </si>
  <si>
    <t>SAN IGNACIO</t>
  </si>
  <si>
    <t>C.C. Tolón</t>
  </si>
  <si>
    <t>Bello Monte</t>
  </si>
  <si>
    <t>C.C. Líder</t>
  </si>
  <si>
    <t>MACARACUAY</t>
  </si>
  <si>
    <t>INTEVEP</t>
  </si>
  <si>
    <t>Plaza Las Américas</t>
  </si>
  <si>
    <t>BOLEITA</t>
  </si>
  <si>
    <t>Cúa</t>
  </si>
  <si>
    <t>LOS CHAGUARAMOS</t>
  </si>
  <si>
    <t>Las Tejerías</t>
  </si>
  <si>
    <t>Las Delicias</t>
  </si>
  <si>
    <t>COLONIA TOVAR</t>
  </si>
  <si>
    <t>CORP. SERAVICA</t>
  </si>
  <si>
    <t>TUCUPIDO</t>
  </si>
  <si>
    <t>San Fernando de Apure</t>
  </si>
  <si>
    <t>San Juan de Los Morros</t>
  </si>
  <si>
    <t>AG.CORP.CENTRAL EL PALMAR</t>
  </si>
  <si>
    <t xml:space="preserve">Turmero                          </t>
  </si>
  <si>
    <t>Avenida Aragua - Maracay</t>
  </si>
  <si>
    <t>PLAZA FRANCIA</t>
  </si>
  <si>
    <t xml:space="preserve">Girardot                         </t>
  </si>
  <si>
    <t>Valle de La Pascua</t>
  </si>
  <si>
    <t>C. C. Las Trinitarias</t>
  </si>
  <si>
    <t>Valencia Plaza Bolívar</t>
  </si>
  <si>
    <t>C.C. METROPOLIS VALENCIA</t>
  </si>
  <si>
    <t>Zona Industrial Valencia</t>
  </si>
  <si>
    <t>Lomas del Este - Valencia</t>
  </si>
  <si>
    <t>El Recreo - Valencia</t>
  </si>
  <si>
    <t xml:space="preserve">Valencia Norte                   </t>
  </si>
  <si>
    <t>San Blas - Valencia</t>
  </si>
  <si>
    <t>C.C.C.T.</t>
  </si>
  <si>
    <t>C.C. Terepaima Cabudare</t>
  </si>
  <si>
    <t>C.C BUENAVENTURA ACARIGUA</t>
  </si>
  <si>
    <t>Centro Sambil - Barquisimeto</t>
  </si>
  <si>
    <t>C.C. CIMA - Barinas</t>
  </si>
  <si>
    <t>Centro Sambil - Valencia</t>
  </si>
  <si>
    <t xml:space="preserve">San Diego - Valencia             </t>
  </si>
  <si>
    <t>Avenida Bolívar Valencia</t>
  </si>
  <si>
    <t>CORP. HEINZ</t>
  </si>
  <si>
    <t>CORP. VICSON</t>
  </si>
  <si>
    <t>C.C.Alianza Mall-Guacara</t>
  </si>
  <si>
    <t>Centro Sambil - Paraguaná</t>
  </si>
  <si>
    <t>LA CASCADA MATURIN</t>
  </si>
  <si>
    <t>C.C. Orinokia</t>
  </si>
  <si>
    <t>Puerto Ordaz</t>
  </si>
  <si>
    <t>PUERTO ORDAZ CENTRO</t>
  </si>
  <si>
    <t>Maturín</t>
  </si>
  <si>
    <t>Terranova - C.C. Mercado la Isla</t>
  </si>
  <si>
    <t>Lechería - C.C. Aventura Plaza</t>
  </si>
  <si>
    <t>REFINERIA PTO LA CRUZ</t>
  </si>
  <si>
    <t>SAN TOME</t>
  </si>
  <si>
    <t>MATANZAS</t>
  </si>
  <si>
    <t>Centro Sambil - Margarita</t>
  </si>
  <si>
    <t>CAMPO NORTE ANACO</t>
  </si>
  <si>
    <t xml:space="preserve">CORP. PUNTA DE MATA </t>
  </si>
  <si>
    <t>Corp. Guaraguao</t>
  </si>
  <si>
    <t>Carúpano</t>
  </si>
  <si>
    <t>Puerto la Cruz</t>
  </si>
  <si>
    <t>UNARE - PUERTO ORDAZ</t>
  </si>
  <si>
    <t>Maturín II</t>
  </si>
  <si>
    <t>Cumaná</t>
  </si>
  <si>
    <t>IRAPA</t>
  </si>
  <si>
    <t>Punta de Mata</t>
  </si>
  <si>
    <t>San Félix</t>
  </si>
  <si>
    <t>UPATA</t>
  </si>
  <si>
    <t>C.C. Monagas Plaza</t>
  </si>
  <si>
    <t>4 de Mayo</t>
  </si>
  <si>
    <t>Corp. Petrozuata</t>
  </si>
  <si>
    <t>AV. BERMUDEZ CUMANA</t>
  </si>
  <si>
    <t>JUAN GRIEGO</t>
  </si>
  <si>
    <t>San Simón Maturín</t>
  </si>
  <si>
    <t>BOULEVAR SUCRE</t>
  </si>
  <si>
    <t>VALERA CENTRO</t>
  </si>
  <si>
    <t>Zona Industrial II Maracaibo</t>
  </si>
  <si>
    <t>5 DE JULIO I</t>
  </si>
  <si>
    <t>Plaza República</t>
  </si>
  <si>
    <t>Santa Bárbara</t>
  </si>
  <si>
    <t>CIUDAD OJEDA</t>
  </si>
  <si>
    <t>BELLA VISTA</t>
  </si>
  <si>
    <t>MACHIQUES</t>
  </si>
  <si>
    <t>SAN CRISTOBAL</t>
  </si>
  <si>
    <t>Villa del Rosario</t>
  </si>
  <si>
    <t xml:space="preserve">C. C. Lago Mall            </t>
  </si>
  <si>
    <t>Barinas</t>
  </si>
  <si>
    <t>Glorias Patrias</t>
  </si>
  <si>
    <t>Avenida Libertador - Barquisimeto</t>
  </si>
  <si>
    <t>BARINAS CENTRO</t>
  </si>
  <si>
    <t>BACHAQUERO</t>
  </si>
  <si>
    <t>MENE GRANDE</t>
  </si>
  <si>
    <t>Plaza Alonso de Ojeda</t>
  </si>
  <si>
    <t>DELICIAS NORTE</t>
  </si>
  <si>
    <t>LAS GALERIAS</t>
  </si>
  <si>
    <t>Avenida Lara - Barquisimeto</t>
  </si>
  <si>
    <t>El Vigía</t>
  </si>
  <si>
    <t>5 de Julio II - Maracaibo</t>
  </si>
  <si>
    <t>Turén</t>
  </si>
  <si>
    <t>CABUDARE</t>
  </si>
  <si>
    <t>EJIDO</t>
  </si>
  <si>
    <t>Quíbor</t>
  </si>
  <si>
    <t>Táriba</t>
  </si>
  <si>
    <t>Mérida Av. Las Américas</t>
  </si>
  <si>
    <t>SAN JUAN DE COLON</t>
  </si>
  <si>
    <t>PARAMILLO</t>
  </si>
  <si>
    <t>Centro Sambil - Maracaibo</t>
  </si>
  <si>
    <t>San Cristóbal II</t>
  </si>
  <si>
    <t>Avenida Presidente Medina</t>
  </si>
  <si>
    <t>Maiquetía</t>
  </si>
  <si>
    <t>C.C. Uslar</t>
  </si>
  <si>
    <t>C.C. Millenium</t>
  </si>
  <si>
    <t>Centro Médico</t>
  </si>
  <si>
    <t xml:space="preserve">C.C. SANTA FE </t>
  </si>
  <si>
    <t>UNIMET</t>
  </si>
  <si>
    <t>UNIVERSIDAD SIMON BOLIVAR</t>
  </si>
  <si>
    <t>UCAB</t>
  </si>
  <si>
    <t>C.C. MANZANARES</t>
  </si>
  <si>
    <t>Plumrose Ruices</t>
  </si>
  <si>
    <t>Hospital de Clínicas Caracas</t>
  </si>
  <si>
    <t>RCTV</t>
  </si>
  <si>
    <t>Centro Médico Docente La Trinidad</t>
  </si>
  <si>
    <t>COUNTRY CLUB</t>
  </si>
  <si>
    <t>Centro Sambil San Cristóbal</t>
  </si>
  <si>
    <t>IESA</t>
  </si>
  <si>
    <t>C.C. GALERIAS EL RECREO</t>
  </si>
  <si>
    <t>D.H.L La California</t>
  </si>
  <si>
    <t>0000</t>
  </si>
  <si>
    <t>HP</t>
  </si>
  <si>
    <t>sambil Chacao</t>
  </si>
  <si>
    <t>Estatus Agencia</t>
  </si>
  <si>
    <t>Equipo de oficina Bachaquero. Resguardada en agencia Plaza Alonso de Ojeda</t>
  </si>
  <si>
    <t>Pendiente Retiro</t>
  </si>
  <si>
    <t>Instalado</t>
  </si>
  <si>
    <t>Sede Principal</t>
  </si>
  <si>
    <t>9219MFAP01</t>
  </si>
  <si>
    <t>10.0.20.230</t>
  </si>
  <si>
    <t>9219MFCP01</t>
  </si>
  <si>
    <t>10.0.20.206</t>
  </si>
  <si>
    <t>Embalado</t>
  </si>
  <si>
    <t>Sambil Chacao</t>
  </si>
  <si>
    <t>Se desincorpora y se embala la impresora por autorizacion 23/03/2023/Equipo donado 11-4-2024</t>
  </si>
  <si>
    <t>Se desincorpora y se embala la impresora por autorizacion 23/03/2023/Donado 11-4-2024</t>
  </si>
  <si>
    <t xml:space="preserve">Activa sin impresiones Servicio y Custodia de Valores/Se encuentra en la torre </t>
  </si>
  <si>
    <t>Se procede a desinstalar ya que presenta deficiencia en las impresiones y copias salen claras 19/07/2024 y se instala la 1025 S/N DRL38005/Se encuentra en la torre</t>
  </si>
  <si>
    <t>Retirado y entregado en sede principal 1-2-2025 se encuentra en la torre</t>
  </si>
  <si>
    <t>Se coloca en el area de apertura con autorizacion de logistica y soporte en sitio 15/07/2024/Se procedio a retirar de la agencia</t>
  </si>
  <si>
    <t>Activa sin impresiones sin usuario en el area/Se procede a desincorporar por no tener uso 2/19/2025</t>
  </si>
  <si>
    <t>Impresora Operativa pero sin impresiones/Se procede a desincorporar por no tener uso 2/19/2025</t>
  </si>
  <si>
    <t>Impresora dañada, la misma se mojo en la agencia por averia en tuberia de aguas blanca</t>
  </si>
  <si>
    <t>Solo para Scanear</t>
  </si>
  <si>
    <t>Se procede a desincorporar por no tener uso 2/24/2025</t>
  </si>
  <si>
    <t>Principal - Sambil La Candelaria</t>
  </si>
  <si>
    <t>Se procede a desincorporar por no tener uso 2/27/2025</t>
  </si>
  <si>
    <t>Se procede a embalar por tener poco uso 06/03/2025</t>
  </si>
  <si>
    <t>Operativa pero sin impresiones/Se embala la impresora por tener poco uso 10/03/2025</t>
  </si>
  <si>
    <t>Oficina cerrada temporalmente/Impresora se encuentra en el nivel 3 14/03/2025</t>
  </si>
  <si>
    <t>Se desincorpora y se embala por tener poco uso con autorizacion de logistica y soporte en sitio 08/01/2024/Impresora se encuentra en la torre nivel 3 17/03/2025</t>
  </si>
  <si>
    <t>DRL52653</t>
  </si>
  <si>
    <t>10.10.251.200</t>
  </si>
  <si>
    <t>9340MFEN01</t>
  </si>
  <si>
    <t>Se desincorpora y se embala por tener poco uso con autorizacion de logistica y soporte en sitio 28/03/2025</t>
  </si>
  <si>
    <t>Se desincorpora y se embala la impresora 31/03/2025</t>
  </si>
  <si>
    <t>Cierre definitivo/Impresora Nivel 3 09/04/2025</t>
  </si>
  <si>
    <t>Cierre definitivo impresora embalada/Impresora Nivel 3 09/04/2025</t>
  </si>
  <si>
    <t>Cierre definitivo /Impresora Nivel 3 29/04/2025</t>
  </si>
  <si>
    <t>Se procede a desincorporar y embalar por presentar diversas fallas 29/04/2025</t>
  </si>
  <si>
    <t>pendiente Retiro</t>
  </si>
  <si>
    <t>Se encuentran resguardadas en la agencia 30/04/2025</t>
  </si>
  <si>
    <t>9818MFTQ01</t>
  </si>
  <si>
    <t>10.11.1.201</t>
  </si>
  <si>
    <t>10.11.1.200</t>
  </si>
  <si>
    <t>Se procede a embalar por presentar fallas al imprimir doble cara  09/05/2025</t>
  </si>
  <si>
    <t>Impresora se encuentra en la agencia 9510 (Pto ordaz) por bandalismo en esta agencia</t>
  </si>
  <si>
    <t>9892MFTQ01</t>
  </si>
  <si>
    <t>10.10.219.232</t>
  </si>
  <si>
    <t>9396MFAP02</t>
  </si>
  <si>
    <t>Se instalo esta impresora en el area de aperturas en el piso 1 con autorizacion 19/06/2025</t>
  </si>
  <si>
    <t>Se procede a desincorporar y embalar por presentar fallas de impresión 18/06/2025</t>
  </si>
  <si>
    <t>Cierre Definitivo/</t>
  </si>
  <si>
    <t>Cierre Definitivo/Impresora Nivel 3 29/04/2025</t>
  </si>
  <si>
    <t>Se encuentra en el nivel 3 9/7/2025</t>
  </si>
  <si>
    <t>Se encuentra en el nivel 3 14/8/2025</t>
  </si>
  <si>
    <t>Se encuentra en el nivel 3 21/7/2025</t>
  </si>
  <si>
    <t>Se encuentra en el nivel 3 5/8/2025</t>
  </si>
  <si>
    <t xml:space="preserve">Se procede a embalar ya que presenta diversas falla </t>
  </si>
  <si>
    <t>Se procede a embalar 26/08/2025</t>
  </si>
  <si>
    <t>Activa sin impresiones</t>
  </si>
  <si>
    <t>9499MFTQ01</t>
  </si>
  <si>
    <t>9485MFTQ01</t>
  </si>
  <si>
    <t>9299MFTQ01</t>
  </si>
  <si>
    <t>9570MFTQ01</t>
  </si>
  <si>
    <t>9827MFTQ01</t>
  </si>
  <si>
    <t>9250MFTQ01</t>
  </si>
  <si>
    <t>9907MFTQ01</t>
  </si>
  <si>
    <t>Se encuentra ubicada Piso 1 gerente de operaciones</t>
  </si>
  <si>
    <t>9444MFTQ01</t>
  </si>
  <si>
    <t>9948MFAP01</t>
  </si>
  <si>
    <t>Se procede a instalar en sustitucion de la DRL54054 05/09/2025,la DRL37939 se encontraba instalada en piso 11</t>
  </si>
  <si>
    <t>Metro I</t>
  </si>
  <si>
    <t>Metro II</t>
  </si>
  <si>
    <t>Equipo embalado por autorización de Logística y soporte en sitio 13/01/2020/Cierre Definitivo el 16/09/2025</t>
  </si>
  <si>
    <t>Cierre Definitivo el 16/09/2025</t>
  </si>
  <si>
    <t>Se procede al cierre definitivo el 17/09/2025</t>
  </si>
  <si>
    <t>10.10.206.207</t>
  </si>
  <si>
    <t>Se procedio a realizar el cambio de ip por estar fuera de rango 22/09/2025</t>
  </si>
  <si>
    <t>Se encuentra en el nivel 3 23/9/2025</t>
  </si>
  <si>
    <t>cierre definitivo</t>
  </si>
  <si>
    <t xml:space="preserve">Se encuentra en el nivel 3 </t>
  </si>
  <si>
    <t>Equipo embalado por autorización de Logística y soporte en sitio cont. 144092 18/06/2019</t>
  </si>
  <si>
    <t>Se traslado de la agencia los teques para la agencia los teques II en sustitucion de la Canon IR2025 FRU48561 09/10/2025</t>
  </si>
  <si>
    <t>Se procedio a embalar ya que presentaba diversas fallas y se sustituye por la FRU40571 09/10/2025</t>
  </si>
  <si>
    <t xml:space="preserve">Sin Linea desde el 14 al 22/10 </t>
  </si>
  <si>
    <t>Impresora se encuentra operativa pero sin personal en el area</t>
  </si>
  <si>
    <t>Cierre temporal del 03/11/2025</t>
  </si>
  <si>
    <t>Se procede a desincorporar por presentar diversas fallas (Derrame de Café) 09/10/2025/Cierre temporal del 03/11/2025</t>
  </si>
  <si>
    <t>Equipo con falla de Drum/Se desincorpora y se embala por presentar varias fallas el dia 25/10/2022/Cierre temporal del 03/11/2025</t>
  </si>
  <si>
    <t>Se procedio a trasladar esta impresora desde juan griego y se instala en la agencia 4 de mayo en el area de apertura en sustitucion de la FRU40597 09/10/2025/Cierre temporal del 03/11/2025</t>
  </si>
  <si>
    <t>Cierre Definitivo 15/08/2024/Retirado Orinokia Mall por cierre definitivo, embalado y resguardado en oficina puerto ordaz centro</t>
  </si>
  <si>
    <t>9540MFTQ01</t>
  </si>
  <si>
    <t>Impresora solo para scanear mientras se desincorpora/Se procede a desincorporar y embalar por diversas fallas 18/11/2025</t>
  </si>
  <si>
    <t>Impresora se encuentra en la agencia 9510 (Pto ordaz) por bandalismo en esta agencia/Se procedio a trasladar e instalar en la agencia paseo orinoco en reemplazo de la DRL64081 18/11/2025</t>
  </si>
  <si>
    <t>9555MFTQ01</t>
  </si>
  <si>
    <t>Cierre temporal del 03/11/2025/Se traslado esta impresora de 4 de mayo a la agencia sambil margarita 27/11/2025</t>
  </si>
  <si>
    <t>10.11.92.200</t>
  </si>
  <si>
    <t>9221MFBC01</t>
  </si>
  <si>
    <t>Se desincorpora ya que el personal se retirar de la oficina 28/11/2025/Se procede a trasladar de la agencia chuao y se instala en la agencia altamira 02/12/2025</t>
  </si>
  <si>
    <t>Cierre temporal del 16 al 19/09/Cierre Definitivo 04/12/2025</t>
  </si>
  <si>
    <t>Se embala impresora por no tener uso 25/02/2025/Cierre Definitivo 04/12/2025</t>
  </si>
  <si>
    <t>Cierre Definitivo 04/12/2025</t>
  </si>
  <si>
    <t>Se encuentra en el nivel 3 05/12/2025</t>
  </si>
  <si>
    <t>9429MFBC01</t>
  </si>
  <si>
    <t>10.10.171.200</t>
  </si>
  <si>
    <t>Se retiro de la agencia valencia norte y se instala en el area de Banca Corporativa en el Recreo 15/01/2026</t>
  </si>
  <si>
    <t>cierre temporal</t>
  </si>
  <si>
    <t>Impresora apagada la prenden al momento de scanear ya que presenta atasco y no han generado el incidente indicaron que los iban a generar 30/01/2026</t>
  </si>
  <si>
    <t>Agencia de dos pisos/Impresora apagada la prenden al momento de scanear ya que presenta atasco y no han generado el incidente indicaron que los iban a generar 30/01/2026</t>
  </si>
  <si>
    <t>Canibalizada</t>
  </si>
  <si>
    <t>Se encuentra en el nivel 3 10/02/2026</t>
  </si>
  <si>
    <t>Se encuentra en el nivel 3 05/02/2026</t>
  </si>
  <si>
    <t>9580MFTQ01</t>
  </si>
  <si>
    <t>Se traslado de la agencia Campo Norte anaco y se instala en Anaco en el area de Taquilla 02/02/2026,</t>
  </si>
  <si>
    <t>10.10.59.202</t>
  </si>
  <si>
    <t>Se encuentra en el nivel 3 11/02/2026</t>
  </si>
  <si>
    <t>Se procede a desincorporar por tener la base de la puerta partida 25/02/2026</t>
  </si>
  <si>
    <t>Se procede a instalar en sustitucion de la DRL51893 25/02/2026</t>
  </si>
  <si>
    <t>Principal FIDECOMISO/Equipo desincorporada NIVEL 3 08/12/2023/Se instala en sambil la candelaria el dia 05/04/2024 tenia la ip 10.0.40.201 Ubicado en taquilla al lado de la 1025 para impresión de cheques de fideicomiso/Se instala en el area de apertura AP02 en el sambil de la candelaria el 23/02/2026</t>
  </si>
  <si>
    <t>9410MFCO01</t>
  </si>
  <si>
    <t>9470MFCO01</t>
  </si>
  <si>
    <t>9370MFTQ01</t>
  </si>
  <si>
    <t>9467MFAP01</t>
  </si>
  <si>
    <t>9831MFEN01</t>
  </si>
  <si>
    <t>9397MFCO01</t>
  </si>
  <si>
    <t>9835MFEN01</t>
  </si>
  <si>
    <t>Resguardo en la Agencia</t>
  </si>
  <si>
    <t>Fallas constante</t>
  </si>
  <si>
    <t>Traida de Barquisimeto Centro</t>
  </si>
  <si>
    <t>Se procede a desincorporar y embalar por presentar diversas fallas 28/04/2026</t>
  </si>
  <si>
    <t>Trasladada desde las delicias 28/04/2026</t>
  </si>
  <si>
    <t>Contador Mes Anterior</t>
  </si>
  <si>
    <t>Instalada el 04/05/2026</t>
  </si>
  <si>
    <t>Se procede a desincorporar y embalar por presentar puerta rota 04/05/2026</t>
  </si>
  <si>
    <t xml:space="preserve">Contador Final Semana 1 </t>
  </si>
  <si>
    <t>Impresora en backup (error E000020)</t>
  </si>
  <si>
    <t>Embalada</t>
  </si>
  <si>
    <t>Impresora puesta en el area de apertura el 07/07/2026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</si>
</sst>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45BDE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0"/>
        <bgColor theme="4" tint="0.79998168889431442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8" fillId="0" borderId="0"/>
    <xf numFmtId="0" fontId="18" fillId="0" borderId="0"/>
  </cellStyleXfs>
  <cellXfs count="139">
    <xf numFmtId="0" fontId="0" fillId="0" borderId="0" xfId="0"/>
    <xf numFmtId="1" fontId="19" fillId="33" borderId="10" xfId="42" applyNumberFormat="1" applyFont="1" applyFill="1" applyBorder="1" applyAlignment="1">
      <alignment horizontal="left" vertical="center" wrapText="1"/>
    </xf>
    <xf numFmtId="0" fontId="20" fillId="33" borderId="10" xfId="0" applyFont="1" applyFill="1" applyBorder="1"/>
    <xf numFmtId="0" fontId="0" fillId="0" borderId="0" xfId="0"/>
    <xf numFmtId="0" fontId="0" fillId="0" borderId="0" xfId="0" applyFont="1" applyFill="1" applyAlignment="1">
      <alignment wrapText="1"/>
    </xf>
    <xf numFmtId="0" fontId="0" fillId="34" borderId="0" xfId="0" applyFont="1" applyFill="1" applyAlignment="1">
      <alignment wrapText="1"/>
    </xf>
    <xf numFmtId="0" fontId="0" fillId="0" borderId="0" xfId="0" applyFont="1" applyFill="1"/>
    <xf numFmtId="0" fontId="0" fillId="33" borderId="0" xfId="0" applyFont="1" applyFill="1"/>
    <xf numFmtId="0" fontId="0" fillId="0" borderId="10" xfId="0" applyFont="1" applyBorder="1"/>
    <xf numFmtId="0" fontId="0" fillId="0" borderId="0" xfId="0" applyFont="1"/>
    <xf numFmtId="0" fontId="0" fillId="33" borderId="0" xfId="0" applyFont="1" applyFill="1" applyBorder="1"/>
    <xf numFmtId="0" fontId="0" fillId="0" borderId="10" xfId="0" applyFont="1" applyFill="1" applyBorder="1"/>
    <xf numFmtId="0" fontId="0" fillId="33" borderId="12" xfId="0" applyFont="1" applyFill="1" applyBorder="1"/>
    <xf numFmtId="0" fontId="0" fillId="33" borderId="11" xfId="0" applyFont="1" applyFill="1" applyBorder="1"/>
    <xf numFmtId="0" fontId="0" fillId="33" borderId="10" xfId="0" applyFont="1" applyFill="1" applyBorder="1"/>
    <xf numFmtId="0" fontId="19" fillId="33" borderId="10" xfId="0" applyFont="1" applyFill="1" applyBorder="1"/>
    <xf numFmtId="0" fontId="19" fillId="0" borderId="10" xfId="0" applyFont="1" applyFill="1" applyBorder="1"/>
    <xf numFmtId="1" fontId="19" fillId="0" borderId="10" xfId="42" applyNumberFormat="1" applyFont="1" applyFill="1" applyBorder="1" applyAlignment="1">
      <alignment horizontal="left" vertical="center" wrapText="1"/>
    </xf>
    <xf numFmtId="16" fontId="16" fillId="34" borderId="10" xfId="0" applyNumberFormat="1" applyFont="1" applyFill="1" applyBorder="1" applyAlignment="1">
      <alignment horizontal="center" vertical="center" wrapText="1"/>
    </xf>
    <xf numFmtId="0" fontId="19" fillId="33" borderId="10" xfId="42" applyFont="1" applyFill="1" applyBorder="1" applyAlignment="1">
      <alignment horizontal="center" vertical="center" wrapText="1"/>
    </xf>
    <xf numFmtId="0" fontId="0" fillId="33" borderId="10" xfId="0" applyFont="1" applyFill="1" applyBorder="1" applyAlignment="1">
      <alignment horizontal="center"/>
    </xf>
    <xf numFmtId="0" fontId="19" fillId="33" borderId="10" xfId="42" applyFont="1" applyFill="1" applyBorder="1" applyAlignment="1">
      <alignment horizontal="left" vertical="center" wrapText="1"/>
    </xf>
    <xf numFmtId="0" fontId="19" fillId="33" borderId="10" xfId="0" applyFont="1" applyFill="1" applyBorder="1" applyAlignment="1">
      <alignment horizontal="center"/>
    </xf>
    <xf numFmtId="0" fontId="19" fillId="0" borderId="10" xfId="42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/>
    </xf>
    <xf numFmtId="0" fontId="0" fillId="33" borderId="10" xfId="0" applyFill="1" applyBorder="1"/>
    <xf numFmtId="3" fontId="0" fillId="0" borderId="11" xfId="0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wrapText="1"/>
    </xf>
    <xf numFmtId="16" fontId="21" fillId="34" borderId="10" xfId="0" applyNumberFormat="1" applyFont="1" applyFill="1" applyBorder="1" applyAlignment="1">
      <alignment horizontal="center" vertical="center" wrapText="1"/>
    </xf>
    <xf numFmtId="0" fontId="19" fillId="33" borderId="10" xfId="42" applyFont="1" applyFill="1" applyBorder="1" applyAlignment="1">
      <alignment horizontal="right" vertical="center" wrapText="1"/>
    </xf>
    <xf numFmtId="0" fontId="0" fillId="0" borderId="13" xfId="0" applyFont="1" applyBorder="1"/>
    <xf numFmtId="16" fontId="21" fillId="34" borderId="10" xfId="0" quotePrefix="1" applyNumberFormat="1" applyFont="1" applyFill="1" applyBorder="1" applyAlignment="1">
      <alignment horizontal="center" vertical="center" wrapText="1"/>
    </xf>
    <xf numFmtId="0" fontId="0" fillId="0" borderId="0" xfId="0" applyFill="1"/>
    <xf numFmtId="0" fontId="20" fillId="0" borderId="10" xfId="0" applyFont="1" applyBorder="1" applyAlignment="1">
      <alignment vertical="center"/>
    </xf>
    <xf numFmtId="0" fontId="19" fillId="0" borderId="10" xfId="42" applyFont="1" applyFill="1" applyBorder="1" applyAlignment="1">
      <alignment horizontal="right" vertical="center" wrapText="1"/>
    </xf>
    <xf numFmtId="0" fontId="0" fillId="0" borderId="11" xfId="0" applyFill="1" applyBorder="1" applyAlignment="1">
      <alignment wrapText="1"/>
    </xf>
    <xf numFmtId="0" fontId="19" fillId="33" borderId="14" xfId="42" applyFont="1" applyFill="1" applyBorder="1" applyAlignment="1">
      <alignment horizontal="right" vertical="center" wrapText="1"/>
    </xf>
    <xf numFmtId="0" fontId="0" fillId="0" borderId="12" xfId="0" applyFill="1" applyBorder="1" applyAlignment="1">
      <alignment wrapText="1"/>
    </xf>
    <xf numFmtId="0" fontId="19" fillId="33" borderId="13" xfId="42" applyFont="1" applyFill="1" applyBorder="1" applyAlignment="1">
      <alignment horizontal="right" vertical="center" wrapText="1"/>
    </xf>
    <xf numFmtId="14" fontId="21" fillId="34" borderId="10" xfId="0" quotePrefix="1" applyNumberFormat="1" applyFont="1" applyFill="1" applyBorder="1" applyAlignment="1">
      <alignment horizontal="center" vertical="center" wrapText="1"/>
    </xf>
    <xf numFmtId="0" fontId="0" fillId="33" borderId="10" xfId="0" applyFont="1" applyFill="1" applyBorder="1" applyAlignment="1"/>
    <xf numFmtId="0" fontId="0" fillId="33" borderId="10" xfId="0" applyFont="1" applyFill="1" applyBorder="1" applyAlignment="1">
      <alignment wrapText="1"/>
    </xf>
    <xf numFmtId="16" fontId="21" fillId="35" borderId="10" xfId="0" quotePrefix="1" applyNumberFormat="1" applyFont="1" applyFill="1" applyBorder="1" applyAlignment="1">
      <alignment horizontal="center" vertical="center" wrapText="1"/>
    </xf>
    <xf numFmtId="16" fontId="21" fillId="36" borderId="10" xfId="0" quotePrefix="1" applyNumberFormat="1" applyFont="1" applyFill="1" applyBorder="1" applyAlignment="1">
      <alignment horizontal="center" vertical="center" wrapText="1"/>
    </xf>
    <xf numFmtId="16" fontId="21" fillId="37" borderId="10" xfId="0" quotePrefix="1" applyNumberFormat="1" applyFont="1" applyFill="1" applyBorder="1" applyAlignment="1">
      <alignment horizontal="center" vertical="center" wrapText="1"/>
    </xf>
    <xf numFmtId="16" fontId="21" fillId="38" borderId="10" xfId="0" quotePrefix="1" applyNumberFormat="1" applyFont="1" applyFill="1" applyBorder="1" applyAlignment="1">
      <alignment horizontal="center" vertical="center" wrapText="1"/>
    </xf>
    <xf numFmtId="16" fontId="21" fillId="39" borderId="10" xfId="0" quotePrefix="1" applyNumberFormat="1" applyFont="1" applyFill="1" applyBorder="1" applyAlignment="1">
      <alignment horizontal="center" vertical="center" wrapText="1"/>
    </xf>
    <xf numFmtId="0" fontId="0" fillId="35" borderId="10" xfId="0" applyFont="1" applyFill="1" applyBorder="1"/>
    <xf numFmtId="3" fontId="0" fillId="0" borderId="10" xfId="0" applyNumberFormat="1" applyBorder="1" applyAlignment="1">
      <alignment horizontal="right" vertical="center"/>
    </xf>
    <xf numFmtId="3" fontId="0" fillId="33" borderId="10" xfId="0" applyNumberFormat="1" applyFont="1" applyFill="1" applyBorder="1"/>
    <xf numFmtId="16" fontId="22" fillId="34" borderId="10" xfId="0" quotePrefix="1" applyNumberFormat="1" applyFont="1" applyFill="1" applyBorder="1" applyAlignment="1">
      <alignment horizontal="center" vertical="center" wrapText="1"/>
    </xf>
    <xf numFmtId="0" fontId="0" fillId="33" borderId="10" xfId="0" applyFont="1" applyFill="1" applyBorder="1" applyAlignment="1">
      <alignment vertical="center"/>
    </xf>
    <xf numFmtId="0" fontId="0" fillId="0" borderId="10" xfId="0" applyFont="1" applyFill="1" applyBorder="1"/>
    <xf numFmtId="3" fontId="0" fillId="0" borderId="11" xfId="0" applyNumberFormat="1" applyBorder="1" applyAlignment="1">
      <alignment horizontal="right" vertical="center"/>
    </xf>
    <xf numFmtId="0" fontId="0" fillId="33" borderId="10" xfId="0" applyFont="1" applyFill="1" applyBorder="1" applyAlignment="1">
      <alignment horizontal="center"/>
    </xf>
    <xf numFmtId="0" fontId="23" fillId="33" borderId="10" xfId="0" applyFont="1" applyFill="1" applyBorder="1"/>
    <xf numFmtId="0" fontId="19" fillId="33" borderId="10" xfId="43" applyFont="1" applyFill="1" applyBorder="1" applyAlignment="1">
      <alignment horizontal="center" vertical="center" wrapText="1"/>
    </xf>
    <xf numFmtId="0" fontId="23" fillId="33" borderId="10" xfId="0" applyFont="1" applyFill="1" applyBorder="1" applyAlignment="1">
      <alignment wrapText="1"/>
    </xf>
    <xf numFmtId="0" fontId="0" fillId="0" borderId="0" xfId="0" applyFont="1" applyFill="1" applyAlignment="1">
      <alignment vertical="center" wrapText="1"/>
    </xf>
    <xf numFmtId="0" fontId="0" fillId="0" borderId="10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vertical="center"/>
    </xf>
    <xf numFmtId="0" fontId="19" fillId="0" borderId="10" xfId="0" applyFont="1" applyBorder="1" applyAlignment="1">
      <alignment vertical="center"/>
    </xf>
    <xf numFmtId="0" fontId="19" fillId="33" borderId="10" xfId="43" applyNumberFormat="1" applyFont="1" applyFill="1" applyBorder="1" applyAlignment="1">
      <alignment wrapText="1"/>
    </xf>
    <xf numFmtId="0" fontId="0" fillId="33" borderId="10" xfId="0" applyFont="1" applyFill="1" applyBorder="1" applyAlignment="1">
      <alignment horizontal="center"/>
    </xf>
    <xf numFmtId="0" fontId="0" fillId="0" borderId="0" xfId="0" applyFont="1" applyFill="1" applyAlignment="1">
      <alignment vertical="center"/>
    </xf>
    <xf numFmtId="0" fontId="0" fillId="0" borderId="10" xfId="0" applyBorder="1" applyAlignment="1">
      <alignment vertical="center" wrapText="1"/>
    </xf>
    <xf numFmtId="0" fontId="0" fillId="33" borderId="10" xfId="0" applyFont="1" applyFill="1" applyBorder="1" applyAlignment="1">
      <alignment horizontal="center"/>
    </xf>
    <xf numFmtId="0" fontId="24" fillId="35" borderId="10" xfId="0" applyFont="1" applyFill="1" applyBorder="1" applyAlignment="1"/>
    <xf numFmtId="0" fontId="0" fillId="0" borderId="10" xfId="0" applyBorder="1"/>
    <xf numFmtId="0" fontId="19" fillId="33" borderId="10" xfId="0" applyFont="1" applyFill="1" applyBorder="1" applyAlignment="1">
      <alignment vertical="center"/>
    </xf>
    <xf numFmtId="0" fontId="0" fillId="0" borderId="10" xfId="0" applyBorder="1" applyAlignment="1">
      <alignment horizontal="left" vertical="center" wrapText="1"/>
    </xf>
    <xf numFmtId="0" fontId="0" fillId="33" borderId="10" xfId="0" applyFont="1" applyFill="1" applyBorder="1" applyAlignment="1">
      <alignment horizontal="center"/>
    </xf>
    <xf numFmtId="0" fontId="16" fillId="35" borderId="10" xfId="0" applyFont="1" applyFill="1" applyBorder="1"/>
    <xf numFmtId="0" fontId="0" fillId="33" borderId="10" xfId="0" applyFont="1" applyFill="1" applyBorder="1" applyAlignment="1">
      <alignment horizontal="center"/>
    </xf>
    <xf numFmtId="0" fontId="19" fillId="33" borderId="12" xfId="0" applyFont="1" applyFill="1" applyBorder="1"/>
    <xf numFmtId="0" fontId="19" fillId="33" borderId="10" xfId="0" applyFont="1" applyFill="1" applyBorder="1" applyAlignment="1">
      <alignment wrapText="1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0" borderId="10" xfId="0" applyBorder="1" applyAlignment="1">
      <alignment vertic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4" xfId="0" applyFont="1" applyFill="1" applyBorder="1"/>
    <xf numFmtId="0" fontId="0" fillId="33" borderId="14" xfId="0" applyFont="1" applyFill="1" applyBorder="1" applyAlignment="1">
      <alignment horizontal="center"/>
    </xf>
    <xf numFmtId="0" fontId="0" fillId="35" borderId="14" xfId="0" applyFont="1" applyFill="1" applyBorder="1"/>
    <xf numFmtId="16" fontId="22" fillId="41" borderId="17" xfId="0" applyNumberFormat="1" applyFont="1" applyFill="1" applyBorder="1" applyAlignment="1">
      <alignment horizontal="center" vertical="center" wrapText="1"/>
    </xf>
    <xf numFmtId="16" fontId="22" fillId="40" borderId="17" xfId="0" applyNumberFormat="1" applyFont="1" applyFill="1" applyBorder="1" applyAlignment="1">
      <alignment horizontal="center" vertical="center" wrapText="1"/>
    </xf>
    <xf numFmtId="17" fontId="0" fillId="42" borderId="18" xfId="0" applyNumberFormat="1" applyFont="1" applyFill="1" applyBorder="1"/>
    <xf numFmtId="3" fontId="0" fillId="0" borderId="19" xfId="0" applyNumberFormat="1" applyBorder="1" applyAlignment="1">
      <alignment horizontal="right" vertic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0" borderId="10" xfId="0" applyBorder="1" applyAlignment="1"/>
    <xf numFmtId="0" fontId="0" fillId="33" borderId="10" xfId="0" applyFont="1" applyFill="1" applyBorder="1" applyAlignment="1">
      <alignment horizontal="center"/>
    </xf>
    <xf numFmtId="0" fontId="0" fillId="0" borderId="12" xfId="0" applyFont="1" applyFill="1" applyBorder="1"/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16" fontId="27" fillId="34" borderId="10" xfId="0" applyNumberFormat="1" applyFont="1" applyFill="1" applyBorder="1" applyAlignment="1">
      <alignment horizontal="center" vertical="center" wrapText="1"/>
    </xf>
    <xf numFmtId="14" fontId="22" fillId="34" borderId="17" xfId="0" applyNumberFormat="1" applyFont="1" applyFill="1" applyBorder="1" applyAlignment="1">
      <alignment horizontal="center" vertical="center" wrapText="1"/>
    </xf>
    <xf numFmtId="0" fontId="22" fillId="34" borderId="14" xfId="0" applyFont="1" applyFill="1" applyBorder="1" applyAlignment="1">
      <alignment horizontal="center" vertical="center" wrapText="1"/>
    </xf>
    <xf numFmtId="0" fontId="22" fillId="43" borderId="14" xfId="0" applyFont="1" applyFill="1" applyBorder="1" applyAlignment="1">
      <alignment horizontal="center" vertical="center" wrapText="1"/>
    </xf>
    <xf numFmtId="0" fontId="16" fillId="44" borderId="10" xfId="0" applyFont="1" applyFill="1" applyBorder="1" applyAlignment="1">
      <alignment horizontal="center" vertical="center"/>
    </xf>
    <xf numFmtId="0" fontId="0" fillId="0" borderId="10" xfId="0" applyFill="1" applyBorder="1"/>
    <xf numFmtId="0" fontId="0" fillId="0" borderId="10" xfId="0" quotePrefix="1" applyBorder="1" applyAlignment="1">
      <alignment horizontal="right"/>
    </xf>
    <xf numFmtId="0" fontId="0" fillId="33" borderId="10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3" borderId="11" xfId="0" applyFont="1" applyFill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0" fillId="0" borderId="0" xfId="0" applyFont="1" applyFill="1" applyBorder="1"/>
    <xf numFmtId="0" fontId="0" fillId="33" borderId="11" xfId="0" applyFont="1" applyFill="1" applyBorder="1" applyAlignment="1">
      <alignment vertical="center"/>
    </xf>
    <xf numFmtId="0" fontId="0" fillId="33" borderId="10" xfId="0" applyFont="1" applyFill="1" applyBorder="1" applyAlignment="1">
      <alignment horizontal="center"/>
    </xf>
    <xf numFmtId="16" fontId="28" fillId="45" borderId="0" xfId="0" applyNumberFormat="1" applyFont="1" applyFill="1" applyBorder="1" applyAlignment="1">
      <alignment horizontal="center" vertical="center" wrapText="1"/>
    </xf>
    <xf numFmtId="0" fontId="29" fillId="0" borderId="16" xfId="0" applyFont="1" applyFill="1" applyBorder="1" applyAlignment="1">
      <alignment horizontal="center" vertical="center" wrapText="1"/>
    </xf>
    <xf numFmtId="0" fontId="0" fillId="33" borderId="0" xfId="0" applyFont="1" applyFill="1" applyBorder="1" applyAlignment="1">
      <alignment horizontal="center" vertical="center"/>
    </xf>
    <xf numFmtId="0" fontId="0" fillId="33" borderId="14" xfId="0" applyFont="1" applyFill="1" applyBorder="1" applyAlignment="1">
      <alignment horizontal="center" vertical="center"/>
    </xf>
    <xf numFmtId="0" fontId="0" fillId="33" borderId="10" xfId="0" applyFont="1" applyFill="1" applyBorder="1" applyAlignment="1">
      <alignment horizontal="left" vertical="center"/>
    </xf>
    <xf numFmtId="0" fontId="19" fillId="33" borderId="11" xfId="0" applyFont="1" applyFill="1" applyBorder="1" applyAlignment="1">
      <alignment horizontal="center" vertical="center"/>
    </xf>
    <xf numFmtId="0" fontId="19" fillId="33" borderId="10" xfId="0" applyFont="1" applyFill="1" applyBorder="1" applyAlignment="1"/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3" fontId="0" fillId="33" borderId="11" xfId="0" applyNumberFormat="1" applyFill="1" applyBorder="1" applyAlignment="1">
      <alignment horizontal="right" vertical="center"/>
    </xf>
    <xf numFmtId="3" fontId="0" fillId="33" borderId="19" xfId="0" applyNumberFormat="1" applyFill="1" applyBorder="1" applyAlignment="1">
      <alignment horizontal="right" vertical="center"/>
    </xf>
    <xf numFmtId="17" fontId="0" fillId="46" borderId="18" xfId="0" applyNumberFormat="1" applyFont="1" applyFill="1" applyBorder="1"/>
    <xf numFmtId="3" fontId="0" fillId="33" borderId="11" xfId="0" applyNumberFormat="1" applyFill="1" applyBorder="1" applyAlignment="1">
      <alignment horizontal="left" vertical="center"/>
    </xf>
    <xf numFmtId="0" fontId="0" fillId="0" borderId="10" xfId="0" applyBorder="1" applyAlignment="1">
      <alignment horizontal="center"/>
    </xf>
    <xf numFmtId="0" fontId="19" fillId="35" borderId="10" xfId="0" applyFont="1" applyFill="1" applyBorder="1"/>
    <xf numFmtId="0" fontId="0" fillId="33" borderId="13" xfId="0" applyFont="1" applyFill="1" applyBorder="1" applyAlignment="1">
      <alignment horizontal="center"/>
    </xf>
    <xf numFmtId="0" fontId="0" fillId="33" borderId="15" xfId="0" applyFont="1" applyFill="1" applyBorder="1" applyAlignment="1">
      <alignment horizontal="center"/>
    </xf>
    <xf numFmtId="0" fontId="0" fillId="33" borderId="16" xfId="0" applyFont="1" applyFill="1" applyBorder="1" applyAlignment="1">
      <alignment horizontal="center"/>
    </xf>
    <xf numFmtId="0" fontId="0" fillId="33" borderId="10" xfId="0" applyFont="1" applyFill="1" applyBorder="1" applyAlignment="1">
      <alignment horizontal="center"/>
    </xf>
    <xf numFmtId="16" fontId="21" fillId="34" borderId="10" xfId="0" applyNumberFormat="1" applyFont="1" applyFill="1" applyBorder="1" applyAlignment="1">
      <alignment horizontal="center" vertical="center" wrapText="1"/>
    </xf>
    <xf numFmtId="0" fontId="0" fillId="33" borderId="10" xfId="0" applyFont="1" applyFill="1" applyBorder="1" applyAlignment="1">
      <alignment horizontal="left"/>
    </xf>
  </cellXfs>
  <cellStyles count="45">
    <cellStyle name="%" xfId="42"/>
    <cellStyle name="% 2" xfId="43"/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4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728"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39fvr1\c$\Users\c606409\Documents\Respaldo%20Siffs\11.-%20PREVENTIVO%20TORRE-%20REGION\Dispositivos%20Diarios\2020\12%20Diciembre%202020\Dispositivos%20exportados%20de%20HP%20Web%20Jetadmin%2030%20de%20Diciembre%20de%20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ispositivos exportados de HP W"/>
    </sheetNames>
    <sheetDataSet>
      <sheetData sheetId="0">
        <row r="2">
          <cell r="C2" t="str">
            <v>10.10.89.201</v>
          </cell>
          <cell r="D2">
            <v>621838</v>
          </cell>
        </row>
        <row r="3">
          <cell r="C3" t="str">
            <v>10.10.151.201</v>
          </cell>
          <cell r="D3">
            <v>82829</v>
          </cell>
        </row>
        <row r="4">
          <cell r="C4" t="str">
            <v>10.10.194.205</v>
          </cell>
          <cell r="D4">
            <v>400353</v>
          </cell>
        </row>
        <row r="5">
          <cell r="C5" t="str">
            <v>10.11.25.200</v>
          </cell>
          <cell r="D5">
            <v>107342</v>
          </cell>
        </row>
        <row r="6">
          <cell r="C6" t="str">
            <v>10.11.39.201</v>
          </cell>
          <cell r="D6">
            <v>110809</v>
          </cell>
        </row>
        <row r="7">
          <cell r="C7" t="str">
            <v>10.10.165.203</v>
          </cell>
          <cell r="D7">
            <v>293273</v>
          </cell>
        </row>
        <row r="8">
          <cell r="C8" t="str">
            <v>10.10.111.200</v>
          </cell>
          <cell r="D8">
            <v>47198</v>
          </cell>
        </row>
        <row r="9">
          <cell r="C9" t="str">
            <v>10.10.113.200</v>
          </cell>
          <cell r="D9">
            <v>63849</v>
          </cell>
        </row>
        <row r="10">
          <cell r="C10" t="str">
            <v>10.0.14.128</v>
          </cell>
          <cell r="D10">
            <v>0</v>
          </cell>
        </row>
        <row r="11">
          <cell r="C11" t="str">
            <v>10.10.197.200</v>
          </cell>
          <cell r="D11">
            <v>272066</v>
          </cell>
        </row>
        <row r="12">
          <cell r="C12" t="str">
            <v>10.10.89.200</v>
          </cell>
          <cell r="D12">
            <v>166291</v>
          </cell>
        </row>
        <row r="13">
          <cell r="C13" t="str">
            <v>10.10.56.201</v>
          </cell>
          <cell r="D13">
            <v>234208</v>
          </cell>
        </row>
        <row r="14">
          <cell r="C14" t="str">
            <v>10.10.141.200</v>
          </cell>
          <cell r="D14">
            <v>544684</v>
          </cell>
        </row>
        <row r="15">
          <cell r="C15" t="str">
            <v>10.10.171.14</v>
          </cell>
          <cell r="D15">
            <v>292332</v>
          </cell>
        </row>
        <row r="16">
          <cell r="C16" t="str">
            <v>10.10.72.201</v>
          </cell>
          <cell r="D16">
            <v>548924</v>
          </cell>
        </row>
        <row r="17">
          <cell r="C17" t="str">
            <v>10.14.66.201</v>
          </cell>
          <cell r="D17">
            <v>458544</v>
          </cell>
        </row>
        <row r="18">
          <cell r="C18" t="str">
            <v>10.11.7.200</v>
          </cell>
          <cell r="D18">
            <v>557272</v>
          </cell>
        </row>
        <row r="19">
          <cell r="C19" t="str">
            <v>10.10.179.200</v>
          </cell>
          <cell r="D19">
            <v>33096</v>
          </cell>
        </row>
        <row r="20">
          <cell r="C20" t="str">
            <v>10.0.14.128</v>
          </cell>
          <cell r="D20">
            <v>0</v>
          </cell>
        </row>
        <row r="21">
          <cell r="C21" t="str">
            <v>10.10.210.202</v>
          </cell>
          <cell r="D21">
            <v>189548</v>
          </cell>
        </row>
        <row r="22">
          <cell r="C22" t="str">
            <v>10.10.162.201</v>
          </cell>
          <cell r="D22">
            <v>84147</v>
          </cell>
        </row>
        <row r="23">
          <cell r="C23" t="str">
            <v>10.10.78.200</v>
          </cell>
          <cell r="D23">
            <v>589079</v>
          </cell>
        </row>
        <row r="24">
          <cell r="C24" t="str">
            <v>10.10.163.201</v>
          </cell>
          <cell r="D24">
            <v>604775</v>
          </cell>
        </row>
        <row r="25">
          <cell r="C25" t="str">
            <v>10.10.230.200</v>
          </cell>
          <cell r="D25">
            <v>419049</v>
          </cell>
        </row>
        <row r="26">
          <cell r="C26" t="str">
            <v>10.10.90.203</v>
          </cell>
          <cell r="D26">
            <v>125939</v>
          </cell>
        </row>
        <row r="27">
          <cell r="C27" t="str">
            <v>10.0.33.202</v>
          </cell>
          <cell r="D27">
            <v>345250</v>
          </cell>
        </row>
        <row r="28">
          <cell r="C28" t="str">
            <v>10.10.216.200</v>
          </cell>
          <cell r="D28">
            <v>129297</v>
          </cell>
        </row>
        <row r="29">
          <cell r="C29" t="str">
            <v>10.10.193.201</v>
          </cell>
          <cell r="D29">
            <v>160433</v>
          </cell>
        </row>
        <row r="30">
          <cell r="C30" t="str">
            <v>10.11.28.201</v>
          </cell>
          <cell r="D30">
            <v>420988</v>
          </cell>
        </row>
        <row r="31">
          <cell r="C31" t="str">
            <v>10.0.14.128</v>
          </cell>
          <cell r="D31">
            <v>0</v>
          </cell>
        </row>
        <row r="32">
          <cell r="C32" t="str">
            <v>10.0.40.206</v>
          </cell>
          <cell r="D32">
            <v>534</v>
          </cell>
        </row>
        <row r="33">
          <cell r="C33" t="str">
            <v>10.10.148.200</v>
          </cell>
          <cell r="D33">
            <v>98790</v>
          </cell>
        </row>
        <row r="34">
          <cell r="C34" t="str">
            <v>10.10.128.200</v>
          </cell>
          <cell r="D34">
            <v>345646</v>
          </cell>
        </row>
        <row r="35">
          <cell r="C35" t="str">
            <v>10.10.246.201</v>
          </cell>
          <cell r="D35">
            <v>253239</v>
          </cell>
        </row>
        <row r="36">
          <cell r="C36" t="str">
            <v>10.0.25.179</v>
          </cell>
          <cell r="D36">
            <v>26671</v>
          </cell>
        </row>
        <row r="37">
          <cell r="C37" t="str">
            <v>10.10.64.200</v>
          </cell>
          <cell r="D37">
            <v>160755</v>
          </cell>
        </row>
        <row r="38">
          <cell r="C38" t="str">
            <v>10.10.139.200</v>
          </cell>
          <cell r="D38">
            <v>292654</v>
          </cell>
        </row>
        <row r="39">
          <cell r="C39" t="str">
            <v>10.10.18.201</v>
          </cell>
          <cell r="D39">
            <v>359097</v>
          </cell>
        </row>
        <row r="40">
          <cell r="C40" t="str">
            <v>10.10.19.201</v>
          </cell>
          <cell r="D40">
            <v>300543</v>
          </cell>
        </row>
        <row r="41">
          <cell r="C41" t="str">
            <v>10.11.6.201</v>
          </cell>
          <cell r="D41">
            <v>191335</v>
          </cell>
        </row>
        <row r="42">
          <cell r="C42" t="str">
            <v>10.10.189.201</v>
          </cell>
          <cell r="D42">
            <v>315750</v>
          </cell>
        </row>
        <row r="43">
          <cell r="C43" t="str">
            <v>10.10.189.200</v>
          </cell>
          <cell r="D43">
            <v>108084</v>
          </cell>
        </row>
        <row r="44">
          <cell r="C44" t="str">
            <v>10.0.29.55</v>
          </cell>
          <cell r="D44">
            <v>959839</v>
          </cell>
        </row>
        <row r="45">
          <cell r="C45" t="str">
            <v>10.10.180.210</v>
          </cell>
          <cell r="D45">
            <v>433485</v>
          </cell>
        </row>
        <row r="46">
          <cell r="C46" t="str">
            <v>10.10.186.200</v>
          </cell>
          <cell r="D46">
            <v>91740</v>
          </cell>
        </row>
        <row r="47">
          <cell r="C47" t="str">
            <v>10.10.155.200</v>
          </cell>
          <cell r="D47">
            <v>135355</v>
          </cell>
        </row>
        <row r="48">
          <cell r="C48" t="str">
            <v>10.0.30.205</v>
          </cell>
          <cell r="D48">
            <v>150546</v>
          </cell>
        </row>
        <row r="49">
          <cell r="C49" t="str">
            <v>10.11.29.205</v>
          </cell>
          <cell r="D49">
            <v>154847</v>
          </cell>
        </row>
        <row r="50">
          <cell r="C50" t="str">
            <v>10.10.100.202</v>
          </cell>
          <cell r="D50">
            <v>430320</v>
          </cell>
        </row>
        <row r="51">
          <cell r="C51" t="str">
            <v>10.0.25.201</v>
          </cell>
          <cell r="D51">
            <v>249333</v>
          </cell>
        </row>
        <row r="52">
          <cell r="C52" t="str">
            <v>10.10.115.200</v>
          </cell>
          <cell r="D52">
            <v>294420</v>
          </cell>
        </row>
        <row r="53">
          <cell r="C53" t="str">
            <v>10.10.23.200</v>
          </cell>
          <cell r="D53">
            <v>99366</v>
          </cell>
        </row>
        <row r="54">
          <cell r="C54" t="str">
            <v>10.11.101.201</v>
          </cell>
          <cell r="D54">
            <v>146627</v>
          </cell>
        </row>
        <row r="55">
          <cell r="C55" t="str">
            <v>10.10.230.203</v>
          </cell>
          <cell r="D55">
            <v>520607</v>
          </cell>
        </row>
        <row r="56">
          <cell r="C56" t="str">
            <v>10.0.36.104</v>
          </cell>
          <cell r="D56">
            <v>5807</v>
          </cell>
        </row>
        <row r="57">
          <cell r="C57" t="str">
            <v>10.0.33.6</v>
          </cell>
          <cell r="D57">
            <v>19648</v>
          </cell>
        </row>
        <row r="58">
          <cell r="C58" t="str">
            <v>10.10.67.200</v>
          </cell>
          <cell r="D58">
            <v>631584</v>
          </cell>
        </row>
        <row r="59">
          <cell r="C59" t="str">
            <v>10.14.11.203</v>
          </cell>
          <cell r="D59">
            <v>732660</v>
          </cell>
        </row>
        <row r="60">
          <cell r="C60" t="str">
            <v>10.0.114.209</v>
          </cell>
          <cell r="D60">
            <v>70635</v>
          </cell>
        </row>
        <row r="61">
          <cell r="C61" t="str">
            <v>10.10.16.200</v>
          </cell>
          <cell r="D61">
            <v>68902</v>
          </cell>
        </row>
        <row r="62">
          <cell r="C62" t="str">
            <v>10.11.12.200</v>
          </cell>
          <cell r="D62">
            <v>437036</v>
          </cell>
        </row>
        <row r="63">
          <cell r="C63" t="str">
            <v>10.10.244.200</v>
          </cell>
          <cell r="D63">
            <v>101393</v>
          </cell>
        </row>
        <row r="64">
          <cell r="C64" t="str">
            <v>10.10.241.200</v>
          </cell>
          <cell r="D64">
            <v>247663</v>
          </cell>
        </row>
        <row r="65">
          <cell r="C65" t="str">
            <v>10.10.31.203</v>
          </cell>
          <cell r="D65">
            <v>340296</v>
          </cell>
        </row>
        <row r="66">
          <cell r="C66" t="str">
            <v>10.11.80.200</v>
          </cell>
          <cell r="D66">
            <v>35924</v>
          </cell>
        </row>
        <row r="67">
          <cell r="C67" t="str">
            <v>10.10.64.101</v>
          </cell>
          <cell r="D67">
            <v>532627</v>
          </cell>
        </row>
        <row r="68">
          <cell r="C68" t="str">
            <v>10.10.44.200</v>
          </cell>
          <cell r="D68">
            <v>63685</v>
          </cell>
        </row>
        <row r="69">
          <cell r="C69" t="str">
            <v>10.10.206.209</v>
          </cell>
          <cell r="D69">
            <v>108287</v>
          </cell>
        </row>
        <row r="70">
          <cell r="C70" t="str">
            <v>10.10.6.201</v>
          </cell>
          <cell r="D70">
            <v>570527</v>
          </cell>
        </row>
        <row r="71">
          <cell r="C71" t="str">
            <v>10.10.137.200</v>
          </cell>
          <cell r="D71">
            <v>155619</v>
          </cell>
        </row>
        <row r="72">
          <cell r="C72" t="str">
            <v>10.11.9.201</v>
          </cell>
          <cell r="D72">
            <v>272535</v>
          </cell>
        </row>
        <row r="73">
          <cell r="C73" t="str">
            <v>10.11.6.200</v>
          </cell>
          <cell r="D73">
            <v>184365</v>
          </cell>
        </row>
        <row r="74">
          <cell r="C74" t="str">
            <v>10.14.14.203</v>
          </cell>
          <cell r="D74">
            <v>110887</v>
          </cell>
        </row>
        <row r="75">
          <cell r="C75" t="str">
            <v>10.11.26.200</v>
          </cell>
          <cell r="D75">
            <v>502076</v>
          </cell>
        </row>
        <row r="76">
          <cell r="C76" t="str">
            <v>10.10.16.201</v>
          </cell>
          <cell r="D76">
            <v>176973</v>
          </cell>
        </row>
        <row r="77">
          <cell r="C77" t="str">
            <v>10.0.16.206</v>
          </cell>
          <cell r="D77">
            <v>1631362</v>
          </cell>
        </row>
        <row r="78">
          <cell r="C78" t="str">
            <v>10.10.43.201</v>
          </cell>
          <cell r="D78">
            <v>418377</v>
          </cell>
        </row>
        <row r="79">
          <cell r="C79" t="str">
            <v>10.10.143.201</v>
          </cell>
          <cell r="D79">
            <v>200980</v>
          </cell>
        </row>
        <row r="80">
          <cell r="C80" t="str">
            <v>10.0.8.171</v>
          </cell>
          <cell r="D80">
            <v>1236943</v>
          </cell>
        </row>
        <row r="81">
          <cell r="C81" t="str">
            <v>10.10.222.201</v>
          </cell>
          <cell r="D81">
            <v>155230</v>
          </cell>
        </row>
        <row r="82">
          <cell r="C82" t="str">
            <v>10.10.152.201</v>
          </cell>
          <cell r="D82">
            <v>264893</v>
          </cell>
        </row>
        <row r="83">
          <cell r="C83" t="str">
            <v>10.0.21.202</v>
          </cell>
          <cell r="D83">
            <v>301575</v>
          </cell>
        </row>
        <row r="84">
          <cell r="C84" t="str">
            <v>10.14.9.201</v>
          </cell>
          <cell r="D84">
            <v>635778</v>
          </cell>
        </row>
        <row r="85">
          <cell r="C85" t="str">
            <v>10.10.14.240</v>
          </cell>
          <cell r="D85">
            <v>219532</v>
          </cell>
        </row>
        <row r="86">
          <cell r="C86" t="str">
            <v>10.0.15.18</v>
          </cell>
          <cell r="D86">
            <v>788033</v>
          </cell>
        </row>
        <row r="87">
          <cell r="C87" t="str">
            <v>10.10.81.201</v>
          </cell>
          <cell r="D87">
            <v>84590</v>
          </cell>
        </row>
        <row r="88">
          <cell r="C88" t="str">
            <v>10.0.27.42</v>
          </cell>
          <cell r="D88">
            <v>133565</v>
          </cell>
        </row>
        <row r="89">
          <cell r="C89" t="str">
            <v>10.10.228.200</v>
          </cell>
          <cell r="D89">
            <v>31915</v>
          </cell>
        </row>
        <row r="90">
          <cell r="C90" t="str">
            <v>10.10.206.201</v>
          </cell>
          <cell r="D90">
            <v>187733</v>
          </cell>
        </row>
        <row r="91">
          <cell r="C91" t="str">
            <v>10.10.73.211</v>
          </cell>
          <cell r="D91">
            <v>517084</v>
          </cell>
        </row>
        <row r="92">
          <cell r="C92" t="str">
            <v>10.10.90.200</v>
          </cell>
          <cell r="D92">
            <v>446601</v>
          </cell>
        </row>
        <row r="93">
          <cell r="C93" t="str">
            <v>10.0.12.201</v>
          </cell>
          <cell r="D93">
            <v>239619</v>
          </cell>
        </row>
        <row r="94">
          <cell r="C94" t="str">
            <v>10.10.79.201</v>
          </cell>
          <cell r="D94">
            <v>146048</v>
          </cell>
        </row>
        <row r="95">
          <cell r="C95" t="str">
            <v>10.11.11.200</v>
          </cell>
          <cell r="D95">
            <v>96056</v>
          </cell>
        </row>
        <row r="96">
          <cell r="C96" t="str">
            <v>10.10.168.202</v>
          </cell>
          <cell r="D96">
            <v>182111</v>
          </cell>
        </row>
        <row r="97">
          <cell r="C97" t="str">
            <v>10.10.232.200</v>
          </cell>
          <cell r="D97">
            <v>163756</v>
          </cell>
        </row>
        <row r="98">
          <cell r="C98" t="str">
            <v>10.10.93.200</v>
          </cell>
          <cell r="D98">
            <v>102490</v>
          </cell>
        </row>
        <row r="99">
          <cell r="C99" t="str">
            <v>10.10.147.202</v>
          </cell>
          <cell r="D99">
            <v>222076</v>
          </cell>
        </row>
        <row r="100">
          <cell r="C100" t="str">
            <v>10.14.14.201</v>
          </cell>
          <cell r="D100">
            <v>565608</v>
          </cell>
        </row>
        <row r="101">
          <cell r="C101" t="str">
            <v>10.10.9.200</v>
          </cell>
          <cell r="D101">
            <v>102619</v>
          </cell>
        </row>
        <row r="102">
          <cell r="C102" t="str">
            <v>10.11.18.202</v>
          </cell>
          <cell r="D102">
            <v>471434</v>
          </cell>
        </row>
        <row r="103">
          <cell r="C103" t="str">
            <v>10.0.12.202</v>
          </cell>
          <cell r="D103">
            <v>379890</v>
          </cell>
        </row>
        <row r="104">
          <cell r="C104" t="str">
            <v>10.14.35.202</v>
          </cell>
          <cell r="D104">
            <v>340643</v>
          </cell>
        </row>
        <row r="105">
          <cell r="C105" t="str">
            <v>10.0.40.203</v>
          </cell>
          <cell r="D105">
            <v>665363</v>
          </cell>
        </row>
        <row r="106">
          <cell r="C106" t="str">
            <v>10.0.27.53</v>
          </cell>
          <cell r="D106">
            <v>99787</v>
          </cell>
        </row>
        <row r="107">
          <cell r="C107" t="str">
            <v>10.10.171.207</v>
          </cell>
          <cell r="D107">
            <v>182728</v>
          </cell>
        </row>
        <row r="108">
          <cell r="C108" t="str">
            <v>10.10.12.202</v>
          </cell>
          <cell r="D108">
            <v>273064</v>
          </cell>
        </row>
        <row r="109">
          <cell r="C109" t="str">
            <v>10.0.29.204</v>
          </cell>
          <cell r="D109">
            <v>707479</v>
          </cell>
        </row>
        <row r="110">
          <cell r="C110" t="str">
            <v>10.10.201.200</v>
          </cell>
          <cell r="D110">
            <v>34103</v>
          </cell>
        </row>
        <row r="111">
          <cell r="C111" t="str">
            <v>10.14.84.199</v>
          </cell>
          <cell r="D111">
            <v>351271</v>
          </cell>
        </row>
        <row r="112">
          <cell r="C112" t="str">
            <v>10.10.125.201</v>
          </cell>
          <cell r="D112">
            <v>687470</v>
          </cell>
        </row>
        <row r="113">
          <cell r="C113" t="str">
            <v>10.10.85.200</v>
          </cell>
          <cell r="D113">
            <v>254487</v>
          </cell>
        </row>
        <row r="114">
          <cell r="C114" t="str">
            <v>10.10.171.205</v>
          </cell>
          <cell r="D114">
            <v>96370</v>
          </cell>
        </row>
        <row r="115">
          <cell r="C115" t="str">
            <v>10.10.194.202</v>
          </cell>
          <cell r="D115">
            <v>233499</v>
          </cell>
        </row>
        <row r="116">
          <cell r="C116" t="str">
            <v>10.10.243.201</v>
          </cell>
          <cell r="D116">
            <v>268615</v>
          </cell>
        </row>
        <row r="117">
          <cell r="C117" t="str">
            <v>10.10.148.201</v>
          </cell>
          <cell r="D117">
            <v>542622</v>
          </cell>
        </row>
        <row r="118">
          <cell r="C118" t="str">
            <v>10.10.73.210</v>
          </cell>
          <cell r="D118">
            <v>79951</v>
          </cell>
        </row>
        <row r="119">
          <cell r="C119" t="str">
            <v>10.10.135.200</v>
          </cell>
          <cell r="D119">
            <v>118731</v>
          </cell>
        </row>
        <row r="120">
          <cell r="C120" t="str">
            <v>10.14.8.200</v>
          </cell>
          <cell r="D120">
            <v>136702</v>
          </cell>
        </row>
        <row r="121">
          <cell r="C121" t="str">
            <v>10.10.53.201</v>
          </cell>
          <cell r="D121">
            <v>219303</v>
          </cell>
        </row>
        <row r="122">
          <cell r="C122" t="str">
            <v>10.10.252.202</v>
          </cell>
          <cell r="D122">
            <v>192427</v>
          </cell>
        </row>
        <row r="123">
          <cell r="C123" t="str">
            <v>10.10.246.200</v>
          </cell>
          <cell r="D123">
            <v>530061</v>
          </cell>
        </row>
        <row r="124">
          <cell r="C124" t="str">
            <v>10.10.59.201</v>
          </cell>
          <cell r="D124">
            <v>279507</v>
          </cell>
        </row>
        <row r="125">
          <cell r="C125" t="str">
            <v>10.10.219.231</v>
          </cell>
          <cell r="D125">
            <v>563216</v>
          </cell>
        </row>
        <row r="126">
          <cell r="C126" t="str">
            <v>10.11.73.201</v>
          </cell>
          <cell r="D126">
            <v>238793</v>
          </cell>
        </row>
        <row r="127">
          <cell r="C127" t="str">
            <v>10.10.60.200</v>
          </cell>
          <cell r="D127">
            <v>112586</v>
          </cell>
        </row>
        <row r="128">
          <cell r="C128" t="str">
            <v>10.14.68.200</v>
          </cell>
          <cell r="D128">
            <v>297117</v>
          </cell>
        </row>
        <row r="129">
          <cell r="C129" t="str">
            <v>10.10.63.200</v>
          </cell>
          <cell r="D129">
            <v>117615</v>
          </cell>
        </row>
        <row r="130">
          <cell r="C130" t="str">
            <v>10.10.53.200</v>
          </cell>
          <cell r="D130">
            <v>338891</v>
          </cell>
        </row>
        <row r="131">
          <cell r="C131" t="str">
            <v>10.10.186.203</v>
          </cell>
          <cell r="D131">
            <v>348281</v>
          </cell>
        </row>
        <row r="132">
          <cell r="C132" t="str">
            <v>10.10.0.200</v>
          </cell>
          <cell r="D132">
            <v>31488</v>
          </cell>
        </row>
        <row r="133">
          <cell r="C133" t="str">
            <v>10.11.29.204</v>
          </cell>
          <cell r="D133">
            <v>448191</v>
          </cell>
        </row>
        <row r="134">
          <cell r="C134" t="str">
            <v>10.10.233.201</v>
          </cell>
          <cell r="D134">
            <v>261920</v>
          </cell>
        </row>
        <row r="135">
          <cell r="C135" t="str">
            <v>10.10.7.201</v>
          </cell>
          <cell r="D135">
            <v>209565</v>
          </cell>
        </row>
        <row r="136">
          <cell r="C136" t="str">
            <v>10.11.73.202</v>
          </cell>
          <cell r="D136">
            <v>471019</v>
          </cell>
        </row>
        <row r="137">
          <cell r="C137" t="str">
            <v>10.10.32.201</v>
          </cell>
          <cell r="D137">
            <v>249130</v>
          </cell>
        </row>
        <row r="138">
          <cell r="C138" t="str">
            <v>10.0.36.100</v>
          </cell>
          <cell r="D138">
            <v>157930</v>
          </cell>
        </row>
        <row r="139">
          <cell r="C139" t="str">
            <v>10.14.11.202</v>
          </cell>
          <cell r="D139">
            <v>440213</v>
          </cell>
        </row>
        <row r="140">
          <cell r="C140" t="str">
            <v>10.11.105.200</v>
          </cell>
          <cell r="D140">
            <v>55869</v>
          </cell>
        </row>
        <row r="141">
          <cell r="C141" t="str">
            <v>10.0.30.220</v>
          </cell>
          <cell r="D141">
            <v>1326</v>
          </cell>
        </row>
        <row r="142">
          <cell r="C142" t="str">
            <v>10.0.8.168</v>
          </cell>
          <cell r="D142">
            <v>37935</v>
          </cell>
        </row>
        <row r="143">
          <cell r="C143" t="str">
            <v>10.10.4.201</v>
          </cell>
          <cell r="D143">
            <v>437365</v>
          </cell>
        </row>
        <row r="144">
          <cell r="C144" t="str">
            <v>10.10.135.203</v>
          </cell>
          <cell r="D144">
            <v>330947</v>
          </cell>
        </row>
        <row r="145">
          <cell r="C145" t="str">
            <v>10.10.1.201</v>
          </cell>
          <cell r="D145">
            <v>455713</v>
          </cell>
        </row>
        <row r="146">
          <cell r="C146" t="str">
            <v>10.10.60.201</v>
          </cell>
          <cell r="D146">
            <v>492589</v>
          </cell>
        </row>
        <row r="147">
          <cell r="C147" t="str">
            <v>10.0.36.47</v>
          </cell>
          <cell r="D147">
            <v>119182</v>
          </cell>
        </row>
        <row r="148">
          <cell r="C148" t="str">
            <v>10.14.7.200</v>
          </cell>
          <cell r="D148">
            <v>109802</v>
          </cell>
        </row>
        <row r="149">
          <cell r="C149" t="str">
            <v>10.0.36.55</v>
          </cell>
          <cell r="D149">
            <v>245833</v>
          </cell>
        </row>
        <row r="150">
          <cell r="C150" t="str">
            <v>10.11.8.200</v>
          </cell>
          <cell r="D150">
            <v>210333</v>
          </cell>
        </row>
        <row r="151">
          <cell r="C151" t="str">
            <v>10.10.74.204</v>
          </cell>
          <cell r="D151">
            <v>155378</v>
          </cell>
        </row>
        <row r="152">
          <cell r="C152" t="str">
            <v>10.10.123.200</v>
          </cell>
          <cell r="D152">
            <v>145218</v>
          </cell>
        </row>
        <row r="153">
          <cell r="C153" t="str">
            <v>10.14.16.200</v>
          </cell>
          <cell r="D153">
            <v>124554</v>
          </cell>
        </row>
        <row r="154">
          <cell r="C154" t="str">
            <v>10.10.161.201</v>
          </cell>
          <cell r="D154">
            <v>576568</v>
          </cell>
        </row>
        <row r="155">
          <cell r="C155" t="str">
            <v>10.0.17.38</v>
          </cell>
          <cell r="D155">
            <v>50268</v>
          </cell>
        </row>
        <row r="156">
          <cell r="C156" t="str">
            <v>10.10.33.200</v>
          </cell>
          <cell r="D156">
            <v>257710</v>
          </cell>
        </row>
        <row r="157">
          <cell r="C157" t="str">
            <v>10.0.23.105</v>
          </cell>
          <cell r="D157">
            <v>548781</v>
          </cell>
        </row>
        <row r="158">
          <cell r="C158" t="str">
            <v>10.0.16.204</v>
          </cell>
          <cell r="D158">
            <v>746898</v>
          </cell>
        </row>
        <row r="159">
          <cell r="C159" t="str">
            <v>10.10.186.202</v>
          </cell>
          <cell r="D159">
            <v>257717</v>
          </cell>
        </row>
        <row r="160">
          <cell r="C160" t="str">
            <v>10.14.3.200</v>
          </cell>
          <cell r="D160">
            <v>228608</v>
          </cell>
        </row>
        <row r="161">
          <cell r="C161" t="str">
            <v>10.10.138.200</v>
          </cell>
          <cell r="D161">
            <v>607394</v>
          </cell>
        </row>
        <row r="162">
          <cell r="C162" t="str">
            <v>10.10.143.200</v>
          </cell>
          <cell r="D162">
            <v>277666</v>
          </cell>
        </row>
        <row r="163">
          <cell r="C163" t="str">
            <v>10.10.57.201</v>
          </cell>
          <cell r="D163">
            <v>508816</v>
          </cell>
        </row>
        <row r="164">
          <cell r="C164" t="str">
            <v>10.10.181.200</v>
          </cell>
          <cell r="D164">
            <v>263606</v>
          </cell>
        </row>
        <row r="165">
          <cell r="C165" t="str">
            <v>10.10.227.200</v>
          </cell>
          <cell r="D165">
            <v>493691</v>
          </cell>
        </row>
        <row r="166">
          <cell r="C166" t="str">
            <v>10.10.145.202</v>
          </cell>
          <cell r="D166">
            <v>85823</v>
          </cell>
        </row>
        <row r="167">
          <cell r="C167" t="str">
            <v>10.10.90.201</v>
          </cell>
          <cell r="D167">
            <v>160547</v>
          </cell>
        </row>
        <row r="168">
          <cell r="C168" t="str">
            <v>10.10.83.203</v>
          </cell>
          <cell r="D168">
            <v>544530</v>
          </cell>
        </row>
        <row r="169">
          <cell r="C169" t="str">
            <v>10.10.210.200</v>
          </cell>
          <cell r="D169">
            <v>353232</v>
          </cell>
        </row>
        <row r="170">
          <cell r="C170" t="str">
            <v>10.10.119.200</v>
          </cell>
          <cell r="D170">
            <v>443212</v>
          </cell>
        </row>
        <row r="171">
          <cell r="C171" t="str">
            <v>10.10.212.200</v>
          </cell>
          <cell r="D171">
            <v>36038</v>
          </cell>
        </row>
        <row r="172">
          <cell r="C172" t="str">
            <v>10.0.28.79</v>
          </cell>
          <cell r="D172">
            <v>395286</v>
          </cell>
        </row>
        <row r="173">
          <cell r="C173" t="str">
            <v>10.10.64.202</v>
          </cell>
          <cell r="D173">
            <v>305651</v>
          </cell>
        </row>
        <row r="174">
          <cell r="C174" t="str">
            <v>10.10.188.201</v>
          </cell>
          <cell r="D174">
            <v>276689</v>
          </cell>
        </row>
        <row r="175">
          <cell r="C175" t="str">
            <v>10.11.12.201</v>
          </cell>
          <cell r="D175">
            <v>189160</v>
          </cell>
        </row>
        <row r="176">
          <cell r="C176" t="str">
            <v>10.0.22.54</v>
          </cell>
          <cell r="D176">
            <v>858409</v>
          </cell>
        </row>
        <row r="177">
          <cell r="C177" t="str">
            <v>10.10.128.230</v>
          </cell>
          <cell r="D177">
            <v>129735</v>
          </cell>
        </row>
        <row r="178">
          <cell r="C178" t="str">
            <v>10.10.252.200</v>
          </cell>
          <cell r="D178">
            <v>194157</v>
          </cell>
        </row>
        <row r="179">
          <cell r="C179" t="str">
            <v>10.10.39.200</v>
          </cell>
          <cell r="D179">
            <v>329986</v>
          </cell>
        </row>
        <row r="180">
          <cell r="C180" t="str">
            <v>10.10.140.202</v>
          </cell>
          <cell r="D180">
            <v>334707</v>
          </cell>
        </row>
        <row r="181">
          <cell r="C181" t="str">
            <v>10.10.64.207</v>
          </cell>
          <cell r="D181">
            <v>703995</v>
          </cell>
        </row>
        <row r="182">
          <cell r="C182" t="str">
            <v>10.10.211.202</v>
          </cell>
          <cell r="D182">
            <v>171013</v>
          </cell>
        </row>
        <row r="183">
          <cell r="C183" t="str">
            <v>10.10.62.200</v>
          </cell>
          <cell r="D183">
            <v>48329</v>
          </cell>
        </row>
        <row r="184">
          <cell r="C184" t="str">
            <v>10.0.32.99</v>
          </cell>
          <cell r="D184">
            <v>457280</v>
          </cell>
        </row>
        <row r="185">
          <cell r="C185" t="str">
            <v>10.10.171.13</v>
          </cell>
          <cell r="D185">
            <v>207268</v>
          </cell>
        </row>
        <row r="186">
          <cell r="C186" t="str">
            <v>10.10.184.201</v>
          </cell>
          <cell r="D186">
            <v>143850</v>
          </cell>
        </row>
        <row r="187">
          <cell r="C187" t="str">
            <v>10.10.74.200</v>
          </cell>
          <cell r="D187">
            <v>559422</v>
          </cell>
        </row>
        <row r="188">
          <cell r="C188" t="str">
            <v>10.10.10.200</v>
          </cell>
          <cell r="D188">
            <v>453009</v>
          </cell>
        </row>
        <row r="189">
          <cell r="C189" t="str">
            <v>10.10.100.205</v>
          </cell>
          <cell r="D189">
            <v>388796</v>
          </cell>
        </row>
        <row r="190">
          <cell r="C190" t="str">
            <v>10.11.5.201</v>
          </cell>
          <cell r="D190">
            <v>470958</v>
          </cell>
        </row>
        <row r="191">
          <cell r="C191" t="str">
            <v>10.14.13.201</v>
          </cell>
          <cell r="D191">
            <v>59503</v>
          </cell>
        </row>
        <row r="192">
          <cell r="C192" t="str">
            <v>10.11.61.200</v>
          </cell>
          <cell r="D192">
            <v>479278</v>
          </cell>
        </row>
        <row r="193">
          <cell r="C193" t="str">
            <v>10.0.6.80</v>
          </cell>
          <cell r="D193">
            <v>51193</v>
          </cell>
        </row>
        <row r="194">
          <cell r="C194" t="str">
            <v>10.0.33.6</v>
          </cell>
          <cell r="D194">
            <v>19648</v>
          </cell>
        </row>
        <row r="195">
          <cell r="C195" t="str">
            <v>10.0.25.200</v>
          </cell>
          <cell r="D195">
            <v>377743</v>
          </cell>
        </row>
        <row r="196">
          <cell r="C196" t="str">
            <v>10.0.28.79</v>
          </cell>
          <cell r="D196">
            <v>395286</v>
          </cell>
        </row>
        <row r="197">
          <cell r="C197" t="str">
            <v>10.0.31.202</v>
          </cell>
          <cell r="D197">
            <v>39601</v>
          </cell>
        </row>
        <row r="198">
          <cell r="C198" t="str">
            <v>10.0.33.11</v>
          </cell>
          <cell r="D198">
            <v>37997</v>
          </cell>
        </row>
        <row r="199">
          <cell r="C199" t="str">
            <v>10.14.11.204</v>
          </cell>
          <cell r="D199">
            <v>178845</v>
          </cell>
        </row>
        <row r="200">
          <cell r="C200" t="str">
            <v>10.11.99.201</v>
          </cell>
          <cell r="D200">
            <v>92533</v>
          </cell>
        </row>
        <row r="201">
          <cell r="C201" t="str">
            <v>10.10.162.202</v>
          </cell>
          <cell r="D201">
            <v>246338</v>
          </cell>
        </row>
        <row r="202">
          <cell r="C202" t="str">
            <v>10.10.180.204</v>
          </cell>
          <cell r="D202">
            <v>109303</v>
          </cell>
        </row>
        <row r="203">
          <cell r="C203" t="str">
            <v>10.10.161.206</v>
          </cell>
          <cell r="D203">
            <v>321970</v>
          </cell>
        </row>
        <row r="204">
          <cell r="C204" t="str">
            <v>10.10.163.200</v>
          </cell>
          <cell r="D204">
            <v>237494</v>
          </cell>
        </row>
        <row r="205">
          <cell r="C205" t="str">
            <v>10.0.27.208</v>
          </cell>
          <cell r="D205">
            <v>1642918</v>
          </cell>
        </row>
        <row r="206">
          <cell r="C206" t="str">
            <v>10.10.71.200</v>
          </cell>
          <cell r="D206">
            <v>630702</v>
          </cell>
        </row>
        <row r="207">
          <cell r="C207" t="str">
            <v>10.10.59.200</v>
          </cell>
          <cell r="D207">
            <v>742978</v>
          </cell>
        </row>
        <row r="208">
          <cell r="C208" t="str">
            <v>10.11.24.200</v>
          </cell>
          <cell r="D208">
            <v>330178</v>
          </cell>
        </row>
        <row r="209">
          <cell r="C209" t="str">
            <v>10.11.13.201</v>
          </cell>
          <cell r="D209">
            <v>664722</v>
          </cell>
        </row>
        <row r="210">
          <cell r="C210" t="str">
            <v>10.10.92.200</v>
          </cell>
          <cell r="D210">
            <v>134189</v>
          </cell>
        </row>
        <row r="211">
          <cell r="C211" t="str">
            <v>10.10.14.200</v>
          </cell>
          <cell r="D211">
            <v>254047</v>
          </cell>
        </row>
        <row r="212">
          <cell r="C212" t="str">
            <v>10.10.185.200</v>
          </cell>
          <cell r="D212">
            <v>52409</v>
          </cell>
        </row>
        <row r="213">
          <cell r="C213" t="str">
            <v>10.10.50.201</v>
          </cell>
          <cell r="D213">
            <v>144092</v>
          </cell>
        </row>
        <row r="214">
          <cell r="C214" t="str">
            <v>10.11.32.200</v>
          </cell>
          <cell r="D214">
            <v>760761</v>
          </cell>
        </row>
        <row r="215">
          <cell r="C215" t="str">
            <v>10.10.194.201</v>
          </cell>
          <cell r="D215">
            <v>267445</v>
          </cell>
        </row>
        <row r="216">
          <cell r="C216" t="str">
            <v>10.11.10.200</v>
          </cell>
          <cell r="D216">
            <v>103286</v>
          </cell>
        </row>
        <row r="217">
          <cell r="C217" t="str">
            <v>10.14.84.201</v>
          </cell>
          <cell r="D217">
            <v>165927</v>
          </cell>
        </row>
        <row r="218">
          <cell r="C218" t="str">
            <v>10.10.161.204</v>
          </cell>
          <cell r="D218">
            <v>359128</v>
          </cell>
        </row>
        <row r="219">
          <cell r="C219" t="str">
            <v>10.10.165.202</v>
          </cell>
          <cell r="D219">
            <v>610418</v>
          </cell>
        </row>
        <row r="220">
          <cell r="C220" t="str">
            <v>10.14.72.200</v>
          </cell>
          <cell r="D220">
            <v>291311</v>
          </cell>
        </row>
        <row r="221">
          <cell r="C221" t="str">
            <v>10.10.244.204</v>
          </cell>
          <cell r="D221">
            <v>202933</v>
          </cell>
        </row>
        <row r="222">
          <cell r="C222" t="str">
            <v>10.14.71.210</v>
          </cell>
          <cell r="D222">
            <v>254897</v>
          </cell>
        </row>
        <row r="223">
          <cell r="C223" t="str">
            <v>10.14.72.201</v>
          </cell>
          <cell r="D223">
            <v>448979</v>
          </cell>
        </row>
        <row r="224">
          <cell r="C224" t="str">
            <v>10.11.3.201</v>
          </cell>
          <cell r="D224">
            <v>175005</v>
          </cell>
        </row>
        <row r="225">
          <cell r="C225" t="str">
            <v>10.14.3.202</v>
          </cell>
          <cell r="D225">
            <v>566653</v>
          </cell>
        </row>
        <row r="226">
          <cell r="C226" t="str">
            <v>10.14.44.200</v>
          </cell>
          <cell r="D226">
            <v>608271</v>
          </cell>
        </row>
        <row r="227">
          <cell r="C227" t="str">
            <v>10.11.37.202</v>
          </cell>
          <cell r="D227">
            <v>259330</v>
          </cell>
        </row>
        <row r="228">
          <cell r="C228" t="str">
            <v>10.11.10.201</v>
          </cell>
          <cell r="D228">
            <v>264896</v>
          </cell>
        </row>
        <row r="229">
          <cell r="C229" t="str">
            <v>10.11.32.201</v>
          </cell>
          <cell r="D229">
            <v>150911</v>
          </cell>
        </row>
        <row r="230">
          <cell r="C230" t="str">
            <v>10.10.125.203</v>
          </cell>
          <cell r="D230">
            <v>159532</v>
          </cell>
        </row>
        <row r="231">
          <cell r="C231" t="str">
            <v>10.10.81.208</v>
          </cell>
          <cell r="D231">
            <v>190694</v>
          </cell>
        </row>
        <row r="232">
          <cell r="C232" t="str">
            <v>10.11.39.200</v>
          </cell>
          <cell r="D232">
            <v>386202</v>
          </cell>
        </row>
        <row r="233">
          <cell r="C233" t="str">
            <v>10.10.141.203</v>
          </cell>
          <cell r="D233">
            <v>219521</v>
          </cell>
        </row>
        <row r="234">
          <cell r="C234" t="str">
            <v>10.0.13.20</v>
          </cell>
          <cell r="D234">
            <v>14827</v>
          </cell>
        </row>
        <row r="235">
          <cell r="C235" t="str">
            <v>10.0.26.205</v>
          </cell>
          <cell r="D235">
            <v>127659</v>
          </cell>
        </row>
        <row r="236">
          <cell r="C236" t="str">
            <v>10.11.28.203</v>
          </cell>
          <cell r="D236">
            <v>105980</v>
          </cell>
        </row>
        <row r="237">
          <cell r="C237" t="str">
            <v>10.10.190.200</v>
          </cell>
          <cell r="D237">
            <v>274058</v>
          </cell>
        </row>
        <row r="238">
          <cell r="C238" t="str">
            <v>10.0.40.72</v>
          </cell>
          <cell r="D238">
            <v>194627</v>
          </cell>
        </row>
        <row r="239">
          <cell r="C239" t="str">
            <v>10.11.11.202</v>
          </cell>
          <cell r="D239">
            <v>517112</v>
          </cell>
        </row>
        <row r="240">
          <cell r="C240" t="str">
            <v>10.10.138.201</v>
          </cell>
          <cell r="D240">
            <v>464661</v>
          </cell>
        </row>
        <row r="241">
          <cell r="C241" t="str">
            <v>10.14.21.201</v>
          </cell>
          <cell r="D241">
            <v>135441</v>
          </cell>
        </row>
        <row r="242">
          <cell r="C242" t="str">
            <v>10.0.17.98</v>
          </cell>
          <cell r="D242">
            <v>84203</v>
          </cell>
        </row>
        <row r="243">
          <cell r="C243" t="str">
            <v>10.0.31.49</v>
          </cell>
          <cell r="D243">
            <v>198812</v>
          </cell>
        </row>
        <row r="244">
          <cell r="C244" t="str">
            <v>10.0.14.69</v>
          </cell>
          <cell r="D244">
            <v>26690</v>
          </cell>
        </row>
        <row r="245">
          <cell r="C245" t="str">
            <v>10.10.95.201</v>
          </cell>
          <cell r="D245">
            <v>493034</v>
          </cell>
        </row>
        <row r="246">
          <cell r="C246" t="str">
            <v>10.10.211.204</v>
          </cell>
          <cell r="D246">
            <v>118497</v>
          </cell>
        </row>
        <row r="247">
          <cell r="C247" t="str">
            <v>10.11.29.202</v>
          </cell>
          <cell r="D247">
            <v>89065</v>
          </cell>
        </row>
        <row r="248">
          <cell r="C248" t="str">
            <v>10.14.69.201</v>
          </cell>
          <cell r="D248">
            <v>266725</v>
          </cell>
        </row>
        <row r="249">
          <cell r="C249" t="str">
            <v>10.11.99.200</v>
          </cell>
          <cell r="D249">
            <v>549155</v>
          </cell>
        </row>
        <row r="250">
          <cell r="C250" t="str">
            <v>10.11.22.200</v>
          </cell>
          <cell r="D250">
            <v>117227</v>
          </cell>
        </row>
        <row r="251">
          <cell r="C251" t="str">
            <v>10.10.3.200</v>
          </cell>
          <cell r="D251">
            <v>79874</v>
          </cell>
        </row>
        <row r="252">
          <cell r="C252" t="str">
            <v>10.10.79.200</v>
          </cell>
          <cell r="D252">
            <v>582609</v>
          </cell>
        </row>
        <row r="253">
          <cell r="C253" t="str">
            <v>10.11.13.200</v>
          </cell>
          <cell r="D253">
            <v>105318</v>
          </cell>
        </row>
        <row r="254">
          <cell r="C254" t="str">
            <v>10.11.41.203</v>
          </cell>
          <cell r="D254">
            <v>61580</v>
          </cell>
        </row>
        <row r="255">
          <cell r="C255" t="str">
            <v>10.10.206.205</v>
          </cell>
          <cell r="D255">
            <v>226052</v>
          </cell>
        </row>
        <row r="256">
          <cell r="C256" t="str">
            <v>10.10.114.200</v>
          </cell>
          <cell r="D256">
            <v>63001</v>
          </cell>
        </row>
        <row r="257">
          <cell r="C257" t="str">
            <v>10.10.142.200</v>
          </cell>
          <cell r="D257">
            <v>258009</v>
          </cell>
        </row>
        <row r="258">
          <cell r="C258" t="str">
            <v>10.14.90.201</v>
          </cell>
          <cell r="D258">
            <v>282802</v>
          </cell>
        </row>
        <row r="259">
          <cell r="C259" t="str">
            <v>10.10.166.201</v>
          </cell>
          <cell r="D259">
            <v>619518</v>
          </cell>
        </row>
        <row r="260">
          <cell r="C260" t="str">
            <v>10.10.56.200</v>
          </cell>
          <cell r="D260">
            <v>96519</v>
          </cell>
        </row>
        <row r="261">
          <cell r="C261" t="str">
            <v>10.10.131.201</v>
          </cell>
          <cell r="D261">
            <v>93657</v>
          </cell>
        </row>
        <row r="262">
          <cell r="C262" t="str">
            <v>10.10.127.202</v>
          </cell>
          <cell r="D262">
            <v>324067</v>
          </cell>
        </row>
        <row r="263">
          <cell r="C263" t="str">
            <v>10.10.243.207</v>
          </cell>
          <cell r="D263">
            <v>216033</v>
          </cell>
        </row>
        <row r="264">
          <cell r="C264" t="str">
            <v>10.10.146.201</v>
          </cell>
          <cell r="D264">
            <v>142814</v>
          </cell>
        </row>
        <row r="265">
          <cell r="C265" t="str">
            <v>10.10.137.201</v>
          </cell>
          <cell r="D265">
            <v>359731</v>
          </cell>
        </row>
        <row r="266">
          <cell r="C266" t="str">
            <v>10.10.65.200</v>
          </cell>
          <cell r="D266">
            <v>596432</v>
          </cell>
        </row>
        <row r="267">
          <cell r="C267" t="str">
            <v>10.0.21.1</v>
          </cell>
          <cell r="D267">
            <v>769888</v>
          </cell>
        </row>
        <row r="268">
          <cell r="C268" t="str">
            <v>10.10.57.200</v>
          </cell>
          <cell r="D268">
            <v>261356</v>
          </cell>
        </row>
        <row r="269">
          <cell r="C269" t="str">
            <v>10.10.150.202</v>
          </cell>
          <cell r="D269">
            <v>33085</v>
          </cell>
        </row>
        <row r="270">
          <cell r="C270" t="str">
            <v>10.14.47.204</v>
          </cell>
          <cell r="D270">
            <v>257929</v>
          </cell>
        </row>
        <row r="271">
          <cell r="C271" t="str">
            <v>10.10.7.200</v>
          </cell>
          <cell r="D271">
            <v>153419</v>
          </cell>
        </row>
        <row r="272">
          <cell r="C272" t="str">
            <v>10.0.36.230</v>
          </cell>
          <cell r="D272">
            <v>287542</v>
          </cell>
        </row>
        <row r="273">
          <cell r="C273" t="str">
            <v>10.0.24.200</v>
          </cell>
          <cell r="D273">
            <v>217713</v>
          </cell>
        </row>
        <row r="274">
          <cell r="C274" t="str">
            <v>10.10.131.200</v>
          </cell>
          <cell r="D274">
            <v>497154</v>
          </cell>
        </row>
        <row r="275">
          <cell r="C275" t="str">
            <v>10.10.150.200</v>
          </cell>
          <cell r="D275">
            <v>451866</v>
          </cell>
        </row>
        <row r="276">
          <cell r="C276" t="str">
            <v>10.10.139.201</v>
          </cell>
          <cell r="D276">
            <v>427232</v>
          </cell>
        </row>
        <row r="277">
          <cell r="C277" t="str">
            <v>10.11.31.200</v>
          </cell>
          <cell r="D277">
            <v>501115</v>
          </cell>
        </row>
        <row r="278">
          <cell r="C278" t="str">
            <v>10.10.24.201</v>
          </cell>
          <cell r="D278">
            <v>487241</v>
          </cell>
        </row>
        <row r="279">
          <cell r="C279" t="str">
            <v>10.14.85.200</v>
          </cell>
          <cell r="D279">
            <v>357504</v>
          </cell>
        </row>
        <row r="280">
          <cell r="C280" t="str">
            <v>10.11.30.201</v>
          </cell>
          <cell r="D280">
            <v>313296</v>
          </cell>
        </row>
        <row r="281">
          <cell r="C281" t="str">
            <v>10.14.87.203</v>
          </cell>
          <cell r="D281">
            <v>410484</v>
          </cell>
        </row>
        <row r="282">
          <cell r="C282" t="str">
            <v>10.0.200.201</v>
          </cell>
          <cell r="D282">
            <v>280191</v>
          </cell>
        </row>
        <row r="283">
          <cell r="C283" t="str">
            <v>10.14.89.200</v>
          </cell>
          <cell r="D283">
            <v>523760</v>
          </cell>
        </row>
        <row r="284">
          <cell r="C284" t="str">
            <v>10.0.24.201</v>
          </cell>
          <cell r="D284">
            <v>962660</v>
          </cell>
        </row>
        <row r="285">
          <cell r="C285" t="str">
            <v>10.14.8.201</v>
          </cell>
          <cell r="D285">
            <v>452582</v>
          </cell>
        </row>
        <row r="286">
          <cell r="C286" t="str">
            <v>10.14.15.200</v>
          </cell>
          <cell r="D286">
            <v>256514</v>
          </cell>
        </row>
        <row r="287">
          <cell r="C287" t="str">
            <v>10.11.16.200</v>
          </cell>
          <cell r="D287">
            <v>379410</v>
          </cell>
        </row>
        <row r="288">
          <cell r="C288" t="str">
            <v>10.11.25.201</v>
          </cell>
          <cell r="D288">
            <v>659007</v>
          </cell>
        </row>
        <row r="289">
          <cell r="C289" t="str">
            <v>10.11.8.201</v>
          </cell>
          <cell r="D289">
            <v>99259</v>
          </cell>
        </row>
        <row r="290">
          <cell r="C290" t="str">
            <v>10.10.8.201</v>
          </cell>
          <cell r="D290">
            <v>210334</v>
          </cell>
        </row>
        <row r="291">
          <cell r="C291" t="str">
            <v>10.10.68.200</v>
          </cell>
          <cell r="D291">
            <v>66336</v>
          </cell>
        </row>
        <row r="292">
          <cell r="C292" t="str">
            <v>10.10.222.202</v>
          </cell>
          <cell r="D292">
            <v>393044</v>
          </cell>
        </row>
        <row r="293">
          <cell r="C293" t="str">
            <v>10.10.170.200</v>
          </cell>
          <cell r="D293">
            <v>354000</v>
          </cell>
        </row>
        <row r="294">
          <cell r="C294" t="str">
            <v>10.0.12.201</v>
          </cell>
          <cell r="D294">
            <v>239619</v>
          </cell>
        </row>
        <row r="295">
          <cell r="C295" t="str">
            <v>10.10.44.201</v>
          </cell>
          <cell r="D295">
            <v>359949</v>
          </cell>
        </row>
        <row r="296">
          <cell r="C296" t="str">
            <v>10.10.171.206</v>
          </cell>
          <cell r="D296">
            <v>756526</v>
          </cell>
        </row>
        <row r="297">
          <cell r="C297" t="str">
            <v>10.11.29.201</v>
          </cell>
          <cell r="D297">
            <v>305698</v>
          </cell>
        </row>
        <row r="298">
          <cell r="C298" t="str">
            <v>10.11.33.201</v>
          </cell>
          <cell r="D298">
            <v>207865</v>
          </cell>
        </row>
        <row r="299">
          <cell r="C299" t="str">
            <v>10.10.41.200</v>
          </cell>
          <cell r="D299">
            <v>51026</v>
          </cell>
        </row>
        <row r="300">
          <cell r="C300" t="str">
            <v>10.0.14.206</v>
          </cell>
          <cell r="D300">
            <v>854291</v>
          </cell>
        </row>
        <row r="301">
          <cell r="C301" t="str">
            <v>10.14.14.200</v>
          </cell>
          <cell r="D301">
            <v>230978</v>
          </cell>
        </row>
        <row r="302">
          <cell r="C302" t="str">
            <v>10.11.43.110</v>
          </cell>
          <cell r="D302">
            <v>33396</v>
          </cell>
        </row>
        <row r="303">
          <cell r="C303" t="str">
            <v>10.10.31.210</v>
          </cell>
          <cell r="D303">
            <v>318919</v>
          </cell>
        </row>
        <row r="304">
          <cell r="C304" t="str">
            <v>10.0.33.205</v>
          </cell>
          <cell r="D304">
            <v>48183</v>
          </cell>
        </row>
        <row r="305">
          <cell r="C305" t="str">
            <v>10.10.88.200</v>
          </cell>
          <cell r="D305">
            <v>621132</v>
          </cell>
        </row>
        <row r="306">
          <cell r="C306" t="str">
            <v>10.10.75.202</v>
          </cell>
          <cell r="D306">
            <v>518912</v>
          </cell>
        </row>
        <row r="307">
          <cell r="C307" t="str">
            <v>10.10.64.102</v>
          </cell>
          <cell r="D307">
            <v>167396</v>
          </cell>
        </row>
        <row r="308">
          <cell r="C308" t="str">
            <v>10.10.209.200</v>
          </cell>
          <cell r="D308">
            <v>640312</v>
          </cell>
        </row>
        <row r="309">
          <cell r="C309" t="str">
            <v>10.10.129.203</v>
          </cell>
          <cell r="D309">
            <v>129436</v>
          </cell>
        </row>
        <row r="310">
          <cell r="C310" t="str">
            <v>10.10.84.200</v>
          </cell>
          <cell r="D310">
            <v>308275</v>
          </cell>
        </row>
        <row r="311">
          <cell r="C311" t="str">
            <v>10.10.168.201</v>
          </cell>
          <cell r="D311">
            <v>573306</v>
          </cell>
        </row>
        <row r="312">
          <cell r="C312" t="str">
            <v>10.0.40.205</v>
          </cell>
          <cell r="D312">
            <v>232560</v>
          </cell>
        </row>
        <row r="313">
          <cell r="C313" t="str">
            <v>10.0.15.43</v>
          </cell>
          <cell r="D313">
            <v>279244</v>
          </cell>
        </row>
        <row r="314">
          <cell r="C314" t="str">
            <v>10.10.153.202</v>
          </cell>
          <cell r="D314">
            <v>192932</v>
          </cell>
        </row>
        <row r="315">
          <cell r="C315" t="str">
            <v>10.0.20.97</v>
          </cell>
          <cell r="D315">
            <v>125488</v>
          </cell>
        </row>
        <row r="316">
          <cell r="C316" t="str">
            <v>10.10.9.201</v>
          </cell>
          <cell r="D316">
            <v>448230</v>
          </cell>
        </row>
        <row r="317">
          <cell r="C317" t="str">
            <v>10.11.96.200</v>
          </cell>
          <cell r="D317">
            <v>42296</v>
          </cell>
        </row>
        <row r="318">
          <cell r="C318" t="str">
            <v>10.11.40.201</v>
          </cell>
          <cell r="D318">
            <v>56174</v>
          </cell>
        </row>
        <row r="319">
          <cell r="C319" t="str">
            <v>10.14.94.201</v>
          </cell>
          <cell r="D319">
            <v>190533</v>
          </cell>
        </row>
        <row r="320">
          <cell r="C320" t="str">
            <v>10.10.68.201</v>
          </cell>
          <cell r="D320">
            <v>401219</v>
          </cell>
        </row>
        <row r="321">
          <cell r="C321" t="str">
            <v>10.11.29.203</v>
          </cell>
          <cell r="D321">
            <v>342251</v>
          </cell>
        </row>
        <row r="322">
          <cell r="C322" t="str">
            <v>10.10.160.203</v>
          </cell>
          <cell r="D322">
            <v>495597</v>
          </cell>
        </row>
        <row r="323">
          <cell r="C323" t="str">
            <v>10.10.40.200</v>
          </cell>
          <cell r="D323">
            <v>271878</v>
          </cell>
        </row>
        <row r="324">
          <cell r="C324" t="str">
            <v>10.10.211.209</v>
          </cell>
          <cell r="D324">
            <v>277590</v>
          </cell>
        </row>
        <row r="325">
          <cell r="C325" t="str">
            <v>10.0.14.21</v>
          </cell>
          <cell r="D325">
            <v>21604</v>
          </cell>
        </row>
        <row r="326">
          <cell r="C326" t="str">
            <v>10.10.147.200</v>
          </cell>
          <cell r="D326">
            <v>528359</v>
          </cell>
        </row>
        <row r="327">
          <cell r="C327" t="str">
            <v>10.11.45.200</v>
          </cell>
          <cell r="D327">
            <v>415540</v>
          </cell>
        </row>
        <row r="328">
          <cell r="C328" t="str">
            <v>10.0.29.40</v>
          </cell>
          <cell r="D328">
            <v>29837</v>
          </cell>
        </row>
        <row r="329">
          <cell r="C329" t="str">
            <v>10.10.11.201</v>
          </cell>
          <cell r="D329">
            <v>208364</v>
          </cell>
        </row>
        <row r="330">
          <cell r="C330" t="str">
            <v>10.10.75.200</v>
          </cell>
          <cell r="D330">
            <v>103410</v>
          </cell>
        </row>
        <row r="331">
          <cell r="C331" t="str">
            <v>10.0.9.203</v>
          </cell>
          <cell r="D331">
            <v>451442</v>
          </cell>
        </row>
        <row r="332">
          <cell r="C332" t="str">
            <v>10.10.253.203</v>
          </cell>
          <cell r="D332">
            <v>99325</v>
          </cell>
        </row>
        <row r="333">
          <cell r="C333" t="str">
            <v>10.11.1.203</v>
          </cell>
          <cell r="D333">
            <v>194608</v>
          </cell>
        </row>
        <row r="334">
          <cell r="C334" t="str">
            <v>10.14.87.201</v>
          </cell>
          <cell r="D334">
            <v>683698</v>
          </cell>
        </row>
        <row r="335">
          <cell r="C335" t="str">
            <v>10.10.48.200</v>
          </cell>
          <cell r="D335">
            <v>165425</v>
          </cell>
        </row>
        <row r="336">
          <cell r="C336" t="str">
            <v>10.10.80.201</v>
          </cell>
          <cell r="D336">
            <v>447184</v>
          </cell>
        </row>
        <row r="337">
          <cell r="C337" t="str">
            <v>10.14.93.201</v>
          </cell>
          <cell r="D337">
            <v>137389</v>
          </cell>
        </row>
        <row r="338">
          <cell r="C338" t="str">
            <v>10.0.111.110</v>
          </cell>
          <cell r="D338">
            <v>157281</v>
          </cell>
        </row>
        <row r="339">
          <cell r="C339" t="str">
            <v>10.10.52.201</v>
          </cell>
          <cell r="D339">
            <v>404277</v>
          </cell>
        </row>
        <row r="340">
          <cell r="C340" t="str">
            <v>10.10.65.201</v>
          </cell>
          <cell r="D340">
            <v>124081</v>
          </cell>
        </row>
        <row r="341">
          <cell r="C341" t="str">
            <v>10.10.189.201</v>
          </cell>
          <cell r="D341">
            <v>315753</v>
          </cell>
        </row>
        <row r="342">
          <cell r="C342" t="str">
            <v>10.0.26.204</v>
          </cell>
          <cell r="D342">
            <v>503565</v>
          </cell>
        </row>
        <row r="343">
          <cell r="C343" t="str">
            <v>10.0.28.205</v>
          </cell>
          <cell r="D343">
            <v>622512</v>
          </cell>
        </row>
        <row r="344">
          <cell r="C344" t="str">
            <v>10.11.98.200</v>
          </cell>
          <cell r="D344">
            <v>280355</v>
          </cell>
        </row>
        <row r="345">
          <cell r="C345" t="str">
            <v>10.10.100.110</v>
          </cell>
          <cell r="D345">
            <v>147201</v>
          </cell>
        </row>
        <row r="346">
          <cell r="C346" t="str">
            <v>10.10.253.201</v>
          </cell>
          <cell r="D346">
            <v>282972</v>
          </cell>
        </row>
        <row r="347">
          <cell r="C347" t="str">
            <v>10.14.90.200</v>
          </cell>
          <cell r="D347">
            <v>532925</v>
          </cell>
        </row>
        <row r="348">
          <cell r="C348" t="str">
            <v>10.11.37.200</v>
          </cell>
          <cell r="D348">
            <v>18586</v>
          </cell>
        </row>
        <row r="349">
          <cell r="C349" t="str">
            <v>10.10.211.200</v>
          </cell>
          <cell r="D349">
            <v>398791</v>
          </cell>
        </row>
        <row r="350">
          <cell r="C350" t="str">
            <v>10.10.84.202</v>
          </cell>
          <cell r="D350">
            <v>125898</v>
          </cell>
        </row>
        <row r="351">
          <cell r="C351" t="str">
            <v>10.10.141.207</v>
          </cell>
          <cell r="D351">
            <v>79304</v>
          </cell>
        </row>
        <row r="352">
          <cell r="C352" t="str">
            <v>10.14.93.203</v>
          </cell>
          <cell r="D352">
            <v>419300</v>
          </cell>
        </row>
        <row r="353">
          <cell r="C353" t="str">
            <v>10.10.161.200</v>
          </cell>
          <cell r="D353">
            <v>176228</v>
          </cell>
        </row>
        <row r="354">
          <cell r="C354" t="str">
            <v>10.10.56.200</v>
          </cell>
          <cell r="D354">
            <v>96519</v>
          </cell>
        </row>
        <row r="355">
          <cell r="C355" t="str">
            <v>10.0.114.209</v>
          </cell>
          <cell r="D355">
            <v>70635</v>
          </cell>
        </row>
        <row r="356">
          <cell r="C356" t="str">
            <v>10.14.12.200</v>
          </cell>
          <cell r="D356">
            <v>496700</v>
          </cell>
        </row>
        <row r="357">
          <cell r="C357" t="str">
            <v>10.14.58.200</v>
          </cell>
          <cell r="D357">
            <v>130424</v>
          </cell>
        </row>
        <row r="358">
          <cell r="C358" t="str">
            <v>10.14.3.201</v>
          </cell>
          <cell r="D358">
            <v>291136</v>
          </cell>
        </row>
        <row r="359">
          <cell r="C359" t="str">
            <v>10.0.17.202</v>
          </cell>
          <cell r="D359">
            <v>830634</v>
          </cell>
        </row>
        <row r="360">
          <cell r="C360" t="str">
            <v>10.10.162.200</v>
          </cell>
          <cell r="D360">
            <v>438864</v>
          </cell>
        </row>
        <row r="361">
          <cell r="C361" t="str">
            <v>10.10.110.200</v>
          </cell>
          <cell r="D361">
            <v>73456</v>
          </cell>
        </row>
        <row r="362">
          <cell r="C362" t="str">
            <v>10.10.72.200</v>
          </cell>
          <cell r="D362">
            <v>148176</v>
          </cell>
        </row>
        <row r="363">
          <cell r="C363" t="str">
            <v>10.11.22.201</v>
          </cell>
          <cell r="D363">
            <v>664516</v>
          </cell>
        </row>
        <row r="364">
          <cell r="C364" t="str">
            <v>10.10.4.200</v>
          </cell>
          <cell r="D364">
            <v>339241</v>
          </cell>
        </row>
        <row r="365">
          <cell r="C365" t="str">
            <v>10.10.42.203</v>
          </cell>
          <cell r="D365">
            <v>503136</v>
          </cell>
        </row>
        <row r="366">
          <cell r="C366" t="str">
            <v>10.11.97.200</v>
          </cell>
          <cell r="D366">
            <v>238330</v>
          </cell>
        </row>
        <row r="367">
          <cell r="C367" t="str">
            <v>10.10.55.200</v>
          </cell>
          <cell r="D367">
            <v>77105</v>
          </cell>
        </row>
        <row r="368">
          <cell r="C368" t="str">
            <v>10.14.87.200</v>
          </cell>
          <cell r="D368">
            <v>104176</v>
          </cell>
        </row>
        <row r="369">
          <cell r="C369" t="str">
            <v>10.0.24.93</v>
          </cell>
          <cell r="D369">
            <v>102793</v>
          </cell>
        </row>
        <row r="370">
          <cell r="C370" t="str">
            <v>10.14.21.200</v>
          </cell>
          <cell r="D370">
            <v>412590</v>
          </cell>
        </row>
        <row r="371">
          <cell r="C371" t="str">
            <v>10.0.18.200</v>
          </cell>
          <cell r="D371">
            <v>323317</v>
          </cell>
        </row>
        <row r="372">
          <cell r="C372" t="str">
            <v>10.10.222.200</v>
          </cell>
          <cell r="D372">
            <v>147185</v>
          </cell>
        </row>
        <row r="373">
          <cell r="C373" t="str">
            <v>10.10.146.200</v>
          </cell>
          <cell r="D373">
            <v>400869</v>
          </cell>
        </row>
        <row r="374">
          <cell r="C374" t="str">
            <v>10.10.34.201</v>
          </cell>
          <cell r="D374">
            <v>335082</v>
          </cell>
        </row>
        <row r="375">
          <cell r="C375" t="str">
            <v>10.14.19.201</v>
          </cell>
          <cell r="D375">
            <v>296867</v>
          </cell>
        </row>
        <row r="376">
          <cell r="C376" t="str">
            <v>10.0.8.200</v>
          </cell>
          <cell r="D376">
            <v>658911</v>
          </cell>
        </row>
        <row r="377">
          <cell r="C377" t="str">
            <v>10.10.147.201</v>
          </cell>
          <cell r="D377">
            <v>116206</v>
          </cell>
        </row>
        <row r="378">
          <cell r="C378" t="str">
            <v>10.10.158.200</v>
          </cell>
          <cell r="D378">
            <v>460425</v>
          </cell>
        </row>
        <row r="379">
          <cell r="C379" t="str">
            <v>10.11.17.208</v>
          </cell>
          <cell r="D379">
            <v>405246</v>
          </cell>
        </row>
        <row r="380">
          <cell r="C380" t="str">
            <v>10.0.25.65</v>
          </cell>
          <cell r="D380">
            <v>22956</v>
          </cell>
        </row>
        <row r="381">
          <cell r="C381" t="str">
            <v>10.10.159.200</v>
          </cell>
          <cell r="D381">
            <v>315252</v>
          </cell>
        </row>
        <row r="382">
          <cell r="C382" t="str">
            <v>10.10.170.202</v>
          </cell>
          <cell r="D382">
            <v>125667</v>
          </cell>
        </row>
        <row r="383">
          <cell r="C383" t="str">
            <v>10.0.26.200</v>
          </cell>
          <cell r="D383">
            <v>289946</v>
          </cell>
        </row>
        <row r="384">
          <cell r="C384" t="str">
            <v>10.0.21.15</v>
          </cell>
          <cell r="D384">
            <v>39672</v>
          </cell>
        </row>
        <row r="385">
          <cell r="C385" t="str">
            <v>10.14.12.201</v>
          </cell>
          <cell r="D385">
            <v>76992</v>
          </cell>
        </row>
        <row r="386">
          <cell r="C386" t="str">
            <v>10.10.12.200</v>
          </cell>
          <cell r="D386">
            <v>325744</v>
          </cell>
        </row>
        <row r="387">
          <cell r="C387" t="str">
            <v>10.0.19.2</v>
          </cell>
          <cell r="D387">
            <v>356741</v>
          </cell>
        </row>
        <row r="388">
          <cell r="C388" t="str">
            <v>10.11.19.201</v>
          </cell>
          <cell r="D388">
            <v>94832</v>
          </cell>
        </row>
        <row r="389">
          <cell r="C389" t="str">
            <v>10.0.18.202</v>
          </cell>
          <cell r="D389">
            <v>1371271</v>
          </cell>
        </row>
        <row r="390">
          <cell r="C390" t="str">
            <v>10.10.206.210</v>
          </cell>
          <cell r="D390">
            <v>150396</v>
          </cell>
        </row>
        <row r="391">
          <cell r="C391" t="str">
            <v>10.10.23.201</v>
          </cell>
          <cell r="D391">
            <v>517145</v>
          </cell>
        </row>
        <row r="392">
          <cell r="C392" t="str">
            <v>10.10.34.200</v>
          </cell>
          <cell r="D392">
            <v>542624</v>
          </cell>
        </row>
        <row r="393">
          <cell r="C393" t="str">
            <v>10.0.40.201</v>
          </cell>
          <cell r="D393">
            <v>446092</v>
          </cell>
        </row>
        <row r="394">
          <cell r="C394" t="str">
            <v>10.10.33.201</v>
          </cell>
          <cell r="D394">
            <v>81426</v>
          </cell>
        </row>
        <row r="395">
          <cell r="C395" t="str">
            <v>10.14.9.200</v>
          </cell>
          <cell r="D395">
            <v>320812</v>
          </cell>
        </row>
        <row r="396">
          <cell r="C396" t="str">
            <v>10.10.168.203</v>
          </cell>
          <cell r="D396">
            <v>135943</v>
          </cell>
        </row>
        <row r="397">
          <cell r="C397" t="str">
            <v>10.10.144.203</v>
          </cell>
          <cell r="D397">
            <v>143398</v>
          </cell>
        </row>
        <row r="398">
          <cell r="C398" t="str">
            <v>10.10.25.200</v>
          </cell>
          <cell r="D398">
            <v>245732</v>
          </cell>
        </row>
        <row r="399">
          <cell r="C399" t="str">
            <v>10.10.81.200</v>
          </cell>
          <cell r="D399">
            <v>681091</v>
          </cell>
        </row>
        <row r="400">
          <cell r="C400" t="str">
            <v>10.10.251.201</v>
          </cell>
          <cell r="D400">
            <v>743068</v>
          </cell>
        </row>
        <row r="401">
          <cell r="C401" t="str">
            <v>10.10.93.202</v>
          </cell>
          <cell r="D401">
            <v>267860</v>
          </cell>
        </row>
        <row r="402">
          <cell r="C402" t="str">
            <v>10.14.5.201</v>
          </cell>
          <cell r="D402">
            <v>343918</v>
          </cell>
        </row>
        <row r="403">
          <cell r="C403" t="str">
            <v>10.10.145.200</v>
          </cell>
          <cell r="D403">
            <v>497108</v>
          </cell>
        </row>
        <row r="404">
          <cell r="C404" t="str">
            <v>10.10.3.201</v>
          </cell>
          <cell r="D404">
            <v>360206</v>
          </cell>
        </row>
        <row r="405">
          <cell r="C405" t="str">
            <v>10.14.8.202</v>
          </cell>
          <cell r="D405">
            <v>317361</v>
          </cell>
        </row>
        <row r="406">
          <cell r="C406" t="str">
            <v>10.10.77.10</v>
          </cell>
          <cell r="D406">
            <v>446882</v>
          </cell>
        </row>
        <row r="407">
          <cell r="C407" t="str">
            <v>10.0.13.82</v>
          </cell>
          <cell r="D407">
            <v>59071</v>
          </cell>
        </row>
        <row r="408">
          <cell r="C408" t="str">
            <v>10.10.180.203</v>
          </cell>
          <cell r="D408">
            <v>450730</v>
          </cell>
        </row>
        <row r="409">
          <cell r="C409" t="str">
            <v>10.11.26.201</v>
          </cell>
          <cell r="D409">
            <v>37116</v>
          </cell>
        </row>
        <row r="410">
          <cell r="C410" t="str">
            <v>10.10.88.201</v>
          </cell>
          <cell r="D410">
            <v>265900</v>
          </cell>
        </row>
        <row r="411">
          <cell r="C411" t="str">
            <v>10.10.78.201</v>
          </cell>
          <cell r="D411">
            <v>108569</v>
          </cell>
        </row>
        <row r="412">
          <cell r="C412" t="str">
            <v>10.10.108.203</v>
          </cell>
          <cell r="D412">
            <v>598432</v>
          </cell>
        </row>
        <row r="413">
          <cell r="C413" t="str">
            <v>10.11.1.202</v>
          </cell>
          <cell r="D413">
            <v>352894</v>
          </cell>
        </row>
        <row r="414">
          <cell r="C414" t="str">
            <v>10.0.30.200</v>
          </cell>
          <cell r="D414">
            <v>562426</v>
          </cell>
        </row>
        <row r="415">
          <cell r="C415" t="str">
            <v>10.10.197.203</v>
          </cell>
          <cell r="D415">
            <v>364879</v>
          </cell>
        </row>
        <row r="416">
          <cell r="C416" t="str">
            <v>10.10.13.200</v>
          </cell>
          <cell r="D416">
            <v>38043</v>
          </cell>
        </row>
        <row r="417">
          <cell r="C417" t="str">
            <v>10.10.100.208</v>
          </cell>
          <cell r="D417">
            <v>307855</v>
          </cell>
        </row>
        <row r="418">
          <cell r="C418" t="str">
            <v>10.10.24.200</v>
          </cell>
          <cell r="D418">
            <v>97828</v>
          </cell>
        </row>
        <row r="419">
          <cell r="C419" t="str">
            <v>10.11.12.200</v>
          </cell>
          <cell r="D419">
            <v>437036</v>
          </cell>
        </row>
        <row r="420">
          <cell r="C420" t="str">
            <v>10.14.93.204</v>
          </cell>
          <cell r="D420">
            <v>339063</v>
          </cell>
        </row>
        <row r="421">
          <cell r="C421" t="str">
            <v>10.10.81.201</v>
          </cell>
          <cell r="D421">
            <v>84590</v>
          </cell>
        </row>
        <row r="422">
          <cell r="C422" t="str">
            <v>10.14.86.201</v>
          </cell>
          <cell r="D422">
            <v>307593</v>
          </cell>
        </row>
        <row r="423">
          <cell r="C423" t="str">
            <v>10.0.36.21</v>
          </cell>
          <cell r="D423">
            <v>910616</v>
          </cell>
        </row>
        <row r="424">
          <cell r="C424" t="str">
            <v>10.14.19.200</v>
          </cell>
          <cell r="D424">
            <v>462230</v>
          </cell>
        </row>
        <row r="425">
          <cell r="C425" t="str">
            <v>10.10.120.200</v>
          </cell>
          <cell r="D425">
            <v>213726</v>
          </cell>
        </row>
        <row r="426">
          <cell r="C426" t="str">
            <v>10.14.85.202</v>
          </cell>
          <cell r="D426">
            <v>94657</v>
          </cell>
        </row>
        <row r="427">
          <cell r="C427" t="str">
            <v>10.10.25.201</v>
          </cell>
          <cell r="D427">
            <v>328363</v>
          </cell>
        </row>
        <row r="428">
          <cell r="C428" t="str">
            <v>10.0.25.233</v>
          </cell>
          <cell r="D428">
            <v>540722</v>
          </cell>
        </row>
        <row r="429">
          <cell r="C429" t="str">
            <v>10.11.31.201</v>
          </cell>
          <cell r="D429">
            <v>389647</v>
          </cell>
        </row>
        <row r="430">
          <cell r="C430" t="str">
            <v>10.10.127.203</v>
          </cell>
          <cell r="D430">
            <v>160394</v>
          </cell>
        </row>
        <row r="431">
          <cell r="C431" t="str">
            <v>10.10.112.200</v>
          </cell>
          <cell r="D431">
            <v>369964</v>
          </cell>
        </row>
        <row r="432">
          <cell r="C432" t="str">
            <v>10.10.181.201</v>
          </cell>
          <cell r="D432">
            <v>69822</v>
          </cell>
        </row>
        <row r="433">
          <cell r="C433" t="str">
            <v>10.14.16.201</v>
          </cell>
          <cell r="D433">
            <v>333460</v>
          </cell>
        </row>
        <row r="434">
          <cell r="C434" t="str">
            <v>10.11.71.202</v>
          </cell>
          <cell r="D434">
            <v>45793</v>
          </cell>
        </row>
        <row r="435">
          <cell r="C435" t="str">
            <v>10.0.7.203</v>
          </cell>
          <cell r="D435">
            <v>363043</v>
          </cell>
        </row>
        <row r="436">
          <cell r="C436" t="str">
            <v>10.10.253.202</v>
          </cell>
          <cell r="D436">
            <v>283122</v>
          </cell>
        </row>
        <row r="437">
          <cell r="C437" t="str">
            <v>10.14.86.202</v>
          </cell>
          <cell r="D437">
            <v>73595</v>
          </cell>
        </row>
        <row r="438">
          <cell r="C438" t="str">
            <v>10.11.67.226</v>
          </cell>
          <cell r="D438">
            <v>76092</v>
          </cell>
        </row>
        <row r="439">
          <cell r="C439" t="str">
            <v>10.11.23.200</v>
          </cell>
          <cell r="D439">
            <v>377336</v>
          </cell>
        </row>
        <row r="440">
          <cell r="C440" t="str">
            <v>10.10.97.200</v>
          </cell>
          <cell r="D440">
            <v>225317</v>
          </cell>
        </row>
        <row r="441">
          <cell r="C441" t="str">
            <v>10.0.19.17</v>
          </cell>
          <cell r="D441">
            <v>608006</v>
          </cell>
        </row>
        <row r="442">
          <cell r="C442" t="str">
            <v>10.10.76.200</v>
          </cell>
          <cell r="D442">
            <v>370312</v>
          </cell>
        </row>
        <row r="443">
          <cell r="C443" t="str">
            <v>10.10.63.201</v>
          </cell>
          <cell r="D443">
            <v>562333</v>
          </cell>
        </row>
        <row r="444">
          <cell r="C444" t="str">
            <v>10.11.73.203</v>
          </cell>
          <cell r="D444">
            <v>105823</v>
          </cell>
        </row>
        <row r="445">
          <cell r="C445" t="str">
            <v>10.14.13.200</v>
          </cell>
          <cell r="D445">
            <v>366748</v>
          </cell>
        </row>
        <row r="446">
          <cell r="C446" t="str">
            <v>10.10.150.201</v>
          </cell>
          <cell r="D446">
            <v>35323</v>
          </cell>
        </row>
        <row r="447">
          <cell r="C447" t="str">
            <v>10.11.23.203</v>
          </cell>
          <cell r="D447">
            <v>149686</v>
          </cell>
        </row>
        <row r="448">
          <cell r="C448" t="str">
            <v>10.10.108.200</v>
          </cell>
          <cell r="D448">
            <v>247309</v>
          </cell>
        </row>
        <row r="449">
          <cell r="C449" t="str">
            <v>10.11.72.202</v>
          </cell>
          <cell r="D449">
            <v>66678</v>
          </cell>
        </row>
        <row r="450">
          <cell r="C450" t="str">
            <v>10.11.19.200</v>
          </cell>
          <cell r="D450">
            <v>279681</v>
          </cell>
        </row>
        <row r="451">
          <cell r="C451" t="str">
            <v>10.10.211.212</v>
          </cell>
          <cell r="D451">
            <v>257871</v>
          </cell>
        </row>
        <row r="452">
          <cell r="C452" t="str">
            <v>10.10.169.200</v>
          </cell>
          <cell r="D452">
            <v>116599</v>
          </cell>
        </row>
        <row r="453">
          <cell r="C453" t="str">
            <v>10.10.154.200</v>
          </cell>
          <cell r="D453">
            <v>237202</v>
          </cell>
        </row>
        <row r="454">
          <cell r="C454" t="str">
            <v>10.10.171.10</v>
          </cell>
          <cell r="D454">
            <v>361727</v>
          </cell>
        </row>
        <row r="455">
          <cell r="C455" t="str">
            <v>10.10.209.201</v>
          </cell>
          <cell r="D455">
            <v>15532</v>
          </cell>
        </row>
        <row r="456">
          <cell r="C456" t="str">
            <v>10.0.18.201</v>
          </cell>
          <cell r="D456">
            <v>156644</v>
          </cell>
        </row>
        <row r="457">
          <cell r="C457" t="str">
            <v>10.0.19.8</v>
          </cell>
          <cell r="D457">
            <v>905360</v>
          </cell>
        </row>
        <row r="458">
          <cell r="C458" t="str">
            <v>10.10.167.200</v>
          </cell>
          <cell r="D458">
            <v>367668</v>
          </cell>
        </row>
        <row r="459">
          <cell r="C459" t="str">
            <v>10.10.240.200</v>
          </cell>
          <cell r="D459">
            <v>77763</v>
          </cell>
        </row>
        <row r="460">
          <cell r="C460" t="str">
            <v>10.11.15.201</v>
          </cell>
          <cell r="D460">
            <v>106132</v>
          </cell>
        </row>
        <row r="461">
          <cell r="C461" t="str">
            <v>10.10.166.200</v>
          </cell>
          <cell r="D461">
            <v>360673</v>
          </cell>
        </row>
        <row r="462">
          <cell r="C462" t="str">
            <v>10.14.44.201</v>
          </cell>
          <cell r="D462">
            <v>118845</v>
          </cell>
        </row>
        <row r="463">
          <cell r="C463" t="str">
            <v>10.11.5.202</v>
          </cell>
          <cell r="D463">
            <v>193563</v>
          </cell>
        </row>
        <row r="464">
          <cell r="C464" t="str">
            <v>10.11.100.200</v>
          </cell>
          <cell r="D464">
            <v>53762</v>
          </cell>
        </row>
        <row r="465">
          <cell r="C465" t="str">
            <v>10.14.19.202</v>
          </cell>
          <cell r="D465">
            <v>111748</v>
          </cell>
        </row>
        <row r="466">
          <cell r="C466" t="str">
            <v>10.14.47.202</v>
          </cell>
          <cell r="D466">
            <v>410524</v>
          </cell>
        </row>
        <row r="467">
          <cell r="C467" t="str">
            <v>10.10.240.201</v>
          </cell>
          <cell r="D467">
            <v>321880</v>
          </cell>
        </row>
        <row r="468">
          <cell r="C468" t="str">
            <v>10.11.67.225</v>
          </cell>
          <cell r="D468">
            <v>368422</v>
          </cell>
        </row>
        <row r="469">
          <cell r="C469" t="str">
            <v>10.14.80.200</v>
          </cell>
          <cell r="D469">
            <v>386141</v>
          </cell>
        </row>
        <row r="470">
          <cell r="C470" t="str">
            <v>10.10.233.200</v>
          </cell>
          <cell r="D470">
            <v>443147</v>
          </cell>
        </row>
        <row r="471">
          <cell r="C471" t="str">
            <v>10.11.3.202</v>
          </cell>
          <cell r="D471">
            <v>543521</v>
          </cell>
        </row>
        <row r="472">
          <cell r="C472" t="str">
            <v>10.10.85.202</v>
          </cell>
          <cell r="D472">
            <v>496667</v>
          </cell>
        </row>
        <row r="473">
          <cell r="C473" t="str">
            <v>10.10.135.201</v>
          </cell>
          <cell r="D473">
            <v>506570</v>
          </cell>
        </row>
        <row r="474">
          <cell r="C474" t="str">
            <v>10.0.13.203</v>
          </cell>
          <cell r="D474">
            <v>524589</v>
          </cell>
        </row>
        <row r="475">
          <cell r="C475" t="str">
            <v>10.10.6.202</v>
          </cell>
          <cell r="D475">
            <v>143241</v>
          </cell>
        </row>
        <row r="476">
          <cell r="C476" t="str">
            <v>10.14.18.200</v>
          </cell>
          <cell r="D476">
            <v>61543</v>
          </cell>
        </row>
        <row r="477">
          <cell r="C477" t="str">
            <v>10.0.8.201</v>
          </cell>
          <cell r="D477">
            <v>89073</v>
          </cell>
        </row>
        <row r="478">
          <cell r="C478" t="str">
            <v>10.10.50.200</v>
          </cell>
          <cell r="D478">
            <v>326145</v>
          </cell>
        </row>
        <row r="479">
          <cell r="C479" t="str">
            <v>10.11.45.201</v>
          </cell>
          <cell r="D479">
            <v>38208</v>
          </cell>
        </row>
        <row r="480">
          <cell r="C480" t="str">
            <v>10.10.71.202</v>
          </cell>
          <cell r="D480">
            <v>172028</v>
          </cell>
        </row>
        <row r="481">
          <cell r="C481" t="str">
            <v>10.0.15.43</v>
          </cell>
          <cell r="D481">
            <v>279244</v>
          </cell>
        </row>
        <row r="482">
          <cell r="C482" t="str">
            <v>10.10.8.200</v>
          </cell>
          <cell r="D482">
            <v>127351</v>
          </cell>
        </row>
        <row r="483">
          <cell r="C483" t="str">
            <v>10.11.36.200</v>
          </cell>
          <cell r="D483">
            <v>233851</v>
          </cell>
        </row>
        <row r="484">
          <cell r="C484" t="str">
            <v>10.10.11.200</v>
          </cell>
          <cell r="D484">
            <v>389472</v>
          </cell>
        </row>
        <row r="485">
          <cell r="C485" t="str">
            <v>10.0.13.200</v>
          </cell>
          <cell r="D485">
            <v>694068</v>
          </cell>
        </row>
        <row r="486">
          <cell r="C486" t="str">
            <v>10.10.220.201</v>
          </cell>
          <cell r="D486">
            <v>356737</v>
          </cell>
        </row>
        <row r="487">
          <cell r="C487" t="str">
            <v>10.14.81.201</v>
          </cell>
          <cell r="D487">
            <v>96459</v>
          </cell>
        </row>
        <row r="488">
          <cell r="C488" t="str">
            <v>10.11.35.200</v>
          </cell>
          <cell r="D488">
            <v>274429</v>
          </cell>
        </row>
        <row r="489">
          <cell r="C489" t="str">
            <v>10.10.227.204</v>
          </cell>
          <cell r="D489">
            <v>38188</v>
          </cell>
        </row>
        <row r="490">
          <cell r="C490" t="str">
            <v>10.10.91.201</v>
          </cell>
          <cell r="D490">
            <v>308254</v>
          </cell>
        </row>
        <row r="491">
          <cell r="C491" t="str">
            <v>10.0.40.200</v>
          </cell>
          <cell r="D491">
            <v>431786</v>
          </cell>
        </row>
        <row r="492">
          <cell r="C492" t="str">
            <v>10.10.206.200</v>
          </cell>
          <cell r="D492">
            <v>734139</v>
          </cell>
        </row>
        <row r="493">
          <cell r="C493" t="str">
            <v>10.10.158.201</v>
          </cell>
          <cell r="D493">
            <v>101572</v>
          </cell>
        </row>
        <row r="494">
          <cell r="C494" t="str">
            <v>10.10.130.204</v>
          </cell>
          <cell r="D494">
            <v>109315</v>
          </cell>
        </row>
        <row r="495">
          <cell r="C495" t="str">
            <v>10.10.206.203</v>
          </cell>
          <cell r="D495">
            <v>215527</v>
          </cell>
        </row>
        <row r="496">
          <cell r="C496" t="str">
            <v>10.11.83.200</v>
          </cell>
          <cell r="D496">
            <v>189935</v>
          </cell>
        </row>
        <row r="497">
          <cell r="C497" t="str">
            <v>10.10.91.202</v>
          </cell>
          <cell r="D497">
            <v>125591</v>
          </cell>
        </row>
        <row r="498">
          <cell r="C498" t="str">
            <v>10.0.26.203</v>
          </cell>
          <cell r="D498">
            <v>508948</v>
          </cell>
        </row>
        <row r="499">
          <cell r="C499" t="str">
            <v>10.14.68.201</v>
          </cell>
          <cell r="D499">
            <v>118057</v>
          </cell>
        </row>
        <row r="500">
          <cell r="C500" t="str">
            <v>10.10.186.201</v>
          </cell>
          <cell r="D500">
            <v>908859</v>
          </cell>
        </row>
        <row r="501">
          <cell r="C501" t="str">
            <v>10.11.24.201</v>
          </cell>
          <cell r="D501">
            <v>123602</v>
          </cell>
        </row>
        <row r="502">
          <cell r="C502" t="str">
            <v>10.0.111.110</v>
          </cell>
          <cell r="D502">
            <v>157281</v>
          </cell>
        </row>
        <row r="503">
          <cell r="C503" t="str">
            <v>10.10.211.201</v>
          </cell>
          <cell r="D503">
            <v>483121</v>
          </cell>
        </row>
        <row r="504">
          <cell r="C504" t="str">
            <v>10.14.80.201</v>
          </cell>
          <cell r="D504">
            <v>110583</v>
          </cell>
        </row>
        <row r="505">
          <cell r="C505" t="str">
            <v>10.14.47.201</v>
          </cell>
          <cell r="D505">
            <v>86980</v>
          </cell>
        </row>
        <row r="506">
          <cell r="C506" t="str">
            <v>10.11.29.202</v>
          </cell>
          <cell r="D506">
            <v>89065</v>
          </cell>
        </row>
        <row r="507">
          <cell r="C507" t="str">
            <v>10.10.95.200</v>
          </cell>
          <cell r="D507">
            <v>173311</v>
          </cell>
        </row>
        <row r="508">
          <cell r="C508" t="str">
            <v>10.10.129.201</v>
          </cell>
          <cell r="D508">
            <v>494856</v>
          </cell>
        </row>
        <row r="509">
          <cell r="C509" t="str">
            <v>10.14.51.200</v>
          </cell>
          <cell r="D509">
            <v>344327</v>
          </cell>
        </row>
        <row r="510">
          <cell r="C510" t="str">
            <v>10.60.6.202</v>
          </cell>
          <cell r="D510">
            <v>953</v>
          </cell>
        </row>
        <row r="511">
          <cell r="C511" t="str">
            <v>10.0.131.25</v>
          </cell>
          <cell r="D511">
            <v>167824</v>
          </cell>
        </row>
        <row r="512">
          <cell r="C512" t="str">
            <v>10.0.13.89</v>
          </cell>
          <cell r="D512">
            <v>168625</v>
          </cell>
        </row>
        <row r="513">
          <cell r="C513" t="str">
            <v>10.10.56.201</v>
          </cell>
          <cell r="D513">
            <v>234208</v>
          </cell>
        </row>
        <row r="514">
          <cell r="C514" t="str">
            <v>10.10.2.201</v>
          </cell>
          <cell r="D514">
            <v>345223</v>
          </cell>
        </row>
        <row r="515">
          <cell r="C515" t="str">
            <v>10.10.1.200</v>
          </cell>
          <cell r="D515">
            <v>50662</v>
          </cell>
        </row>
        <row r="516">
          <cell r="C516" t="str">
            <v>10.10.206.202</v>
          </cell>
          <cell r="D516">
            <v>96260</v>
          </cell>
        </row>
        <row r="517">
          <cell r="C517" t="str">
            <v>10.10.28.204</v>
          </cell>
          <cell r="D517">
            <v>121937</v>
          </cell>
        </row>
        <row r="518">
          <cell r="C518" t="str">
            <v>10.0.19.203</v>
          </cell>
          <cell r="D518">
            <v>775450</v>
          </cell>
        </row>
        <row r="519">
          <cell r="C519" t="str">
            <v>10.10.244.202</v>
          </cell>
          <cell r="D519">
            <v>310408</v>
          </cell>
        </row>
        <row r="520">
          <cell r="C520" t="str">
            <v>10.0.19.8</v>
          </cell>
          <cell r="D520">
            <v>905360</v>
          </cell>
        </row>
        <row r="521">
          <cell r="C521" t="str">
            <v>10.10.206.206</v>
          </cell>
          <cell r="D521">
            <v>84505</v>
          </cell>
        </row>
        <row r="522">
          <cell r="C522" t="str">
            <v>10.11.36.26</v>
          </cell>
          <cell r="D522">
            <v>20698</v>
          </cell>
        </row>
        <row r="523">
          <cell r="C523" t="str">
            <v>10.0.25.179</v>
          </cell>
          <cell r="D523">
            <v>26671</v>
          </cell>
        </row>
        <row r="524">
          <cell r="C524" t="str">
            <v>10.10.230.203</v>
          </cell>
          <cell r="D524">
            <v>520607</v>
          </cell>
        </row>
        <row r="525">
          <cell r="C525" t="str">
            <v>10.10.80.200</v>
          </cell>
          <cell r="D525">
            <v>585052</v>
          </cell>
        </row>
        <row r="526">
          <cell r="C526" t="str">
            <v>10.0.17.200</v>
          </cell>
          <cell r="D526">
            <v>205581</v>
          </cell>
        </row>
        <row r="527">
          <cell r="C527" t="str">
            <v>10.11.15.202</v>
          </cell>
          <cell r="D527">
            <v>484040</v>
          </cell>
        </row>
        <row r="528">
          <cell r="C528" t="str">
            <v>10.10.17.201</v>
          </cell>
          <cell r="D528">
            <v>392853</v>
          </cell>
        </row>
        <row r="529">
          <cell r="C529" t="str">
            <v>10.0.40.208</v>
          </cell>
          <cell r="D529">
            <v>118861</v>
          </cell>
        </row>
        <row r="530">
          <cell r="C530" t="str">
            <v>10.10.90.203</v>
          </cell>
          <cell r="D530">
            <v>125939</v>
          </cell>
        </row>
        <row r="531">
          <cell r="C531" t="str">
            <v>10.11.92.201</v>
          </cell>
          <cell r="D531">
            <v>362831</v>
          </cell>
        </row>
        <row r="532">
          <cell r="C532" t="str">
            <v>10.0.36.104</v>
          </cell>
          <cell r="D532">
            <v>5807</v>
          </cell>
        </row>
        <row r="533">
          <cell r="C533" t="str">
            <v>10.10.60.200</v>
          </cell>
          <cell r="D533">
            <v>112586</v>
          </cell>
        </row>
        <row r="534">
          <cell r="C534" t="str">
            <v>10.11.7.201</v>
          </cell>
          <cell r="D534">
            <v>24863</v>
          </cell>
        </row>
        <row r="535">
          <cell r="C535" t="str">
            <v>10.10.42.203</v>
          </cell>
          <cell r="D535">
            <v>503136</v>
          </cell>
        </row>
        <row r="536">
          <cell r="C536" t="str">
            <v>10.10.252.201</v>
          </cell>
          <cell r="D536">
            <v>590744</v>
          </cell>
        </row>
        <row r="537">
          <cell r="C537" t="str">
            <v>10.0.33.28</v>
          </cell>
          <cell r="D537">
            <v>31713</v>
          </cell>
        </row>
        <row r="538">
          <cell r="C538" t="str">
            <v>10.0.19.8</v>
          </cell>
          <cell r="D538">
            <v>905360</v>
          </cell>
        </row>
        <row r="539">
          <cell r="C539" t="str">
            <v>10.10.230.202</v>
          </cell>
          <cell r="D539">
            <v>591114</v>
          </cell>
        </row>
        <row r="540">
          <cell r="C540" t="str">
            <v>10.0.32.203</v>
          </cell>
          <cell r="D540">
            <v>789489</v>
          </cell>
        </row>
        <row r="541">
          <cell r="C541" t="str">
            <v>10.10.155.200</v>
          </cell>
          <cell r="D541">
            <v>135355</v>
          </cell>
        </row>
        <row r="542">
          <cell r="C542" t="str">
            <v>10.0.8.201</v>
          </cell>
          <cell r="D542">
            <v>89073</v>
          </cell>
        </row>
        <row r="543">
          <cell r="C543" t="str">
            <v>10.10.161.203</v>
          </cell>
          <cell r="D543">
            <v>186279</v>
          </cell>
        </row>
        <row r="544">
          <cell r="C544" t="str">
            <v>10.0.15.43</v>
          </cell>
          <cell r="D544">
            <v>279244</v>
          </cell>
        </row>
        <row r="545">
          <cell r="C545" t="str">
            <v>10.0.33.6</v>
          </cell>
          <cell r="D545">
            <v>19648</v>
          </cell>
        </row>
        <row r="546">
          <cell r="C546" t="str">
            <v>10.0.36.15</v>
          </cell>
          <cell r="D546">
            <v>9881</v>
          </cell>
        </row>
        <row r="547">
          <cell r="C547" t="str">
            <v>10.0.33.45</v>
          </cell>
          <cell r="D547">
            <v>1265</v>
          </cell>
        </row>
        <row r="548">
          <cell r="C548" t="str">
            <v>10.14.7.201</v>
          </cell>
          <cell r="D548">
            <v>693338</v>
          </cell>
        </row>
        <row r="549">
          <cell r="C549" t="str">
            <v>10.10.171.205</v>
          </cell>
          <cell r="D549">
            <v>96370</v>
          </cell>
        </row>
        <row r="550">
          <cell r="C550" t="str">
            <v>10.11.8.210</v>
          </cell>
          <cell r="D550">
            <v>533110</v>
          </cell>
        </row>
        <row r="551">
          <cell r="C551" t="str">
            <v>10.10.88.201</v>
          </cell>
          <cell r="D551">
            <v>265900</v>
          </cell>
        </row>
        <row r="552">
          <cell r="C552" t="str">
            <v>10.60.6.204</v>
          </cell>
          <cell r="D552">
            <v>100214</v>
          </cell>
        </row>
        <row r="553">
          <cell r="C553" t="str">
            <v>10.10.39.200</v>
          </cell>
          <cell r="D553">
            <v>329986</v>
          </cell>
        </row>
        <row r="554">
          <cell r="C554" t="str">
            <v>10.60.6.203</v>
          </cell>
          <cell r="D554">
            <v>442462</v>
          </cell>
        </row>
        <row r="555">
          <cell r="C555" t="str">
            <v>10.11.8.207</v>
          </cell>
          <cell r="D555">
            <v>7948</v>
          </cell>
        </row>
        <row r="556">
          <cell r="C556" t="str">
            <v>10.0.14.201</v>
          </cell>
          <cell r="D556">
            <v>6525</v>
          </cell>
        </row>
        <row r="557">
          <cell r="C557" t="str">
            <v>10.10.244.205</v>
          </cell>
          <cell r="D557">
            <v>647697</v>
          </cell>
        </row>
        <row r="558">
          <cell r="C558" t="str">
            <v>10.0.36.45</v>
          </cell>
          <cell r="D558">
            <v>13375</v>
          </cell>
        </row>
        <row r="559">
          <cell r="C559" t="str">
            <v>10.60.6.201</v>
          </cell>
          <cell r="D559">
            <v>12310</v>
          </cell>
        </row>
        <row r="560">
          <cell r="C560" t="str">
            <v>10.0.131.200</v>
          </cell>
          <cell r="D560">
            <v>231035</v>
          </cell>
        </row>
        <row r="561">
          <cell r="C561" t="str">
            <v>10.0.21.100</v>
          </cell>
          <cell r="D561">
            <v>3291</v>
          </cell>
        </row>
        <row r="562">
          <cell r="C562" t="str">
            <v>10.0.25.65</v>
          </cell>
          <cell r="D562">
            <v>22956</v>
          </cell>
        </row>
        <row r="563">
          <cell r="C563" t="str">
            <v>10.0.40.230</v>
          </cell>
          <cell r="D563">
            <v>15227</v>
          </cell>
        </row>
        <row r="564">
          <cell r="C564" t="str">
            <v>10.10.164.200</v>
          </cell>
          <cell r="D564">
            <v>187438</v>
          </cell>
        </row>
        <row r="565">
          <cell r="C565" t="str">
            <v>10.10.77.201</v>
          </cell>
          <cell r="D565">
            <v>93715</v>
          </cell>
        </row>
        <row r="566">
          <cell r="C566" t="str">
            <v>10.10.144.204</v>
          </cell>
          <cell r="D566">
            <v>177815</v>
          </cell>
        </row>
        <row r="567">
          <cell r="C567" t="str">
            <v>10.10.52.202</v>
          </cell>
          <cell r="D567">
            <v>107164</v>
          </cell>
        </row>
        <row r="568">
          <cell r="C568" t="str">
            <v>10.11.23.201</v>
          </cell>
          <cell r="D568">
            <v>185339</v>
          </cell>
        </row>
        <row r="569">
          <cell r="C569" t="str">
            <v>10.0.8.121</v>
          </cell>
          <cell r="D569">
            <v>116709</v>
          </cell>
        </row>
        <row r="570">
          <cell r="C570" t="str">
            <v>10.10.161.212</v>
          </cell>
          <cell r="D570">
            <v>179995</v>
          </cell>
        </row>
        <row r="571">
          <cell r="C571" t="str">
            <v>10.10.159.201</v>
          </cell>
          <cell r="D571">
            <v>59296</v>
          </cell>
        </row>
        <row r="572">
          <cell r="C572" t="str">
            <v>10.10.211.215</v>
          </cell>
          <cell r="D572">
            <v>148749</v>
          </cell>
        </row>
        <row r="573">
          <cell r="C573" t="str">
            <v>10.0.31.200</v>
          </cell>
          <cell r="D573">
            <v>425803</v>
          </cell>
        </row>
        <row r="574">
          <cell r="C574" t="str">
            <v>10.11.9.203</v>
          </cell>
          <cell r="D574">
            <v>535273</v>
          </cell>
        </row>
        <row r="575">
          <cell r="C575" t="str">
            <v>10.0.25.205</v>
          </cell>
          <cell r="D575">
            <v>44002</v>
          </cell>
        </row>
        <row r="576">
          <cell r="C576" t="str">
            <v>10.11.41.203</v>
          </cell>
          <cell r="D576">
            <v>61579</v>
          </cell>
        </row>
        <row r="577">
          <cell r="C577" t="str">
            <v>10.0.20.230</v>
          </cell>
          <cell r="D577">
            <v>74804</v>
          </cell>
        </row>
        <row r="578">
          <cell r="C578" t="str">
            <v>10.0.6.61</v>
          </cell>
          <cell r="D578">
            <v>242471</v>
          </cell>
        </row>
        <row r="579">
          <cell r="C579" t="str">
            <v>10.10.197.200</v>
          </cell>
          <cell r="D579">
            <v>272066</v>
          </cell>
        </row>
        <row r="580">
          <cell r="C580" t="str">
            <v>10.10.83.201</v>
          </cell>
          <cell r="D580">
            <v>341728</v>
          </cell>
        </row>
        <row r="581">
          <cell r="C581" t="str">
            <v>10.10.164.201</v>
          </cell>
          <cell r="D581">
            <v>107652</v>
          </cell>
        </row>
        <row r="582">
          <cell r="C582" t="str">
            <v>10.10.110.200</v>
          </cell>
          <cell r="D582">
            <v>73456</v>
          </cell>
        </row>
        <row r="583">
          <cell r="C583" t="str">
            <v>10.0.8.30</v>
          </cell>
          <cell r="D583">
            <v>140281</v>
          </cell>
        </row>
        <row r="584">
          <cell r="C584" t="str">
            <v>10.0.8.83</v>
          </cell>
          <cell r="D584">
            <v>91497</v>
          </cell>
        </row>
        <row r="585">
          <cell r="C585" t="str">
            <v>10.0.40.231</v>
          </cell>
          <cell r="D585">
            <v>51887</v>
          </cell>
        </row>
        <row r="586">
          <cell r="C586" t="str">
            <v>10.14.11.200</v>
          </cell>
          <cell r="D586">
            <v>381610</v>
          </cell>
        </row>
        <row r="587">
          <cell r="C587" t="str">
            <v>10.0.33.44</v>
          </cell>
          <cell r="D587">
            <v>15827</v>
          </cell>
        </row>
        <row r="588">
          <cell r="C588" t="str">
            <v>10.10.144.204</v>
          </cell>
          <cell r="D588">
            <v>177815</v>
          </cell>
        </row>
        <row r="589">
          <cell r="C589" t="str">
            <v>10.10.206.204</v>
          </cell>
          <cell r="D589">
            <v>265126</v>
          </cell>
        </row>
        <row r="590">
          <cell r="C590" t="str">
            <v>10.0.33.39</v>
          </cell>
          <cell r="D590">
            <v>4878</v>
          </cell>
        </row>
        <row r="591">
          <cell r="C591" t="str">
            <v>10.10.10.201</v>
          </cell>
          <cell r="D591">
            <v>68992</v>
          </cell>
        </row>
        <row r="592">
          <cell r="C592" t="str">
            <v>10.11.30.204</v>
          </cell>
          <cell r="D592">
            <v>508417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329"/>
  <sheetViews>
    <sheetView tabSelected="1" zoomScale="85" zoomScaleNormal="85" zoomScaleSheetLayoutView="106" workbookViewId="0">
      <pane ySplit="1" topLeftCell="A281" activePane="bottomLeft" state="frozen"/>
      <selection pane="bottomLeft" activeCell="T3" sqref="T3:T326"/>
    </sheetView>
  </sheetViews>
  <sheetFormatPr baseColWidth="10" defaultColWidth="11.42578125" defaultRowHeight="13.5" customHeight="1" x14ac:dyDescent="0.25"/>
  <cols>
    <col min="1" max="1" width="15.42578125" style="9" customWidth="1"/>
    <col min="2" max="2" width="23.5703125" style="9" customWidth="1"/>
    <col min="3" max="3" width="9.85546875" style="9" customWidth="1"/>
    <col min="4" max="4" width="14.140625" style="9" customWidth="1"/>
    <col min="5" max="5" width="14.5703125" style="9" customWidth="1"/>
    <col min="6" max="6" width="11.42578125" style="9" customWidth="1"/>
    <col min="7" max="7" width="14" style="9" customWidth="1"/>
    <col min="8" max="8" width="16.85546875" style="3" customWidth="1"/>
    <col min="9" max="10" width="12.140625" style="3" customWidth="1"/>
    <col min="11" max="12" width="13.5703125" style="3" customWidth="1"/>
    <col min="13" max="14" width="13" style="3" customWidth="1"/>
    <col min="15" max="20" width="12.42578125" style="3" customWidth="1"/>
    <col min="21" max="22" width="16.28515625" style="9" customWidth="1"/>
    <col min="23" max="23" width="16.28515625" style="106" customWidth="1"/>
    <col min="24" max="16384" width="11.42578125" style="6"/>
  </cols>
  <sheetData>
    <row r="1" spans="1:23" s="4" customFormat="1" ht="48.75" customHeight="1" x14ac:dyDescent="0.25">
      <c r="A1" s="98" t="s">
        <v>404</v>
      </c>
      <c r="B1" s="98" t="s">
        <v>405</v>
      </c>
      <c r="C1" s="98" t="s">
        <v>406</v>
      </c>
      <c r="D1" s="98" t="s">
        <v>407</v>
      </c>
      <c r="E1" s="98" t="s">
        <v>408</v>
      </c>
      <c r="F1" s="98" t="s">
        <v>409</v>
      </c>
      <c r="G1" s="98" t="s">
        <v>0</v>
      </c>
      <c r="H1" s="52" t="s">
        <v>2501</v>
      </c>
      <c r="I1" s="87" t="s">
        <v>2154</v>
      </c>
      <c r="J1" s="87" t="s">
        <v>2504</v>
      </c>
      <c r="K1" s="88" t="s">
        <v>2155</v>
      </c>
      <c r="L1" s="88" t="s">
        <v>2156</v>
      </c>
      <c r="M1" s="87" t="s">
        <v>2157</v>
      </c>
      <c r="N1" s="87" t="s">
        <v>2158</v>
      </c>
      <c r="O1" s="88" t="s">
        <v>2159</v>
      </c>
      <c r="P1" s="88" t="s">
        <v>2160</v>
      </c>
      <c r="Q1" s="87" t="s">
        <v>2161</v>
      </c>
      <c r="R1" s="87" t="s">
        <v>2162</v>
      </c>
      <c r="S1" s="99" t="s">
        <v>395</v>
      </c>
      <c r="T1" s="99" t="s">
        <v>2163</v>
      </c>
      <c r="U1" s="100" t="s">
        <v>379</v>
      </c>
      <c r="V1" s="101" t="s">
        <v>2223</v>
      </c>
      <c r="W1" s="101" t="s">
        <v>2372</v>
      </c>
    </row>
    <row r="2" spans="1:23" ht="13.5" customHeight="1" x14ac:dyDescent="0.25">
      <c r="A2" s="53" t="s">
        <v>2441</v>
      </c>
      <c r="B2" s="14" t="s">
        <v>673</v>
      </c>
      <c r="C2" s="120">
        <v>9948</v>
      </c>
      <c r="D2" s="14" t="s">
        <v>2439</v>
      </c>
      <c r="E2" s="14" t="s">
        <v>413</v>
      </c>
      <c r="F2" s="14" t="s">
        <v>1218</v>
      </c>
      <c r="G2" s="14" t="s">
        <v>237</v>
      </c>
      <c r="H2" s="55">
        <v>46807</v>
      </c>
      <c r="I2" s="55">
        <v>46807</v>
      </c>
      <c r="J2" s="55">
        <v>0</v>
      </c>
      <c r="K2" s="55">
        <v>46849</v>
      </c>
      <c r="L2" s="55">
        <v>42</v>
      </c>
      <c r="M2" s="55">
        <v>46899</v>
      </c>
      <c r="N2" s="55">
        <v>50</v>
      </c>
      <c r="O2" s="55">
        <v>46940</v>
      </c>
      <c r="P2" s="55">
        <v>41</v>
      </c>
      <c r="Q2" s="55">
        <v>46998</v>
      </c>
      <c r="R2" s="55">
        <v>58</v>
      </c>
      <c r="S2" s="90">
        <f>R2+P2+N2+L2+J2</f>
        <v>191</v>
      </c>
      <c r="T2" s="89">
        <v>46204</v>
      </c>
      <c r="U2" s="14"/>
      <c r="V2" s="108" t="s">
        <v>2375</v>
      </c>
      <c r="W2" s="105" t="str">
        <f>VLOOKUP(C2,'Status oficina'!$A$2:$C$208,3,FALSE)</f>
        <v>Activa</v>
      </c>
    </row>
    <row r="3" spans="1:23" ht="13.5" customHeight="1" x14ac:dyDescent="0.25">
      <c r="A3" s="14" t="s">
        <v>939</v>
      </c>
      <c r="B3" s="14" t="s">
        <v>1025</v>
      </c>
      <c r="C3" s="120">
        <v>9503</v>
      </c>
      <c r="D3" s="14" t="s">
        <v>1027</v>
      </c>
      <c r="E3" s="14" t="s">
        <v>413</v>
      </c>
      <c r="F3" s="14" t="s">
        <v>1028</v>
      </c>
      <c r="G3" s="70" t="s">
        <v>378</v>
      </c>
      <c r="H3" s="55">
        <v>56200</v>
      </c>
      <c r="I3" s="55">
        <v>56216</v>
      </c>
      <c r="J3" s="55">
        <v>16</v>
      </c>
      <c r="K3" s="55">
        <v>56252</v>
      </c>
      <c r="L3" s="55">
        <v>36</v>
      </c>
      <c r="M3" s="55">
        <v>56314</v>
      </c>
      <c r="N3" s="55">
        <v>62</v>
      </c>
      <c r="O3" s="55">
        <v>56343</v>
      </c>
      <c r="P3" s="55">
        <v>29</v>
      </c>
      <c r="Q3" s="55">
        <v>56394</v>
      </c>
      <c r="R3" s="55">
        <v>51</v>
      </c>
      <c r="S3" s="90">
        <f t="shared" ref="S3:S66" si="0">R3+P3+N3+L3+J3</f>
        <v>194</v>
      </c>
      <c r="T3" s="89">
        <v>46204</v>
      </c>
      <c r="U3" s="14"/>
      <c r="V3" s="108" t="s">
        <v>2375</v>
      </c>
      <c r="W3" s="105" t="str">
        <f>VLOOKUP(C3,'Status oficina'!$A$2:$C$208,3,FALSE)</f>
        <v>Activa</v>
      </c>
    </row>
    <row r="4" spans="1:23" ht="13.5" customHeight="1" x14ac:dyDescent="0.25">
      <c r="A4" s="53" t="s">
        <v>868</v>
      </c>
      <c r="B4" s="53" t="s">
        <v>431</v>
      </c>
      <c r="C4" s="19">
        <v>9892</v>
      </c>
      <c r="D4" s="53" t="s">
        <v>2416</v>
      </c>
      <c r="E4" s="53" t="s">
        <v>413</v>
      </c>
      <c r="F4" s="53" t="s">
        <v>1074</v>
      </c>
      <c r="G4" s="53" t="s">
        <v>78</v>
      </c>
      <c r="H4" s="55">
        <v>147779</v>
      </c>
      <c r="I4" s="55">
        <v>147856</v>
      </c>
      <c r="J4" s="55">
        <v>77</v>
      </c>
      <c r="K4" s="55">
        <v>148014</v>
      </c>
      <c r="L4" s="55">
        <v>158</v>
      </c>
      <c r="M4" s="55">
        <v>148116</v>
      </c>
      <c r="N4" s="55">
        <v>102</v>
      </c>
      <c r="O4" s="55">
        <v>148236</v>
      </c>
      <c r="P4" s="55">
        <v>120</v>
      </c>
      <c r="Q4" s="55">
        <v>148361</v>
      </c>
      <c r="R4" s="55">
        <v>125</v>
      </c>
      <c r="S4" s="90">
        <f t="shared" si="0"/>
        <v>582</v>
      </c>
      <c r="T4" s="89">
        <v>46204</v>
      </c>
      <c r="U4" s="57"/>
      <c r="V4" s="105" t="s">
        <v>2375</v>
      </c>
      <c r="W4" s="105" t="str">
        <f>VLOOKUP(C4,'Status oficina'!$A$2:$C$208,3,FALSE)</f>
        <v>Activa</v>
      </c>
    </row>
    <row r="5" spans="1:23" ht="13.5" customHeight="1" x14ac:dyDescent="0.25">
      <c r="A5" s="53" t="s">
        <v>2441</v>
      </c>
      <c r="B5" s="14" t="s">
        <v>757</v>
      </c>
      <c r="C5" s="120">
        <v>9211</v>
      </c>
      <c r="D5" s="14" t="s">
        <v>759</v>
      </c>
      <c r="E5" s="14" t="s">
        <v>413</v>
      </c>
      <c r="F5" s="14" t="s">
        <v>762</v>
      </c>
      <c r="G5" s="14" t="s">
        <v>394</v>
      </c>
      <c r="H5" s="55">
        <v>172355</v>
      </c>
      <c r="I5" s="55">
        <v>172355</v>
      </c>
      <c r="J5" s="55">
        <v>0</v>
      </c>
      <c r="K5" s="55">
        <v>172355</v>
      </c>
      <c r="L5" s="55">
        <v>0</v>
      </c>
      <c r="M5" s="55">
        <v>172355</v>
      </c>
      <c r="N5" s="55">
        <v>0</v>
      </c>
      <c r="O5" s="55">
        <v>172355</v>
      </c>
      <c r="P5" s="55">
        <v>0</v>
      </c>
      <c r="Q5" s="55">
        <v>172355</v>
      </c>
      <c r="R5" s="55">
        <v>0</v>
      </c>
      <c r="S5" s="90">
        <f t="shared" si="0"/>
        <v>0</v>
      </c>
      <c r="T5" s="89">
        <v>46204</v>
      </c>
      <c r="U5" s="14" t="s">
        <v>2126</v>
      </c>
      <c r="V5" s="105" t="s">
        <v>2374</v>
      </c>
      <c r="W5" s="105" t="str">
        <f>VLOOKUP(C5,'Status oficina'!$A$2:$C$208,3,FALSE)</f>
        <v>Activa</v>
      </c>
    </row>
    <row r="6" spans="1:23" ht="13.5" customHeight="1" x14ac:dyDescent="0.25">
      <c r="A6" s="53" t="s">
        <v>2441</v>
      </c>
      <c r="B6" s="14" t="s">
        <v>639</v>
      </c>
      <c r="C6" s="19">
        <v>9214</v>
      </c>
      <c r="D6" s="14" t="s">
        <v>641</v>
      </c>
      <c r="E6" s="14" t="s">
        <v>413</v>
      </c>
      <c r="F6" s="14" t="s">
        <v>1200</v>
      </c>
      <c r="G6" s="14" t="s">
        <v>278</v>
      </c>
      <c r="H6" s="55">
        <v>152288</v>
      </c>
      <c r="I6" s="55">
        <v>152288</v>
      </c>
      <c r="J6" s="55">
        <v>0</v>
      </c>
      <c r="K6" s="55">
        <v>152288</v>
      </c>
      <c r="L6" s="55">
        <v>0</v>
      </c>
      <c r="M6" s="55">
        <v>152288</v>
      </c>
      <c r="N6" s="55">
        <v>0</v>
      </c>
      <c r="O6" s="55">
        <v>152288</v>
      </c>
      <c r="P6" s="55">
        <v>0</v>
      </c>
      <c r="Q6" s="55">
        <v>152288</v>
      </c>
      <c r="R6" s="55">
        <v>0</v>
      </c>
      <c r="S6" s="90">
        <f t="shared" si="0"/>
        <v>0</v>
      </c>
      <c r="T6" s="89">
        <v>46204</v>
      </c>
      <c r="U6" s="14"/>
      <c r="V6" s="105" t="s">
        <v>2231</v>
      </c>
      <c r="W6" s="105" t="s">
        <v>2231</v>
      </c>
    </row>
    <row r="7" spans="1:23" ht="13.5" customHeight="1" x14ac:dyDescent="0.25">
      <c r="A7" s="53" t="s">
        <v>2441</v>
      </c>
      <c r="B7" s="14" t="s">
        <v>757</v>
      </c>
      <c r="C7" s="22">
        <v>9211</v>
      </c>
      <c r="D7" s="14" t="s">
        <v>761</v>
      </c>
      <c r="E7" s="15" t="s">
        <v>417</v>
      </c>
      <c r="F7" s="14" t="s">
        <v>1271</v>
      </c>
      <c r="G7" s="15" t="s">
        <v>365</v>
      </c>
      <c r="H7" s="55">
        <v>448206</v>
      </c>
      <c r="I7" s="55">
        <v>448206</v>
      </c>
      <c r="J7" s="55">
        <v>0</v>
      </c>
      <c r="K7" s="55">
        <v>448206</v>
      </c>
      <c r="L7" s="55">
        <v>0</v>
      </c>
      <c r="M7" s="55">
        <v>448206</v>
      </c>
      <c r="N7" s="55">
        <v>0</v>
      </c>
      <c r="O7" s="55">
        <v>448206</v>
      </c>
      <c r="P7" s="55">
        <v>0</v>
      </c>
      <c r="Q7" s="55">
        <v>448206</v>
      </c>
      <c r="R7" s="55">
        <v>0</v>
      </c>
      <c r="S7" s="90">
        <f t="shared" si="0"/>
        <v>0</v>
      </c>
      <c r="T7" s="89">
        <v>46204</v>
      </c>
      <c r="U7" s="14" t="s">
        <v>2086</v>
      </c>
      <c r="V7" s="14" t="s">
        <v>2374</v>
      </c>
      <c r="W7" s="105" t="str">
        <f>VLOOKUP(C7,'Status oficina'!$A$2:$C$208,3,FALSE)</f>
        <v>Activa</v>
      </c>
    </row>
    <row r="8" spans="1:23" ht="13.5" customHeight="1" x14ac:dyDescent="0.25">
      <c r="A8" s="14" t="s">
        <v>939</v>
      </c>
      <c r="B8" s="14" t="s">
        <v>980</v>
      </c>
      <c r="C8" s="120">
        <v>9655</v>
      </c>
      <c r="D8" s="26" t="s">
        <v>985</v>
      </c>
      <c r="E8" s="14" t="s">
        <v>413</v>
      </c>
      <c r="F8" s="14" t="s">
        <v>986</v>
      </c>
      <c r="G8" s="54" t="s">
        <v>396</v>
      </c>
      <c r="H8" s="55">
        <v>121030</v>
      </c>
      <c r="I8" s="55">
        <v>121206</v>
      </c>
      <c r="J8" s="55">
        <v>176</v>
      </c>
      <c r="K8" s="55">
        <v>121269</v>
      </c>
      <c r="L8" s="55">
        <v>63</v>
      </c>
      <c r="M8" s="55">
        <v>121333</v>
      </c>
      <c r="N8" s="55">
        <v>64</v>
      </c>
      <c r="O8" s="55">
        <v>121397</v>
      </c>
      <c r="P8" s="55">
        <v>64</v>
      </c>
      <c r="Q8" s="55">
        <v>121499</v>
      </c>
      <c r="R8" s="55">
        <v>102</v>
      </c>
      <c r="S8" s="90">
        <f t="shared" si="0"/>
        <v>469</v>
      </c>
      <c r="T8" s="89">
        <v>46204</v>
      </c>
      <c r="U8" s="14" t="s">
        <v>2437</v>
      </c>
      <c r="V8" s="108" t="s">
        <v>2375</v>
      </c>
      <c r="W8" s="105" t="str">
        <f>VLOOKUP(C8,'Status oficina'!$A$2:$C$208,3,FALSE)</f>
        <v>Activa</v>
      </c>
    </row>
    <row r="9" spans="1:23" ht="13.5" customHeight="1" x14ac:dyDescent="0.25">
      <c r="A9" s="53" t="s">
        <v>2441</v>
      </c>
      <c r="B9" s="14" t="s">
        <v>671</v>
      </c>
      <c r="C9" s="120">
        <v>9935</v>
      </c>
      <c r="D9" s="14" t="s">
        <v>672</v>
      </c>
      <c r="E9" s="14" t="s">
        <v>413</v>
      </c>
      <c r="F9" s="14" t="s">
        <v>1217</v>
      </c>
      <c r="G9" s="14" t="s">
        <v>197</v>
      </c>
      <c r="H9" s="55">
        <v>343172</v>
      </c>
      <c r="I9" s="55">
        <v>343409</v>
      </c>
      <c r="J9" s="55">
        <v>237</v>
      </c>
      <c r="K9" s="55">
        <v>343907</v>
      </c>
      <c r="L9" s="55">
        <v>498</v>
      </c>
      <c r="M9" s="55">
        <v>344301</v>
      </c>
      <c r="N9" s="55">
        <v>394</v>
      </c>
      <c r="O9" s="55">
        <v>345039</v>
      </c>
      <c r="P9" s="55">
        <v>738</v>
      </c>
      <c r="Q9" s="55">
        <v>345562</v>
      </c>
      <c r="R9" s="55">
        <v>523</v>
      </c>
      <c r="S9" s="90">
        <f t="shared" si="0"/>
        <v>2390</v>
      </c>
      <c r="T9" s="89">
        <v>46204</v>
      </c>
      <c r="U9" s="14"/>
      <c r="V9" s="108" t="s">
        <v>2375</v>
      </c>
      <c r="W9" s="105" t="str">
        <f>VLOOKUP(C9,'Status oficina'!$A$2:$C$208,3,FALSE)</f>
        <v>Activa</v>
      </c>
    </row>
    <row r="10" spans="1:23" ht="13.5" customHeight="1" x14ac:dyDescent="0.25">
      <c r="A10" s="14" t="s">
        <v>2082</v>
      </c>
      <c r="B10" s="14" t="s">
        <v>619</v>
      </c>
      <c r="C10" s="120">
        <v>9832</v>
      </c>
      <c r="D10" s="14" t="s">
        <v>620</v>
      </c>
      <c r="E10" s="14" t="s">
        <v>413</v>
      </c>
      <c r="F10" s="14" t="s">
        <v>1993</v>
      </c>
      <c r="G10" s="14" t="s">
        <v>310</v>
      </c>
      <c r="H10" s="55">
        <v>135447</v>
      </c>
      <c r="I10" s="55">
        <v>135458</v>
      </c>
      <c r="J10" s="55">
        <v>11</v>
      </c>
      <c r="K10" s="55">
        <v>135458</v>
      </c>
      <c r="L10" s="55">
        <v>0</v>
      </c>
      <c r="M10" s="55">
        <v>135458</v>
      </c>
      <c r="N10" s="55">
        <v>0</v>
      </c>
      <c r="O10" s="55">
        <v>135458</v>
      </c>
      <c r="P10" s="55">
        <v>0</v>
      </c>
      <c r="Q10" s="55">
        <v>135458</v>
      </c>
      <c r="R10" s="55">
        <v>0</v>
      </c>
      <c r="S10" s="90">
        <f t="shared" si="0"/>
        <v>11</v>
      </c>
      <c r="T10" s="89">
        <v>46204</v>
      </c>
      <c r="U10" s="14" t="s">
        <v>2429</v>
      </c>
      <c r="V10" s="105" t="s">
        <v>2375</v>
      </c>
      <c r="W10" s="105" t="str">
        <f>VLOOKUP(C10,'Status oficina'!$A$2:$C$208,3,FALSE)</f>
        <v>Activa</v>
      </c>
    </row>
    <row r="11" spans="1:23" ht="13.5" customHeight="1" x14ac:dyDescent="0.25">
      <c r="A11" s="53" t="s">
        <v>868</v>
      </c>
      <c r="B11" s="53" t="s">
        <v>432</v>
      </c>
      <c r="C11" s="120">
        <v>9822</v>
      </c>
      <c r="D11" s="14" t="s">
        <v>433</v>
      </c>
      <c r="E11" s="14" t="s">
        <v>413</v>
      </c>
      <c r="F11" s="14" t="s">
        <v>1075</v>
      </c>
      <c r="G11" s="14" t="s">
        <v>192</v>
      </c>
      <c r="H11" s="55">
        <v>476007</v>
      </c>
      <c r="I11" s="55">
        <v>476079</v>
      </c>
      <c r="J11" s="55">
        <v>72</v>
      </c>
      <c r="K11" s="55">
        <v>476176</v>
      </c>
      <c r="L11" s="55">
        <v>97</v>
      </c>
      <c r="M11" s="55">
        <v>476309</v>
      </c>
      <c r="N11" s="55">
        <v>133</v>
      </c>
      <c r="O11" s="55">
        <v>476403</v>
      </c>
      <c r="P11" s="55">
        <v>94</v>
      </c>
      <c r="Q11" s="55">
        <v>476546</v>
      </c>
      <c r="R11" s="55">
        <v>143</v>
      </c>
      <c r="S11" s="90">
        <f t="shared" si="0"/>
        <v>539</v>
      </c>
      <c r="T11" s="89">
        <v>46204</v>
      </c>
      <c r="U11" s="14"/>
      <c r="V11" s="105" t="s">
        <v>2375</v>
      </c>
      <c r="W11" s="105" t="str">
        <f>VLOOKUP(C11,'Status oficina'!$A$2:$C$208,3,FALSE)</f>
        <v>Activa</v>
      </c>
    </row>
    <row r="12" spans="1:23" ht="13.5" customHeight="1" x14ac:dyDescent="0.25">
      <c r="A12" s="53" t="s">
        <v>2441</v>
      </c>
      <c r="B12" s="14" t="s">
        <v>698</v>
      </c>
      <c r="C12" s="120">
        <v>9232</v>
      </c>
      <c r="D12" s="14" t="s">
        <v>2152</v>
      </c>
      <c r="E12" s="14" t="s">
        <v>413</v>
      </c>
      <c r="F12" s="14" t="s">
        <v>1234</v>
      </c>
      <c r="G12" s="14" t="s">
        <v>128</v>
      </c>
      <c r="H12" s="55">
        <v>179772</v>
      </c>
      <c r="I12" s="55">
        <v>179800</v>
      </c>
      <c r="J12" s="55">
        <v>28</v>
      </c>
      <c r="K12" s="55">
        <v>179839</v>
      </c>
      <c r="L12" s="55">
        <v>39</v>
      </c>
      <c r="M12" s="55">
        <v>179917</v>
      </c>
      <c r="N12" s="55">
        <v>78</v>
      </c>
      <c r="O12" s="55">
        <v>179952</v>
      </c>
      <c r="P12" s="55">
        <v>35</v>
      </c>
      <c r="Q12" s="55">
        <v>180007</v>
      </c>
      <c r="R12" s="55">
        <v>55</v>
      </c>
      <c r="S12" s="90">
        <f t="shared" si="0"/>
        <v>235</v>
      </c>
      <c r="T12" s="89">
        <v>46204</v>
      </c>
      <c r="U12" s="14"/>
      <c r="V12" s="105" t="s">
        <v>2375</v>
      </c>
      <c r="W12" s="105" t="str">
        <f>VLOOKUP(C12,'Status oficina'!$A$2:$C$208,3,FALSE)</f>
        <v>Activa</v>
      </c>
    </row>
    <row r="13" spans="1:23" ht="13.5" customHeight="1" x14ac:dyDescent="0.25">
      <c r="A13" s="53" t="s">
        <v>2441</v>
      </c>
      <c r="B13" s="14" t="s">
        <v>757</v>
      </c>
      <c r="C13" s="120">
        <v>9211</v>
      </c>
      <c r="D13" s="14" t="s">
        <v>2092</v>
      </c>
      <c r="E13" s="14" t="s">
        <v>413</v>
      </c>
      <c r="F13" s="14" t="s">
        <v>1466</v>
      </c>
      <c r="G13" s="14" t="s">
        <v>291</v>
      </c>
      <c r="H13" s="55">
        <v>134617</v>
      </c>
      <c r="I13" s="55">
        <v>134641</v>
      </c>
      <c r="J13" s="55">
        <v>24</v>
      </c>
      <c r="K13" s="55">
        <v>134755</v>
      </c>
      <c r="L13" s="55">
        <v>114</v>
      </c>
      <c r="M13" s="55">
        <v>134881</v>
      </c>
      <c r="N13" s="55">
        <v>126</v>
      </c>
      <c r="O13" s="55">
        <v>134940</v>
      </c>
      <c r="P13" s="55">
        <v>59</v>
      </c>
      <c r="Q13" s="55">
        <v>134998</v>
      </c>
      <c r="R13" s="55">
        <v>58</v>
      </c>
      <c r="S13" s="90">
        <f t="shared" si="0"/>
        <v>381</v>
      </c>
      <c r="T13" s="89">
        <v>46204</v>
      </c>
      <c r="U13" s="14"/>
      <c r="V13" s="108" t="s">
        <v>2375</v>
      </c>
      <c r="W13" s="105" t="str">
        <f>VLOOKUP(C13,'Status oficina'!$A$2:$C$208,3,FALSE)</f>
        <v>Activa</v>
      </c>
    </row>
    <row r="14" spans="1:23" ht="13.5" customHeight="1" x14ac:dyDescent="0.25">
      <c r="A14" s="14" t="s">
        <v>2442</v>
      </c>
      <c r="B14" s="14" t="s">
        <v>667</v>
      </c>
      <c r="C14" s="19">
        <v>9224</v>
      </c>
      <c r="D14" s="14" t="s">
        <v>669</v>
      </c>
      <c r="E14" s="14" t="s">
        <v>413</v>
      </c>
      <c r="F14" s="14" t="s">
        <v>1215</v>
      </c>
      <c r="G14" s="14" t="s">
        <v>294</v>
      </c>
      <c r="H14" s="55">
        <v>155373</v>
      </c>
      <c r="I14" s="55">
        <v>155373</v>
      </c>
      <c r="J14" s="55">
        <v>0</v>
      </c>
      <c r="K14" s="55">
        <v>155373</v>
      </c>
      <c r="L14" s="55">
        <v>0</v>
      </c>
      <c r="M14" s="55">
        <v>155373</v>
      </c>
      <c r="N14" s="55">
        <v>0</v>
      </c>
      <c r="O14" s="55">
        <v>155373</v>
      </c>
      <c r="P14" s="55">
        <v>0</v>
      </c>
      <c r="Q14" s="55">
        <v>155373</v>
      </c>
      <c r="R14" s="55">
        <v>0</v>
      </c>
      <c r="S14" s="90">
        <f t="shared" si="0"/>
        <v>0</v>
      </c>
      <c r="T14" s="89">
        <v>46204</v>
      </c>
      <c r="U14" s="14"/>
      <c r="V14" s="105" t="s">
        <v>2375</v>
      </c>
      <c r="W14" s="105" t="str">
        <f>VLOOKUP(C14,'Status oficina'!$A$2:$C$208,3,FALSE)</f>
        <v>Activa</v>
      </c>
    </row>
    <row r="15" spans="1:23" ht="13.5" customHeight="1" x14ac:dyDescent="0.25">
      <c r="A15" s="14" t="s">
        <v>2442</v>
      </c>
      <c r="B15" s="14" t="s">
        <v>667</v>
      </c>
      <c r="C15" s="19">
        <v>9224</v>
      </c>
      <c r="D15" s="14" t="s">
        <v>670</v>
      </c>
      <c r="E15" s="14" t="s">
        <v>413</v>
      </c>
      <c r="F15" s="14" t="s">
        <v>2212</v>
      </c>
      <c r="G15" s="14" t="s">
        <v>336</v>
      </c>
      <c r="H15" s="55">
        <v>319225</v>
      </c>
      <c r="I15" s="55">
        <v>319229</v>
      </c>
      <c r="J15" s="55">
        <v>4</v>
      </c>
      <c r="K15" s="55">
        <v>319247</v>
      </c>
      <c r="L15" s="55">
        <v>18</v>
      </c>
      <c r="M15" s="55">
        <v>319247</v>
      </c>
      <c r="N15" s="55">
        <v>0</v>
      </c>
      <c r="O15" s="55">
        <v>319250</v>
      </c>
      <c r="P15" s="55">
        <v>3</v>
      </c>
      <c r="Q15" s="55">
        <v>319252</v>
      </c>
      <c r="R15" s="55">
        <v>2</v>
      </c>
      <c r="S15" s="90">
        <f t="shared" si="0"/>
        <v>27</v>
      </c>
      <c r="T15" s="89">
        <v>46204</v>
      </c>
      <c r="U15" s="14"/>
      <c r="V15" s="105" t="s">
        <v>2375</v>
      </c>
      <c r="W15" s="105" t="str">
        <f>VLOOKUP(C15,'Status oficina'!$A$2:$C$208,3,FALSE)</f>
        <v>Activa</v>
      </c>
    </row>
    <row r="16" spans="1:23" ht="12" customHeight="1" x14ac:dyDescent="0.25">
      <c r="A16" s="53" t="s">
        <v>2441</v>
      </c>
      <c r="B16" s="15" t="s">
        <v>653</v>
      </c>
      <c r="C16" s="19">
        <v>9203</v>
      </c>
      <c r="D16" s="14" t="s">
        <v>655</v>
      </c>
      <c r="E16" s="15" t="s">
        <v>413</v>
      </c>
      <c r="F16" s="14" t="s">
        <v>656</v>
      </c>
      <c r="G16" s="15" t="s">
        <v>376</v>
      </c>
      <c r="H16" s="55">
        <v>306785</v>
      </c>
      <c r="I16" s="55">
        <v>306785</v>
      </c>
      <c r="J16" s="55">
        <v>0</v>
      </c>
      <c r="K16" s="55">
        <v>306785</v>
      </c>
      <c r="L16" s="55">
        <v>0</v>
      </c>
      <c r="M16" s="55">
        <v>306785</v>
      </c>
      <c r="N16" s="55">
        <v>0</v>
      </c>
      <c r="O16" s="55">
        <v>306785</v>
      </c>
      <c r="P16" s="55">
        <v>0</v>
      </c>
      <c r="Q16" s="55">
        <v>306785</v>
      </c>
      <c r="R16" s="55">
        <v>0</v>
      </c>
      <c r="S16" s="90">
        <f t="shared" si="0"/>
        <v>0</v>
      </c>
      <c r="T16" s="89">
        <v>46204</v>
      </c>
      <c r="U16" s="14" t="s">
        <v>2470</v>
      </c>
      <c r="V16" s="105" t="s">
        <v>2238</v>
      </c>
      <c r="W16" s="105" t="s">
        <v>2238</v>
      </c>
    </row>
    <row r="17" spans="1:23" ht="13.5" customHeight="1" x14ac:dyDescent="0.25">
      <c r="A17" s="53" t="s">
        <v>868</v>
      </c>
      <c r="B17" s="53" t="s">
        <v>414</v>
      </c>
      <c r="C17" s="19">
        <v>9963</v>
      </c>
      <c r="D17" s="53" t="s">
        <v>415</v>
      </c>
      <c r="E17" s="53" t="s">
        <v>413</v>
      </c>
      <c r="F17" s="53" t="s">
        <v>1064</v>
      </c>
      <c r="G17" s="53" t="s">
        <v>105</v>
      </c>
      <c r="H17" s="55">
        <v>130304</v>
      </c>
      <c r="I17" s="55">
        <v>130418</v>
      </c>
      <c r="J17" s="55">
        <v>114</v>
      </c>
      <c r="K17" s="55">
        <v>130651</v>
      </c>
      <c r="L17" s="55">
        <v>233</v>
      </c>
      <c r="M17" s="55">
        <v>130828</v>
      </c>
      <c r="N17" s="55">
        <v>177</v>
      </c>
      <c r="O17" s="55">
        <v>130957</v>
      </c>
      <c r="P17" s="55">
        <v>129</v>
      </c>
      <c r="Q17" s="55">
        <v>131112</v>
      </c>
      <c r="R17" s="55">
        <v>155</v>
      </c>
      <c r="S17" s="90">
        <f t="shared" si="0"/>
        <v>808</v>
      </c>
      <c r="T17" s="89">
        <v>46204</v>
      </c>
      <c r="U17" s="57"/>
      <c r="V17" s="108" t="s">
        <v>2375</v>
      </c>
      <c r="W17" s="105" t="str">
        <f>VLOOKUP(C17,'Status oficina'!$A$2:$C$208,3,FALSE)</f>
        <v>Activa</v>
      </c>
    </row>
    <row r="18" spans="1:23" ht="13.5" customHeight="1" x14ac:dyDescent="0.25">
      <c r="A18" s="53" t="s">
        <v>868</v>
      </c>
      <c r="B18" s="53" t="s">
        <v>428</v>
      </c>
      <c r="C18" s="120">
        <v>9837</v>
      </c>
      <c r="D18" s="14" t="s">
        <v>429</v>
      </c>
      <c r="E18" s="14" t="s">
        <v>413</v>
      </c>
      <c r="F18" s="14" t="s">
        <v>1072</v>
      </c>
      <c r="G18" s="14" t="s">
        <v>104</v>
      </c>
      <c r="H18" s="55">
        <v>251057</v>
      </c>
      <c r="I18" s="55">
        <v>251294</v>
      </c>
      <c r="J18" s="55">
        <v>237</v>
      </c>
      <c r="K18" s="55">
        <v>251852</v>
      </c>
      <c r="L18" s="55">
        <v>558</v>
      </c>
      <c r="M18" s="55">
        <v>254312</v>
      </c>
      <c r="N18" s="55">
        <v>2460</v>
      </c>
      <c r="O18" s="55">
        <v>255324</v>
      </c>
      <c r="P18" s="55">
        <v>1012</v>
      </c>
      <c r="Q18" s="55">
        <v>255837</v>
      </c>
      <c r="R18" s="55">
        <v>513</v>
      </c>
      <c r="S18" s="90">
        <f t="shared" si="0"/>
        <v>4780</v>
      </c>
      <c r="T18" s="89">
        <v>46204</v>
      </c>
      <c r="U18" s="14"/>
      <c r="V18" s="105" t="s">
        <v>2375</v>
      </c>
      <c r="W18" s="105" t="str">
        <f>VLOOKUP(C18,'Status oficina'!$A$2:$C$208,3,FALSE)</f>
        <v>Activa</v>
      </c>
    </row>
    <row r="19" spans="1:23" ht="13.5" customHeight="1" x14ac:dyDescent="0.25">
      <c r="A19" s="53" t="s">
        <v>868</v>
      </c>
      <c r="B19" s="53" t="s">
        <v>439</v>
      </c>
      <c r="C19" s="120">
        <v>9895</v>
      </c>
      <c r="D19" s="14" t="s">
        <v>2122</v>
      </c>
      <c r="E19" s="14" t="s">
        <v>413</v>
      </c>
      <c r="F19" s="14" t="s">
        <v>1079</v>
      </c>
      <c r="G19" s="14" t="s">
        <v>223</v>
      </c>
      <c r="H19" s="55">
        <v>93852</v>
      </c>
      <c r="I19" s="55">
        <v>93852</v>
      </c>
      <c r="J19" s="55">
        <v>0</v>
      </c>
      <c r="K19" s="55">
        <v>93852</v>
      </c>
      <c r="L19" s="55">
        <v>0</v>
      </c>
      <c r="M19" s="55">
        <v>93852</v>
      </c>
      <c r="N19" s="55">
        <v>0</v>
      </c>
      <c r="O19" s="55">
        <v>93852</v>
      </c>
      <c r="P19" s="55">
        <v>0</v>
      </c>
      <c r="Q19" s="55">
        <v>93852</v>
      </c>
      <c r="R19" s="55">
        <v>0</v>
      </c>
      <c r="S19" s="90">
        <f t="shared" si="0"/>
        <v>0</v>
      </c>
      <c r="T19" s="89">
        <v>46204</v>
      </c>
      <c r="U19" s="14" t="s">
        <v>2454</v>
      </c>
      <c r="V19" s="105" t="s">
        <v>2238</v>
      </c>
      <c r="W19" s="105" t="str">
        <f>VLOOKUP(C19,'Status oficina'!$A$2:$C$208,3,FALSE)</f>
        <v>Cierre definitivo</v>
      </c>
    </row>
    <row r="20" spans="1:23" ht="13.5" customHeight="1" x14ac:dyDescent="0.25">
      <c r="A20" s="14" t="s">
        <v>2082</v>
      </c>
      <c r="B20" s="14" t="s">
        <v>492</v>
      </c>
      <c r="C20" s="120">
        <v>9410</v>
      </c>
      <c r="D20" s="14" t="s">
        <v>2489</v>
      </c>
      <c r="E20" s="14" t="s">
        <v>413</v>
      </c>
      <c r="F20" s="14" t="s">
        <v>1114</v>
      </c>
      <c r="G20" s="14" t="s">
        <v>5</v>
      </c>
      <c r="H20" s="55">
        <v>145865</v>
      </c>
      <c r="I20" s="55">
        <v>145865</v>
      </c>
      <c r="J20" s="55">
        <v>0</v>
      </c>
      <c r="K20" s="55">
        <v>145868</v>
      </c>
      <c r="L20" s="55">
        <v>3</v>
      </c>
      <c r="M20" s="55">
        <v>145868</v>
      </c>
      <c r="N20" s="55">
        <v>0</v>
      </c>
      <c r="O20" s="55">
        <v>145877</v>
      </c>
      <c r="P20" s="55">
        <v>9</v>
      </c>
      <c r="Q20" s="55">
        <v>145909</v>
      </c>
      <c r="R20" s="55">
        <v>32</v>
      </c>
      <c r="S20" s="90">
        <f t="shared" si="0"/>
        <v>44</v>
      </c>
      <c r="T20" s="89">
        <v>46204</v>
      </c>
      <c r="U20" s="14"/>
      <c r="V20" s="105" t="s">
        <v>2375</v>
      </c>
      <c r="W20" s="105" t="str">
        <f>VLOOKUP(C20,'Status oficina'!$A$2:$C$208,3,FALSE)</f>
        <v>Activa</v>
      </c>
    </row>
    <row r="21" spans="1:23" s="66" customFormat="1" ht="13.5" customHeight="1" x14ac:dyDescent="0.25">
      <c r="A21" s="14" t="s">
        <v>2082</v>
      </c>
      <c r="B21" s="14" t="s">
        <v>509</v>
      </c>
      <c r="C21" s="22">
        <v>9467</v>
      </c>
      <c r="D21" s="14" t="s">
        <v>510</v>
      </c>
      <c r="E21" s="15" t="s">
        <v>413</v>
      </c>
      <c r="F21" s="14" t="s">
        <v>1130</v>
      </c>
      <c r="G21" s="15" t="s">
        <v>349</v>
      </c>
      <c r="H21" s="55">
        <v>127686</v>
      </c>
      <c r="I21" s="55">
        <v>127766</v>
      </c>
      <c r="J21" s="55">
        <v>80</v>
      </c>
      <c r="K21" s="55">
        <v>127918</v>
      </c>
      <c r="L21" s="55">
        <v>152</v>
      </c>
      <c r="M21" s="55">
        <v>128068</v>
      </c>
      <c r="N21" s="55">
        <v>150</v>
      </c>
      <c r="O21" s="55">
        <v>128224</v>
      </c>
      <c r="P21" s="55">
        <v>156</v>
      </c>
      <c r="Q21" s="55">
        <v>128520</v>
      </c>
      <c r="R21" s="55">
        <v>296</v>
      </c>
      <c r="S21" s="90">
        <f t="shared" si="0"/>
        <v>834</v>
      </c>
      <c r="T21" s="89">
        <v>46204</v>
      </c>
      <c r="U21" s="14"/>
      <c r="V21" s="105" t="s">
        <v>2375</v>
      </c>
      <c r="W21" s="105" t="str">
        <f>VLOOKUP(C21,'Status oficina'!$A$2:$C$208,3,FALSE)</f>
        <v>Activa</v>
      </c>
    </row>
    <row r="22" spans="1:23" ht="13.5" customHeight="1" x14ac:dyDescent="0.25">
      <c r="A22" s="14" t="s">
        <v>2082</v>
      </c>
      <c r="B22" s="14" t="s">
        <v>485</v>
      </c>
      <c r="C22" s="120">
        <v>9420</v>
      </c>
      <c r="D22" s="109" t="s">
        <v>487</v>
      </c>
      <c r="E22" s="14" t="s">
        <v>413</v>
      </c>
      <c r="F22" s="14" t="s">
        <v>1109</v>
      </c>
      <c r="G22" s="14" t="s">
        <v>198</v>
      </c>
      <c r="H22" s="55">
        <v>221210</v>
      </c>
      <c r="I22" s="55">
        <v>221210</v>
      </c>
      <c r="J22" s="55">
        <v>0</v>
      </c>
      <c r="K22" s="55">
        <v>221210</v>
      </c>
      <c r="L22" s="55">
        <v>0</v>
      </c>
      <c r="M22" s="55">
        <v>221210</v>
      </c>
      <c r="N22" s="55">
        <v>0</v>
      </c>
      <c r="O22" s="55">
        <v>221210</v>
      </c>
      <c r="P22" s="55">
        <v>0</v>
      </c>
      <c r="Q22" s="55">
        <v>221210</v>
      </c>
      <c r="R22" s="55">
        <v>0</v>
      </c>
      <c r="S22" s="90">
        <f t="shared" si="0"/>
        <v>0</v>
      </c>
      <c r="T22" s="89">
        <v>46204</v>
      </c>
      <c r="U22" s="14"/>
      <c r="V22" s="105" t="s">
        <v>2238</v>
      </c>
      <c r="W22" s="105" t="str">
        <f>VLOOKUP(C22,'Status oficina'!$A$2:$C$208,3,FALSE)</f>
        <v>Cierre definitivo</v>
      </c>
    </row>
    <row r="23" spans="1:23" ht="13.5" customHeight="1" x14ac:dyDescent="0.25">
      <c r="A23" s="14" t="s">
        <v>2442</v>
      </c>
      <c r="B23" s="14" t="s">
        <v>807</v>
      </c>
      <c r="C23" s="19">
        <v>9231</v>
      </c>
      <c r="D23" s="14" t="s">
        <v>810</v>
      </c>
      <c r="E23" s="14" t="s">
        <v>413</v>
      </c>
      <c r="F23" s="14" t="s">
        <v>1303</v>
      </c>
      <c r="G23" s="14" t="s">
        <v>331</v>
      </c>
      <c r="H23" s="55">
        <v>208907</v>
      </c>
      <c r="I23" s="55">
        <v>209012</v>
      </c>
      <c r="J23" s="55">
        <v>105</v>
      </c>
      <c r="K23" s="55">
        <v>209119</v>
      </c>
      <c r="L23" s="55">
        <v>107</v>
      </c>
      <c r="M23" s="55">
        <v>209274</v>
      </c>
      <c r="N23" s="55">
        <v>155</v>
      </c>
      <c r="O23" s="55">
        <v>209361</v>
      </c>
      <c r="P23" s="55">
        <v>87</v>
      </c>
      <c r="Q23" s="55">
        <v>209565</v>
      </c>
      <c r="R23" s="55">
        <v>204</v>
      </c>
      <c r="S23" s="90">
        <f t="shared" si="0"/>
        <v>658</v>
      </c>
      <c r="T23" s="89">
        <v>46204</v>
      </c>
      <c r="U23" s="14"/>
      <c r="V23" s="105" t="s">
        <v>2375</v>
      </c>
      <c r="W23" s="105" t="str">
        <f>VLOOKUP(C23,'Status oficina'!$A$2:$C$208,3,FALSE)</f>
        <v>Activa</v>
      </c>
    </row>
    <row r="24" spans="1:23" ht="13.5" customHeight="1" x14ac:dyDescent="0.25">
      <c r="A24" s="54" t="s">
        <v>2082</v>
      </c>
      <c r="B24" s="14" t="s">
        <v>475</v>
      </c>
      <c r="C24" s="19">
        <v>9425</v>
      </c>
      <c r="D24" s="14" t="s">
        <v>477</v>
      </c>
      <c r="E24" s="14" t="s">
        <v>413</v>
      </c>
      <c r="F24" s="14" t="s">
        <v>1103</v>
      </c>
      <c r="G24" s="14" t="s">
        <v>58</v>
      </c>
      <c r="H24" s="55">
        <v>265181</v>
      </c>
      <c r="I24" s="55">
        <v>265253</v>
      </c>
      <c r="J24" s="55">
        <v>72</v>
      </c>
      <c r="K24" s="55">
        <v>265769</v>
      </c>
      <c r="L24" s="55">
        <v>516</v>
      </c>
      <c r="M24" s="55">
        <v>266060</v>
      </c>
      <c r="N24" s="55">
        <v>291</v>
      </c>
      <c r="O24" s="55">
        <v>266557</v>
      </c>
      <c r="P24" s="55">
        <v>497</v>
      </c>
      <c r="Q24" s="55">
        <v>267227</v>
      </c>
      <c r="R24" s="55">
        <v>670</v>
      </c>
      <c r="S24" s="90">
        <f t="shared" si="0"/>
        <v>2046</v>
      </c>
      <c r="T24" s="89">
        <v>46204</v>
      </c>
      <c r="U24" s="14"/>
      <c r="V24" s="105" t="s">
        <v>2375</v>
      </c>
      <c r="W24" s="105" t="str">
        <f>VLOOKUP(C24,'Status oficina'!$A$2:$C$208,3,FALSE)</f>
        <v>Activa</v>
      </c>
    </row>
    <row r="25" spans="1:23" ht="13.5" customHeight="1" x14ac:dyDescent="0.25">
      <c r="A25" s="14" t="s">
        <v>2442</v>
      </c>
      <c r="B25" s="14" t="s">
        <v>793</v>
      </c>
      <c r="C25" s="19">
        <v>9294</v>
      </c>
      <c r="D25" s="14" t="s">
        <v>796</v>
      </c>
      <c r="E25" s="14" t="s">
        <v>413</v>
      </c>
      <c r="F25" s="14" t="s">
        <v>1292</v>
      </c>
      <c r="G25" s="14" t="s">
        <v>325</v>
      </c>
      <c r="H25" s="55">
        <v>283486</v>
      </c>
      <c r="I25" s="55">
        <v>283493</v>
      </c>
      <c r="J25" s="55">
        <v>7</v>
      </c>
      <c r="K25" s="55">
        <v>283522</v>
      </c>
      <c r="L25" s="55">
        <v>29</v>
      </c>
      <c r="M25" s="55">
        <v>283598</v>
      </c>
      <c r="N25" s="55">
        <v>76</v>
      </c>
      <c r="O25" s="55">
        <v>283640</v>
      </c>
      <c r="P25" s="55">
        <v>42</v>
      </c>
      <c r="Q25" s="55">
        <v>283685</v>
      </c>
      <c r="R25" s="55">
        <v>45</v>
      </c>
      <c r="S25" s="90">
        <f t="shared" si="0"/>
        <v>199</v>
      </c>
      <c r="T25" s="89">
        <v>46204</v>
      </c>
      <c r="U25" s="14"/>
      <c r="V25" s="105" t="s">
        <v>2375</v>
      </c>
      <c r="W25" s="105" t="str">
        <f>VLOOKUP(C25,'Status oficina'!$A$2:$C$208,3,FALSE)</f>
        <v>Activa</v>
      </c>
    </row>
    <row r="26" spans="1:23" ht="13.5" customHeight="1" x14ac:dyDescent="0.25">
      <c r="A26" s="14" t="s">
        <v>2442</v>
      </c>
      <c r="B26" s="14" t="s">
        <v>830</v>
      </c>
      <c r="C26" s="120">
        <v>9228</v>
      </c>
      <c r="D26" s="14" t="s">
        <v>831</v>
      </c>
      <c r="E26" s="14" t="s">
        <v>417</v>
      </c>
      <c r="F26" s="14" t="s">
        <v>1317</v>
      </c>
      <c r="G26" s="14" t="s">
        <v>160</v>
      </c>
      <c r="H26" s="55">
        <v>391687</v>
      </c>
      <c r="I26" s="55">
        <v>392096</v>
      </c>
      <c r="J26" s="55">
        <v>409</v>
      </c>
      <c r="K26" s="55">
        <v>392986</v>
      </c>
      <c r="L26" s="55">
        <v>890</v>
      </c>
      <c r="M26" s="55">
        <v>393921</v>
      </c>
      <c r="N26" s="55">
        <v>935</v>
      </c>
      <c r="O26" s="55">
        <v>394450</v>
      </c>
      <c r="P26" s="55">
        <v>529</v>
      </c>
      <c r="Q26" s="55">
        <v>395315</v>
      </c>
      <c r="R26" s="55">
        <v>865</v>
      </c>
      <c r="S26" s="90">
        <f t="shared" si="0"/>
        <v>3628</v>
      </c>
      <c r="T26" s="89">
        <v>46204</v>
      </c>
      <c r="U26" s="14"/>
      <c r="V26" s="105" t="s">
        <v>2375</v>
      </c>
      <c r="W26" s="105" t="str">
        <f>VLOOKUP(C26,'Status oficina'!$A$2:$C$208,3,FALSE)</f>
        <v>Activa</v>
      </c>
    </row>
    <row r="27" spans="1:23" ht="13.5" customHeight="1" x14ac:dyDescent="0.25">
      <c r="A27" s="14" t="s">
        <v>2442</v>
      </c>
      <c r="B27" s="14" t="s">
        <v>863</v>
      </c>
      <c r="C27" s="120">
        <v>9927</v>
      </c>
      <c r="D27" s="14" t="s">
        <v>864</v>
      </c>
      <c r="E27" s="14" t="s">
        <v>413</v>
      </c>
      <c r="F27" s="14" t="s">
        <v>1335</v>
      </c>
      <c r="G27" s="14" t="s">
        <v>98</v>
      </c>
      <c r="H27" s="55">
        <v>190194</v>
      </c>
      <c r="I27" s="55">
        <v>190238</v>
      </c>
      <c r="J27" s="55">
        <v>44</v>
      </c>
      <c r="K27" s="55">
        <v>190449</v>
      </c>
      <c r="L27" s="55">
        <v>211</v>
      </c>
      <c r="M27" s="55">
        <v>190568</v>
      </c>
      <c r="N27" s="55">
        <v>119</v>
      </c>
      <c r="O27" s="55">
        <v>190668</v>
      </c>
      <c r="P27" s="55">
        <v>100</v>
      </c>
      <c r="Q27" s="55">
        <v>190843</v>
      </c>
      <c r="R27" s="55">
        <v>175</v>
      </c>
      <c r="S27" s="90">
        <f t="shared" si="0"/>
        <v>649</v>
      </c>
      <c r="T27" s="89">
        <v>46204</v>
      </c>
      <c r="U27" s="14"/>
      <c r="V27" s="105" t="s">
        <v>2375</v>
      </c>
      <c r="W27" s="105" t="str">
        <f>VLOOKUP(C27,'Status oficina'!$A$2:$C$208,3,FALSE)</f>
        <v>Activa</v>
      </c>
    </row>
    <row r="28" spans="1:23" ht="13.5" customHeight="1" x14ac:dyDescent="0.25">
      <c r="A28" s="14" t="s">
        <v>939</v>
      </c>
      <c r="B28" s="14" t="s">
        <v>990</v>
      </c>
      <c r="C28" s="120">
        <v>9538</v>
      </c>
      <c r="D28" s="14" t="s">
        <v>991</v>
      </c>
      <c r="E28" s="14" t="s">
        <v>413</v>
      </c>
      <c r="F28" s="14" t="s">
        <v>1424</v>
      </c>
      <c r="G28" s="14" t="s">
        <v>109</v>
      </c>
      <c r="H28" s="55">
        <v>250936</v>
      </c>
      <c r="I28" s="55">
        <v>250936</v>
      </c>
      <c r="J28" s="55">
        <v>0</v>
      </c>
      <c r="K28" s="55">
        <v>250936</v>
      </c>
      <c r="L28" s="55">
        <v>0</v>
      </c>
      <c r="M28" s="55">
        <v>250936</v>
      </c>
      <c r="N28" s="55">
        <v>0</v>
      </c>
      <c r="O28" s="55">
        <v>250936</v>
      </c>
      <c r="P28" s="55">
        <v>0</v>
      </c>
      <c r="Q28" s="55">
        <v>250936</v>
      </c>
      <c r="R28" s="55">
        <v>0</v>
      </c>
      <c r="S28" s="90">
        <f t="shared" si="0"/>
        <v>0</v>
      </c>
      <c r="T28" s="89">
        <v>46204</v>
      </c>
      <c r="U28" s="14"/>
      <c r="V28" s="105" t="s">
        <v>2231</v>
      </c>
      <c r="W28" s="105" t="str">
        <f>VLOOKUP(C28,'Status oficina'!$A$2:$C$208,3,FALSE)</f>
        <v>Cierre temporal</v>
      </c>
    </row>
    <row r="29" spans="1:23" ht="13.5" customHeight="1" x14ac:dyDescent="0.25">
      <c r="A29" s="14" t="s">
        <v>2082</v>
      </c>
      <c r="B29" s="14" t="s">
        <v>504</v>
      </c>
      <c r="C29" s="120">
        <v>9430</v>
      </c>
      <c r="D29" s="14" t="s">
        <v>2205</v>
      </c>
      <c r="E29" s="14" t="s">
        <v>413</v>
      </c>
      <c r="F29" s="14" t="s">
        <v>1125</v>
      </c>
      <c r="G29" s="14" t="s">
        <v>52</v>
      </c>
      <c r="H29" s="55">
        <v>160302</v>
      </c>
      <c r="I29" s="55">
        <v>160494</v>
      </c>
      <c r="J29" s="55">
        <v>192</v>
      </c>
      <c r="K29" s="55">
        <v>160910</v>
      </c>
      <c r="L29" s="55">
        <v>416</v>
      </c>
      <c r="M29" s="55">
        <v>161369</v>
      </c>
      <c r="N29" s="55">
        <v>459</v>
      </c>
      <c r="O29" s="55">
        <v>161485</v>
      </c>
      <c r="P29" s="55">
        <v>116</v>
      </c>
      <c r="Q29" s="55">
        <v>161698</v>
      </c>
      <c r="R29" s="55">
        <v>213</v>
      </c>
      <c r="S29" s="90">
        <f t="shared" si="0"/>
        <v>1396</v>
      </c>
      <c r="T29" s="89">
        <v>46204</v>
      </c>
      <c r="U29" s="14"/>
      <c r="V29" s="105" t="s">
        <v>2375</v>
      </c>
      <c r="W29" s="105" t="str">
        <f>VLOOKUP(C29,'Status oficina'!$A$2:$C$208,3,FALSE)</f>
        <v>Activa</v>
      </c>
    </row>
    <row r="30" spans="1:23" ht="13.5" customHeight="1" x14ac:dyDescent="0.25">
      <c r="A30" s="14" t="s">
        <v>2082</v>
      </c>
      <c r="B30" s="14" t="s">
        <v>600</v>
      </c>
      <c r="C30" s="19">
        <v>9833</v>
      </c>
      <c r="D30" s="14" t="s">
        <v>601</v>
      </c>
      <c r="E30" s="14" t="s">
        <v>413</v>
      </c>
      <c r="F30" s="14" t="s">
        <v>602</v>
      </c>
      <c r="G30" s="14" t="s">
        <v>4</v>
      </c>
      <c r="H30" s="55">
        <v>426870</v>
      </c>
      <c r="I30" s="55">
        <v>426870</v>
      </c>
      <c r="J30" s="55">
        <v>0</v>
      </c>
      <c r="K30" s="55">
        <v>426870</v>
      </c>
      <c r="L30" s="55">
        <v>0</v>
      </c>
      <c r="M30" s="55">
        <v>426870</v>
      </c>
      <c r="N30" s="55">
        <v>0</v>
      </c>
      <c r="O30" s="55">
        <v>426870</v>
      </c>
      <c r="P30" s="55">
        <v>0</v>
      </c>
      <c r="Q30" s="55">
        <v>426870</v>
      </c>
      <c r="R30" s="55">
        <v>0</v>
      </c>
      <c r="S30" s="90">
        <f t="shared" si="0"/>
        <v>0</v>
      </c>
      <c r="T30" s="89">
        <v>46204</v>
      </c>
      <c r="U30" s="14" t="s">
        <v>2397</v>
      </c>
      <c r="V30" s="105" t="s">
        <v>2374</v>
      </c>
      <c r="W30" s="105" t="str">
        <f>VLOOKUP(C30,'Status oficina'!$A$2:$C$208,3,FALSE)</f>
        <v>Activa</v>
      </c>
    </row>
    <row r="31" spans="1:23" ht="13.5" customHeight="1" x14ac:dyDescent="0.25">
      <c r="A31" s="54" t="s">
        <v>2082</v>
      </c>
      <c r="B31" s="14" t="s">
        <v>594</v>
      </c>
      <c r="C31" s="19">
        <v>9831</v>
      </c>
      <c r="D31" s="54" t="s">
        <v>2493</v>
      </c>
      <c r="E31" s="54" t="s">
        <v>413</v>
      </c>
      <c r="F31" s="54" t="s">
        <v>1187</v>
      </c>
      <c r="G31" s="54" t="s">
        <v>296</v>
      </c>
      <c r="H31" s="55">
        <v>128250</v>
      </c>
      <c r="I31" s="55">
        <v>128430</v>
      </c>
      <c r="J31" s="55">
        <v>180</v>
      </c>
      <c r="K31" s="55">
        <v>128574</v>
      </c>
      <c r="L31" s="55">
        <v>144</v>
      </c>
      <c r="M31" s="55">
        <v>128635</v>
      </c>
      <c r="N31" s="55">
        <v>61</v>
      </c>
      <c r="O31" s="55">
        <v>128718</v>
      </c>
      <c r="P31" s="55">
        <v>83</v>
      </c>
      <c r="Q31" s="55">
        <v>128901</v>
      </c>
      <c r="R31" s="55">
        <v>183</v>
      </c>
      <c r="S31" s="90">
        <f t="shared" si="0"/>
        <v>651</v>
      </c>
      <c r="T31" s="89">
        <v>46204</v>
      </c>
      <c r="U31" s="14"/>
      <c r="V31" s="105" t="s">
        <v>2375</v>
      </c>
      <c r="W31" s="105" t="str">
        <f>VLOOKUP(C31,'Status oficina'!$A$2:$C$208,3,FALSE)</f>
        <v>Activa</v>
      </c>
    </row>
    <row r="32" spans="1:23" ht="13.5" customHeight="1" x14ac:dyDescent="0.25">
      <c r="A32" s="14" t="s">
        <v>2442</v>
      </c>
      <c r="B32" s="14" t="s">
        <v>768</v>
      </c>
      <c r="C32" s="19">
        <v>9221</v>
      </c>
      <c r="D32" s="14" t="s">
        <v>2467</v>
      </c>
      <c r="E32" s="14" t="s">
        <v>413</v>
      </c>
      <c r="F32" s="14" t="s">
        <v>1297</v>
      </c>
      <c r="G32" s="14" t="s">
        <v>1711</v>
      </c>
      <c r="H32" s="55">
        <v>136091</v>
      </c>
      <c r="I32" s="55">
        <v>136091</v>
      </c>
      <c r="J32" s="55">
        <v>0</v>
      </c>
      <c r="K32" s="55">
        <v>136091</v>
      </c>
      <c r="L32" s="55">
        <v>0</v>
      </c>
      <c r="M32" s="55">
        <v>136091</v>
      </c>
      <c r="N32" s="55">
        <v>0</v>
      </c>
      <c r="O32" s="55">
        <v>136091</v>
      </c>
      <c r="P32" s="55">
        <v>0</v>
      </c>
      <c r="Q32" s="55">
        <v>136091</v>
      </c>
      <c r="R32" s="55">
        <v>0</v>
      </c>
      <c r="S32" s="90">
        <f t="shared" si="0"/>
        <v>0</v>
      </c>
      <c r="T32" s="89">
        <v>46204</v>
      </c>
      <c r="U32" s="14" t="s">
        <v>2468</v>
      </c>
      <c r="V32" s="105" t="s">
        <v>2238</v>
      </c>
      <c r="W32" s="105" t="str">
        <f>VLOOKUP(C32,'Status oficina'!$A$2:$C$208,3,FALSE)</f>
        <v>Cierre definitivo</v>
      </c>
    </row>
    <row r="33" spans="1:23" ht="13.5" customHeight="1" x14ac:dyDescent="0.25">
      <c r="A33" s="53" t="s">
        <v>2441</v>
      </c>
      <c r="B33" s="14" t="s">
        <v>742</v>
      </c>
      <c r="C33" s="120">
        <v>9264</v>
      </c>
      <c r="D33" s="14" t="s">
        <v>746</v>
      </c>
      <c r="E33" s="14" t="s">
        <v>413</v>
      </c>
      <c r="F33" s="14" t="s">
        <v>1263</v>
      </c>
      <c r="G33" s="14" t="s">
        <v>392</v>
      </c>
      <c r="H33" s="55">
        <v>204456</v>
      </c>
      <c r="I33" s="55">
        <v>204458</v>
      </c>
      <c r="J33" s="55">
        <v>2</v>
      </c>
      <c r="K33" s="55">
        <v>204477</v>
      </c>
      <c r="L33" s="55">
        <v>19</v>
      </c>
      <c r="M33" s="55">
        <v>204504</v>
      </c>
      <c r="N33" s="55">
        <v>27</v>
      </c>
      <c r="O33" s="55">
        <v>204520</v>
      </c>
      <c r="P33" s="55">
        <v>16</v>
      </c>
      <c r="Q33" s="55">
        <v>204560</v>
      </c>
      <c r="R33" s="55">
        <v>40</v>
      </c>
      <c r="S33" s="90">
        <f t="shared" si="0"/>
        <v>104</v>
      </c>
      <c r="T33" s="89">
        <v>46204</v>
      </c>
      <c r="U33" s="14"/>
      <c r="V33" s="105" t="s">
        <v>2375</v>
      </c>
      <c r="W33" s="105" t="str">
        <f>VLOOKUP(C33,'Status oficina'!$A$2:$C$208,3,FALSE)</f>
        <v>Activa</v>
      </c>
    </row>
    <row r="34" spans="1:23" ht="13.5" customHeight="1" x14ac:dyDescent="0.25">
      <c r="A34" s="53" t="s">
        <v>2441</v>
      </c>
      <c r="B34" s="14" t="s">
        <v>730</v>
      </c>
      <c r="C34" s="120">
        <v>9241</v>
      </c>
      <c r="D34" s="14" t="s">
        <v>731</v>
      </c>
      <c r="E34" s="14" t="s">
        <v>417</v>
      </c>
      <c r="F34" s="14" t="s">
        <v>1252</v>
      </c>
      <c r="G34" s="14" t="s">
        <v>1930</v>
      </c>
      <c r="H34" s="55">
        <v>497108</v>
      </c>
      <c r="I34" s="55">
        <v>497108</v>
      </c>
      <c r="J34" s="55">
        <v>0</v>
      </c>
      <c r="K34" s="55">
        <v>497108</v>
      </c>
      <c r="L34" s="55">
        <v>0</v>
      </c>
      <c r="M34" s="55">
        <v>497108</v>
      </c>
      <c r="N34" s="55">
        <v>0</v>
      </c>
      <c r="O34" s="55">
        <v>497108</v>
      </c>
      <c r="P34" s="55">
        <v>0</v>
      </c>
      <c r="Q34" s="55">
        <v>497108</v>
      </c>
      <c r="R34" s="55">
        <v>0</v>
      </c>
      <c r="S34" s="90">
        <f t="shared" si="0"/>
        <v>0</v>
      </c>
      <c r="T34" s="89">
        <v>46204</v>
      </c>
      <c r="U34" s="14"/>
      <c r="V34" s="105" t="s">
        <v>2231</v>
      </c>
      <c r="W34" s="105" t="str">
        <f>VLOOKUP(C34,'Status oficina'!$A$2:$C$208,3,FALSE)</f>
        <v>Cierre temporal</v>
      </c>
    </row>
    <row r="35" spans="1:23" ht="13.5" customHeight="1" x14ac:dyDescent="0.25">
      <c r="A35" s="53" t="s">
        <v>2441</v>
      </c>
      <c r="B35" s="14" t="s">
        <v>730</v>
      </c>
      <c r="C35" s="120">
        <v>9241</v>
      </c>
      <c r="D35" s="14" t="s">
        <v>732</v>
      </c>
      <c r="E35" s="14" t="s">
        <v>413</v>
      </c>
      <c r="F35" s="14" t="s">
        <v>1253</v>
      </c>
      <c r="G35" s="14" t="s">
        <v>317</v>
      </c>
      <c r="H35" s="55">
        <v>85823</v>
      </c>
      <c r="I35" s="55">
        <v>85823</v>
      </c>
      <c r="J35" s="55">
        <v>0</v>
      </c>
      <c r="K35" s="55">
        <v>85823</v>
      </c>
      <c r="L35" s="55">
        <v>0</v>
      </c>
      <c r="M35" s="55">
        <v>85823</v>
      </c>
      <c r="N35" s="55">
        <v>0</v>
      </c>
      <c r="O35" s="55">
        <v>85823</v>
      </c>
      <c r="P35" s="55">
        <v>0</v>
      </c>
      <c r="Q35" s="55">
        <v>85823</v>
      </c>
      <c r="R35" s="55">
        <v>0</v>
      </c>
      <c r="S35" s="90">
        <f t="shared" si="0"/>
        <v>0</v>
      </c>
      <c r="T35" s="89">
        <v>46204</v>
      </c>
      <c r="U35" s="14"/>
      <c r="V35" s="105" t="s">
        <v>2231</v>
      </c>
      <c r="W35" s="105" t="str">
        <f>VLOOKUP(C35,'Status oficina'!$A$2:$C$208,3,FALSE)</f>
        <v>Cierre temporal</v>
      </c>
    </row>
    <row r="36" spans="1:23" ht="13.5" customHeight="1" x14ac:dyDescent="0.25">
      <c r="A36" s="14" t="s">
        <v>2442</v>
      </c>
      <c r="B36" s="14" t="s">
        <v>805</v>
      </c>
      <c r="C36" s="19">
        <v>9940</v>
      </c>
      <c r="D36" s="14" t="s">
        <v>806</v>
      </c>
      <c r="E36" s="14" t="s">
        <v>413</v>
      </c>
      <c r="F36" s="14" t="s">
        <v>1300</v>
      </c>
      <c r="G36" s="14" t="s">
        <v>313</v>
      </c>
      <c r="H36" s="55">
        <v>275850</v>
      </c>
      <c r="I36" s="55">
        <v>275895</v>
      </c>
      <c r="J36" s="55">
        <v>45</v>
      </c>
      <c r="K36" s="55">
        <v>276178</v>
      </c>
      <c r="L36" s="55">
        <v>283</v>
      </c>
      <c r="M36" s="55">
        <v>276334</v>
      </c>
      <c r="N36" s="55">
        <v>156</v>
      </c>
      <c r="O36" s="55">
        <v>276487</v>
      </c>
      <c r="P36" s="55">
        <v>153</v>
      </c>
      <c r="Q36" s="55">
        <v>276633</v>
      </c>
      <c r="R36" s="55">
        <v>146</v>
      </c>
      <c r="S36" s="90">
        <f t="shared" si="0"/>
        <v>783</v>
      </c>
      <c r="T36" s="89">
        <v>46204</v>
      </c>
      <c r="U36" s="14"/>
      <c r="V36" s="108" t="s">
        <v>2375</v>
      </c>
      <c r="W36" s="105" t="str">
        <f>VLOOKUP(C36,'Status oficina'!$A$2:$C$208,3,FALSE)</f>
        <v>Activa</v>
      </c>
    </row>
    <row r="37" spans="1:23" ht="13.5" customHeight="1" x14ac:dyDescent="0.25">
      <c r="A37" s="14" t="s">
        <v>868</v>
      </c>
      <c r="B37" s="14" t="s">
        <v>920</v>
      </c>
      <c r="C37" s="120">
        <v>9499</v>
      </c>
      <c r="D37" s="14" t="s">
        <v>2430</v>
      </c>
      <c r="E37" s="14" t="s">
        <v>413</v>
      </c>
      <c r="F37" s="14" t="s">
        <v>1378</v>
      </c>
      <c r="G37" s="14" t="s">
        <v>264</v>
      </c>
      <c r="H37" s="55">
        <v>97953</v>
      </c>
      <c r="I37" s="55">
        <v>97966</v>
      </c>
      <c r="J37" s="55">
        <v>13</v>
      </c>
      <c r="K37" s="55">
        <v>98032</v>
      </c>
      <c r="L37" s="55">
        <v>66</v>
      </c>
      <c r="M37" s="55">
        <v>98069</v>
      </c>
      <c r="N37" s="55">
        <v>37</v>
      </c>
      <c r="O37" s="55">
        <v>98095</v>
      </c>
      <c r="P37" s="55">
        <v>26</v>
      </c>
      <c r="Q37" s="55">
        <v>98225</v>
      </c>
      <c r="R37" s="55">
        <v>130</v>
      </c>
      <c r="S37" s="90">
        <f t="shared" si="0"/>
        <v>272</v>
      </c>
      <c r="T37" s="89">
        <v>46204</v>
      </c>
      <c r="U37" s="14"/>
      <c r="V37" s="108" t="s">
        <v>2375</v>
      </c>
      <c r="W37" s="105" t="str">
        <f>VLOOKUP(C37,'Status oficina'!$A$2:$C$208,3,FALSE)</f>
        <v>Activa</v>
      </c>
    </row>
    <row r="38" spans="1:23" ht="13.5" customHeight="1" x14ac:dyDescent="0.25">
      <c r="A38" s="15" t="s">
        <v>939</v>
      </c>
      <c r="B38" s="15" t="s">
        <v>976</v>
      </c>
      <c r="C38" s="22">
        <v>9567</v>
      </c>
      <c r="D38" s="14" t="s">
        <v>977</v>
      </c>
      <c r="E38" s="15" t="s">
        <v>413</v>
      </c>
      <c r="F38" s="14" t="s">
        <v>1414</v>
      </c>
      <c r="G38" s="15" t="s">
        <v>369</v>
      </c>
      <c r="H38" s="55">
        <v>207170</v>
      </c>
      <c r="I38" s="55">
        <v>207170</v>
      </c>
      <c r="J38" s="55">
        <v>0</v>
      </c>
      <c r="K38" s="55">
        <v>207170</v>
      </c>
      <c r="L38" s="55">
        <v>0</v>
      </c>
      <c r="M38" s="55">
        <v>207170</v>
      </c>
      <c r="N38" s="55">
        <v>0</v>
      </c>
      <c r="O38" s="55">
        <v>207170</v>
      </c>
      <c r="P38" s="55">
        <v>0</v>
      </c>
      <c r="Q38" s="55">
        <v>207170</v>
      </c>
      <c r="R38" s="55">
        <v>0</v>
      </c>
      <c r="S38" s="90">
        <f t="shared" si="0"/>
        <v>0</v>
      </c>
      <c r="T38" s="89">
        <v>46204</v>
      </c>
      <c r="U38" s="14"/>
      <c r="V38" s="105" t="s">
        <v>2375</v>
      </c>
      <c r="W38" s="105" t="str">
        <f>VLOOKUP(C38,'Status oficina'!$A$2:$C$208,3,FALSE)</f>
        <v>Activa</v>
      </c>
    </row>
    <row r="39" spans="1:23" ht="13.5" customHeight="1" x14ac:dyDescent="0.25">
      <c r="A39" s="14" t="s">
        <v>868</v>
      </c>
      <c r="B39" s="14" t="s">
        <v>888</v>
      </c>
      <c r="C39" s="19">
        <v>9826</v>
      </c>
      <c r="D39" s="14" t="s">
        <v>2096</v>
      </c>
      <c r="E39" s="14" t="s">
        <v>413</v>
      </c>
      <c r="F39" s="14" t="s">
        <v>1352</v>
      </c>
      <c r="G39" s="14" t="s">
        <v>272</v>
      </c>
      <c r="H39" s="55">
        <v>201700</v>
      </c>
      <c r="I39" s="55">
        <v>201878</v>
      </c>
      <c r="J39" s="55">
        <v>178</v>
      </c>
      <c r="K39" s="55">
        <v>202127</v>
      </c>
      <c r="L39" s="55">
        <v>249</v>
      </c>
      <c r="M39" s="55">
        <v>202346</v>
      </c>
      <c r="N39" s="55">
        <v>219</v>
      </c>
      <c r="O39" s="55">
        <v>202500</v>
      </c>
      <c r="P39" s="55">
        <v>154</v>
      </c>
      <c r="Q39" s="55">
        <v>202715</v>
      </c>
      <c r="R39" s="55">
        <v>215</v>
      </c>
      <c r="S39" s="90">
        <f t="shared" si="0"/>
        <v>1015</v>
      </c>
      <c r="T39" s="89">
        <v>46204</v>
      </c>
      <c r="U39" s="14"/>
      <c r="V39" s="105" t="s">
        <v>2375</v>
      </c>
      <c r="W39" s="105" t="str">
        <f>VLOOKUP(C39,'Status oficina'!$A$2:$C$208,3,FALSE)</f>
        <v>Activa</v>
      </c>
    </row>
    <row r="40" spans="1:23" ht="13.5" customHeight="1" x14ac:dyDescent="0.25">
      <c r="A40" s="53" t="s">
        <v>2441</v>
      </c>
      <c r="B40" s="14" t="s">
        <v>674</v>
      </c>
      <c r="C40" s="94">
        <v>9252</v>
      </c>
      <c r="D40" s="14" t="s">
        <v>675</v>
      </c>
      <c r="E40" s="14" t="s">
        <v>417</v>
      </c>
      <c r="F40" s="14" t="s">
        <v>1219</v>
      </c>
      <c r="G40" s="14" t="s">
        <v>113</v>
      </c>
      <c r="H40" s="55">
        <v>666565</v>
      </c>
      <c r="I40" s="55">
        <v>666565</v>
      </c>
      <c r="J40" s="55">
        <v>0</v>
      </c>
      <c r="K40" s="55">
        <v>666565</v>
      </c>
      <c r="L40" s="55">
        <v>0</v>
      </c>
      <c r="M40" s="55">
        <v>666565</v>
      </c>
      <c r="N40" s="55">
        <v>0</v>
      </c>
      <c r="O40" s="55">
        <v>666565</v>
      </c>
      <c r="P40" s="55">
        <v>0</v>
      </c>
      <c r="Q40" s="55">
        <v>666565</v>
      </c>
      <c r="R40" s="55">
        <v>0</v>
      </c>
      <c r="S40" s="90">
        <f t="shared" si="0"/>
        <v>0</v>
      </c>
      <c r="T40" s="89">
        <v>46204</v>
      </c>
      <c r="U40" s="14" t="s">
        <v>2166</v>
      </c>
      <c r="V40" s="105" t="s">
        <v>2238</v>
      </c>
      <c r="W40" s="105" t="str">
        <f>VLOOKUP(C40,'Status oficina'!$A$2:$C$208,3,FALSE)</f>
        <v>Cierre definitivo</v>
      </c>
    </row>
    <row r="41" spans="1:23" ht="13.5" customHeight="1" x14ac:dyDescent="0.25">
      <c r="A41" s="53" t="s">
        <v>2441</v>
      </c>
      <c r="B41" s="14" t="s">
        <v>674</v>
      </c>
      <c r="C41" s="97">
        <v>9252</v>
      </c>
      <c r="D41" s="14" t="s">
        <v>676</v>
      </c>
      <c r="E41" s="14" t="s">
        <v>413</v>
      </c>
      <c r="F41" s="14" t="s">
        <v>1220</v>
      </c>
      <c r="G41" s="14" t="s">
        <v>262</v>
      </c>
      <c r="H41" s="55">
        <v>106018</v>
      </c>
      <c r="I41" s="55">
        <v>106018</v>
      </c>
      <c r="J41" s="55">
        <v>0</v>
      </c>
      <c r="K41" s="55">
        <v>106018</v>
      </c>
      <c r="L41" s="55">
        <v>0</v>
      </c>
      <c r="M41" s="55">
        <v>106018</v>
      </c>
      <c r="N41" s="55">
        <v>0</v>
      </c>
      <c r="O41" s="55">
        <v>106018</v>
      </c>
      <c r="P41" s="55">
        <v>0</v>
      </c>
      <c r="Q41" s="55">
        <v>106018</v>
      </c>
      <c r="R41" s="55">
        <v>0</v>
      </c>
      <c r="S41" s="90">
        <f t="shared" si="0"/>
        <v>0</v>
      </c>
      <c r="T41" s="89">
        <v>46204</v>
      </c>
      <c r="U41" s="14" t="s">
        <v>2166</v>
      </c>
      <c r="V41" s="105" t="s">
        <v>2238</v>
      </c>
      <c r="W41" s="105" t="str">
        <f>VLOOKUP(C41,'Status oficina'!$A$2:$C$208,3,FALSE)</f>
        <v>Cierre definitivo</v>
      </c>
    </row>
    <row r="42" spans="1:23" ht="13.5" customHeight="1" x14ac:dyDescent="0.25">
      <c r="A42" s="15" t="s">
        <v>868</v>
      </c>
      <c r="B42" s="15" t="s">
        <v>911</v>
      </c>
      <c r="C42" s="120">
        <v>9813</v>
      </c>
      <c r="D42" s="14" t="s">
        <v>2107</v>
      </c>
      <c r="E42" s="15" t="s">
        <v>413</v>
      </c>
      <c r="F42" s="14" t="s">
        <v>1369</v>
      </c>
      <c r="G42" s="15" t="s">
        <v>25</v>
      </c>
      <c r="H42" s="55">
        <v>336560</v>
      </c>
      <c r="I42" s="55">
        <v>336712</v>
      </c>
      <c r="J42" s="55">
        <v>152</v>
      </c>
      <c r="K42" s="55">
        <v>336712</v>
      </c>
      <c r="L42" s="55">
        <v>0</v>
      </c>
      <c r="M42" s="55">
        <v>336712</v>
      </c>
      <c r="N42" s="55">
        <v>0</v>
      </c>
      <c r="O42" s="55">
        <v>336712</v>
      </c>
      <c r="P42" s="55">
        <v>0</v>
      </c>
      <c r="Q42" s="55">
        <v>336712</v>
      </c>
      <c r="R42" s="55">
        <v>0</v>
      </c>
      <c r="S42" s="90">
        <f t="shared" si="0"/>
        <v>152</v>
      </c>
      <c r="T42" s="89">
        <v>46204</v>
      </c>
      <c r="U42" s="57"/>
      <c r="V42" s="105" t="s">
        <v>2375</v>
      </c>
      <c r="W42" s="105" t="str">
        <f>VLOOKUP(C42,'Status oficina'!$A$2:$C$208,3,FALSE)</f>
        <v>Activa</v>
      </c>
    </row>
    <row r="43" spans="1:23" ht="13.5" customHeight="1" x14ac:dyDescent="0.25">
      <c r="A43" s="53" t="s">
        <v>2082</v>
      </c>
      <c r="B43" s="53" t="s">
        <v>460</v>
      </c>
      <c r="C43" s="19">
        <v>9485</v>
      </c>
      <c r="D43" s="53" t="s">
        <v>2431</v>
      </c>
      <c r="E43" s="53" t="s">
        <v>413</v>
      </c>
      <c r="F43" s="53" t="s">
        <v>1091</v>
      </c>
      <c r="G43" s="53" t="s">
        <v>194</v>
      </c>
      <c r="H43" s="55">
        <v>167736</v>
      </c>
      <c r="I43" s="55">
        <v>167895</v>
      </c>
      <c r="J43" s="55">
        <v>159</v>
      </c>
      <c r="K43" s="55">
        <v>168174</v>
      </c>
      <c r="L43" s="55">
        <v>279</v>
      </c>
      <c r="M43" s="55">
        <v>168433</v>
      </c>
      <c r="N43" s="55">
        <v>259</v>
      </c>
      <c r="O43" s="55">
        <v>168560</v>
      </c>
      <c r="P43" s="55">
        <v>127</v>
      </c>
      <c r="Q43" s="55">
        <v>168833</v>
      </c>
      <c r="R43" s="55">
        <v>273</v>
      </c>
      <c r="S43" s="90">
        <f t="shared" si="0"/>
        <v>1097</v>
      </c>
      <c r="T43" s="89">
        <v>46204</v>
      </c>
      <c r="U43" s="57"/>
      <c r="V43" s="108" t="s">
        <v>2375</v>
      </c>
      <c r="W43" s="105" t="str">
        <f>VLOOKUP(C43,'Status oficina'!$A$2:$C$208,3,FALSE)</f>
        <v>Activa</v>
      </c>
    </row>
    <row r="44" spans="1:23" ht="13.5" customHeight="1" x14ac:dyDescent="0.25">
      <c r="A44" s="14" t="s">
        <v>2082</v>
      </c>
      <c r="B44" s="14" t="s">
        <v>498</v>
      </c>
      <c r="C44" s="120">
        <v>9470</v>
      </c>
      <c r="D44" s="14" t="s">
        <v>2490</v>
      </c>
      <c r="E44" s="14" t="s">
        <v>413</v>
      </c>
      <c r="F44" s="14" t="s">
        <v>1121</v>
      </c>
      <c r="G44" s="14" t="s">
        <v>214</v>
      </c>
      <c r="H44" s="55">
        <v>183957</v>
      </c>
      <c r="I44" s="55">
        <v>184058</v>
      </c>
      <c r="J44" s="55">
        <v>101</v>
      </c>
      <c r="K44" s="55">
        <v>184287</v>
      </c>
      <c r="L44" s="55">
        <v>229</v>
      </c>
      <c r="M44" s="55">
        <v>184498</v>
      </c>
      <c r="N44" s="55">
        <v>211</v>
      </c>
      <c r="O44" s="55">
        <v>184625</v>
      </c>
      <c r="P44" s="55">
        <v>127</v>
      </c>
      <c r="Q44" s="55">
        <v>184832</v>
      </c>
      <c r="R44" s="55">
        <v>207</v>
      </c>
      <c r="S44" s="90">
        <f t="shared" si="0"/>
        <v>875</v>
      </c>
      <c r="T44" s="89">
        <v>46204</v>
      </c>
      <c r="U44" s="57"/>
      <c r="V44" s="108" t="s">
        <v>2375</v>
      </c>
      <c r="W44" s="105" t="str">
        <f>VLOOKUP(C44,'Status oficina'!$A$2:$C$208,3,FALSE)</f>
        <v>Activa</v>
      </c>
    </row>
    <row r="45" spans="1:23" ht="13.5" customHeight="1" x14ac:dyDescent="0.25">
      <c r="A45" s="53" t="s">
        <v>2441</v>
      </c>
      <c r="B45" s="53" t="s">
        <v>2376</v>
      </c>
      <c r="C45" s="19">
        <v>9219</v>
      </c>
      <c r="D45" s="14" t="s">
        <v>2377</v>
      </c>
      <c r="E45" s="14" t="s">
        <v>413</v>
      </c>
      <c r="F45" s="14" t="s">
        <v>1990</v>
      </c>
      <c r="G45" s="14" t="s">
        <v>2378</v>
      </c>
      <c r="H45" s="55">
        <v>121038</v>
      </c>
      <c r="I45" s="55">
        <v>121100</v>
      </c>
      <c r="J45" s="55">
        <v>62</v>
      </c>
      <c r="K45" s="55">
        <v>121317</v>
      </c>
      <c r="L45" s="55">
        <v>217</v>
      </c>
      <c r="M45" s="55">
        <v>121729</v>
      </c>
      <c r="N45" s="55">
        <v>412</v>
      </c>
      <c r="O45" s="55">
        <v>122049</v>
      </c>
      <c r="P45" s="55">
        <v>320</v>
      </c>
      <c r="Q45" s="55">
        <v>122443</v>
      </c>
      <c r="R45" s="55">
        <v>394</v>
      </c>
      <c r="S45" s="90">
        <f t="shared" si="0"/>
        <v>1405</v>
      </c>
      <c r="T45" s="89">
        <v>46204</v>
      </c>
      <c r="U45" s="14"/>
      <c r="V45" s="108" t="s">
        <v>2375</v>
      </c>
      <c r="W45" s="105" t="str">
        <f>VLOOKUP(C45,'Status oficina'!$A$2:$C$208,3,FALSE)</f>
        <v>Activa</v>
      </c>
    </row>
    <row r="46" spans="1:23" ht="13.5" customHeight="1" x14ac:dyDescent="0.25">
      <c r="A46" s="14" t="s">
        <v>868</v>
      </c>
      <c r="B46" s="14" t="s">
        <v>885</v>
      </c>
      <c r="C46" s="19">
        <v>9816</v>
      </c>
      <c r="D46" s="14" t="s">
        <v>887</v>
      </c>
      <c r="E46" s="14" t="s">
        <v>413</v>
      </c>
      <c r="F46" s="14" t="s">
        <v>1350</v>
      </c>
      <c r="G46" s="14" t="s">
        <v>208</v>
      </c>
      <c r="H46" s="55">
        <v>163887</v>
      </c>
      <c r="I46" s="55">
        <v>163986</v>
      </c>
      <c r="J46" s="55">
        <v>99</v>
      </c>
      <c r="K46" s="55">
        <v>164207</v>
      </c>
      <c r="L46" s="55">
        <v>221</v>
      </c>
      <c r="M46" s="55">
        <v>164399</v>
      </c>
      <c r="N46" s="55">
        <v>192</v>
      </c>
      <c r="O46" s="55">
        <v>164508</v>
      </c>
      <c r="P46" s="55">
        <v>109</v>
      </c>
      <c r="Q46" s="55">
        <v>164806</v>
      </c>
      <c r="R46" s="55">
        <v>298</v>
      </c>
      <c r="S46" s="90">
        <f t="shared" si="0"/>
        <v>919</v>
      </c>
      <c r="T46" s="89">
        <v>46204</v>
      </c>
      <c r="U46" s="14"/>
      <c r="V46" s="105" t="s">
        <v>2375</v>
      </c>
      <c r="W46" s="105" t="str">
        <f>VLOOKUP(C46,'Status oficina'!$A$2:$C$208,3,FALSE)</f>
        <v>Activa</v>
      </c>
    </row>
    <row r="47" spans="1:23" ht="13.5" customHeight="1" x14ac:dyDescent="0.25">
      <c r="A47" s="14" t="s">
        <v>868</v>
      </c>
      <c r="B47" s="14" t="s">
        <v>922</v>
      </c>
      <c r="C47" s="120">
        <v>9814</v>
      </c>
      <c r="D47" s="14" t="s">
        <v>923</v>
      </c>
      <c r="E47" s="14" t="s">
        <v>413</v>
      </c>
      <c r="F47" s="14" t="s">
        <v>1380</v>
      </c>
      <c r="G47" s="14" t="s">
        <v>114</v>
      </c>
      <c r="H47" s="55">
        <v>332451</v>
      </c>
      <c r="I47" s="55">
        <v>332816</v>
      </c>
      <c r="J47" s="55">
        <v>365</v>
      </c>
      <c r="K47" s="55">
        <v>333360</v>
      </c>
      <c r="L47" s="55">
        <v>544</v>
      </c>
      <c r="M47" s="55">
        <v>333917</v>
      </c>
      <c r="N47" s="55">
        <v>557</v>
      </c>
      <c r="O47" s="55">
        <v>334402</v>
      </c>
      <c r="P47" s="55">
        <v>485</v>
      </c>
      <c r="Q47" s="55">
        <v>334539</v>
      </c>
      <c r="R47" s="55">
        <v>137</v>
      </c>
      <c r="S47" s="90">
        <f t="shared" si="0"/>
        <v>2088</v>
      </c>
      <c r="T47" s="89">
        <v>46204</v>
      </c>
      <c r="U47" s="14"/>
      <c r="V47" s="105" t="s">
        <v>2375</v>
      </c>
      <c r="W47" s="105" t="str">
        <f>VLOOKUP(C47,'Status oficina'!$A$2:$C$208,3,FALSE)</f>
        <v>Activa</v>
      </c>
    </row>
    <row r="48" spans="1:23" ht="13.5" customHeight="1" x14ac:dyDescent="0.25">
      <c r="A48" s="14" t="s">
        <v>868</v>
      </c>
      <c r="B48" s="14" t="s">
        <v>896</v>
      </c>
      <c r="C48" s="120">
        <v>9884</v>
      </c>
      <c r="D48" s="10" t="s">
        <v>897</v>
      </c>
      <c r="E48" s="14" t="s">
        <v>413</v>
      </c>
      <c r="F48" s="14" t="s">
        <v>1357</v>
      </c>
      <c r="G48" s="14" t="s">
        <v>80</v>
      </c>
      <c r="H48" s="55">
        <v>148923</v>
      </c>
      <c r="I48" s="55">
        <v>150261</v>
      </c>
      <c r="J48" s="55">
        <v>1338</v>
      </c>
      <c r="K48" s="55">
        <v>152312</v>
      </c>
      <c r="L48" s="55">
        <v>2051</v>
      </c>
      <c r="M48" s="55">
        <v>154365</v>
      </c>
      <c r="N48" s="55">
        <v>2053</v>
      </c>
      <c r="O48" s="55">
        <v>155185</v>
      </c>
      <c r="P48" s="55">
        <v>820</v>
      </c>
      <c r="Q48" s="55">
        <v>155749</v>
      </c>
      <c r="R48" s="55">
        <v>564</v>
      </c>
      <c r="S48" s="90">
        <f t="shared" si="0"/>
        <v>6826</v>
      </c>
      <c r="T48" s="89">
        <v>46204</v>
      </c>
      <c r="U48" s="14"/>
      <c r="V48" s="105" t="s">
        <v>2375</v>
      </c>
      <c r="W48" s="105" t="str">
        <f>VLOOKUP(C48,'Status oficina'!$A$2:$C$208,3,FALSE)</f>
        <v>Activa</v>
      </c>
    </row>
    <row r="49" spans="1:23" ht="13.5" customHeight="1" x14ac:dyDescent="0.25">
      <c r="A49" s="53" t="s">
        <v>2441</v>
      </c>
      <c r="B49" s="14" t="s">
        <v>709</v>
      </c>
      <c r="C49" s="19">
        <v>9268</v>
      </c>
      <c r="D49" s="14" t="s">
        <v>710</v>
      </c>
      <c r="E49" s="14" t="s">
        <v>413</v>
      </c>
      <c r="F49" s="14" t="s">
        <v>711</v>
      </c>
      <c r="G49" s="14" t="s">
        <v>327</v>
      </c>
      <c r="H49" s="55">
        <v>276689</v>
      </c>
      <c r="I49" s="55">
        <v>276689</v>
      </c>
      <c r="J49" s="55">
        <v>0</v>
      </c>
      <c r="K49" s="55">
        <v>276689</v>
      </c>
      <c r="L49" s="55">
        <v>0</v>
      </c>
      <c r="M49" s="55">
        <v>276689</v>
      </c>
      <c r="N49" s="55">
        <v>0</v>
      </c>
      <c r="O49" s="55">
        <v>276689</v>
      </c>
      <c r="P49" s="55">
        <v>0</v>
      </c>
      <c r="Q49" s="55">
        <v>276689</v>
      </c>
      <c r="R49" s="55">
        <v>0</v>
      </c>
      <c r="S49" s="90">
        <f t="shared" si="0"/>
        <v>0</v>
      </c>
      <c r="T49" s="89">
        <v>46204</v>
      </c>
      <c r="U49" s="14" t="s">
        <v>2080</v>
      </c>
      <c r="V49" s="105" t="s">
        <v>2231</v>
      </c>
      <c r="W49" s="105" t="str">
        <f>VLOOKUP(C49,'Status oficina'!$A$2:$C$208,3,FALSE)</f>
        <v>Cierre temporal</v>
      </c>
    </row>
    <row r="50" spans="1:23" ht="13.5" customHeight="1" x14ac:dyDescent="0.25">
      <c r="A50" s="14" t="s">
        <v>2442</v>
      </c>
      <c r="B50" s="14" t="s">
        <v>696</v>
      </c>
      <c r="C50" s="120">
        <v>9269</v>
      </c>
      <c r="D50" s="14" t="s">
        <v>697</v>
      </c>
      <c r="E50" s="14" t="s">
        <v>413</v>
      </c>
      <c r="F50" s="14" t="s">
        <v>1232</v>
      </c>
      <c r="G50" s="14" t="s">
        <v>186</v>
      </c>
      <c r="H50" s="55">
        <v>272787</v>
      </c>
      <c r="I50" s="55">
        <v>272787</v>
      </c>
      <c r="J50" s="55">
        <v>0</v>
      </c>
      <c r="K50" s="55">
        <v>272787</v>
      </c>
      <c r="L50" s="55">
        <v>0</v>
      </c>
      <c r="M50" s="55">
        <v>272787</v>
      </c>
      <c r="N50" s="55">
        <v>0</v>
      </c>
      <c r="O50" s="55">
        <v>272787</v>
      </c>
      <c r="P50" s="55">
        <v>0</v>
      </c>
      <c r="Q50" s="55">
        <v>272787</v>
      </c>
      <c r="R50" s="55">
        <v>0</v>
      </c>
      <c r="S50" s="90">
        <f t="shared" si="0"/>
        <v>0</v>
      </c>
      <c r="T50" s="89">
        <v>46204</v>
      </c>
      <c r="U50" s="14"/>
      <c r="V50" s="105" t="s">
        <v>2231</v>
      </c>
      <c r="W50" s="105" t="str">
        <f>VLOOKUP(C50,'Status oficina'!$A$2:$C$208,3,FALSE)</f>
        <v>Cierre temporal</v>
      </c>
    </row>
    <row r="51" spans="1:23" ht="13.5" customHeight="1" x14ac:dyDescent="0.25">
      <c r="A51" s="53" t="s">
        <v>2441</v>
      </c>
      <c r="B51" s="14" t="s">
        <v>642</v>
      </c>
      <c r="C51" s="19">
        <v>9905</v>
      </c>
      <c r="D51" s="14" t="s">
        <v>644</v>
      </c>
      <c r="E51" s="14" t="s">
        <v>413</v>
      </c>
      <c r="F51" s="14" t="s">
        <v>1202</v>
      </c>
      <c r="G51" s="14" t="s">
        <v>130</v>
      </c>
      <c r="H51" s="55">
        <v>117508</v>
      </c>
      <c r="I51" s="55">
        <v>117508</v>
      </c>
      <c r="J51" s="55">
        <v>0</v>
      </c>
      <c r="K51" s="55">
        <v>117508</v>
      </c>
      <c r="L51" s="55">
        <v>0</v>
      </c>
      <c r="M51" s="55">
        <v>117508</v>
      </c>
      <c r="N51" s="55">
        <v>0</v>
      </c>
      <c r="O51" s="55">
        <v>117508</v>
      </c>
      <c r="P51" s="55">
        <v>0</v>
      </c>
      <c r="Q51" s="55">
        <v>117508</v>
      </c>
      <c r="R51" s="55">
        <v>0</v>
      </c>
      <c r="S51" s="90">
        <f t="shared" si="0"/>
        <v>0</v>
      </c>
      <c r="T51" s="89">
        <v>46204</v>
      </c>
      <c r="U51" s="14" t="s">
        <v>2469</v>
      </c>
      <c r="V51" s="105" t="s">
        <v>2238</v>
      </c>
      <c r="W51" s="105" t="s">
        <v>2238</v>
      </c>
    </row>
    <row r="52" spans="1:23" ht="13.5" customHeight="1" x14ac:dyDescent="0.25">
      <c r="A52" s="14" t="s">
        <v>2442</v>
      </c>
      <c r="B52" s="15" t="s">
        <v>790</v>
      </c>
      <c r="C52" s="19">
        <v>9270</v>
      </c>
      <c r="D52" s="14" t="s">
        <v>792</v>
      </c>
      <c r="E52" s="15" t="s">
        <v>413</v>
      </c>
      <c r="F52" s="14" t="s">
        <v>1290</v>
      </c>
      <c r="G52" s="14"/>
      <c r="H52" s="55">
        <v>215794</v>
      </c>
      <c r="I52" s="55">
        <v>215794</v>
      </c>
      <c r="J52" s="55">
        <v>0</v>
      </c>
      <c r="K52" s="55">
        <v>215794</v>
      </c>
      <c r="L52" s="55">
        <v>0</v>
      </c>
      <c r="M52" s="55">
        <v>215794</v>
      </c>
      <c r="N52" s="55">
        <v>0</v>
      </c>
      <c r="O52" s="55">
        <v>215794</v>
      </c>
      <c r="P52" s="55">
        <v>0</v>
      </c>
      <c r="Q52" s="55">
        <v>215794</v>
      </c>
      <c r="R52" s="55">
        <v>0</v>
      </c>
      <c r="S52" s="90">
        <f t="shared" si="0"/>
        <v>0</v>
      </c>
      <c r="T52" s="89">
        <v>46204</v>
      </c>
      <c r="U52" s="14" t="s">
        <v>2427</v>
      </c>
      <c r="V52" s="105" t="s">
        <v>2374</v>
      </c>
      <c r="W52" s="105" t="s">
        <v>2228</v>
      </c>
    </row>
    <row r="53" spans="1:23" ht="13.5" customHeight="1" x14ac:dyDescent="0.25">
      <c r="A53" s="53" t="s">
        <v>2442</v>
      </c>
      <c r="B53" s="15" t="s">
        <v>790</v>
      </c>
      <c r="C53" s="19">
        <v>9270</v>
      </c>
      <c r="D53" s="14" t="s">
        <v>791</v>
      </c>
      <c r="E53" s="15" t="s">
        <v>413</v>
      </c>
      <c r="F53" s="14" t="s">
        <v>1996</v>
      </c>
      <c r="G53" s="15" t="s">
        <v>343</v>
      </c>
      <c r="H53" s="55">
        <v>233644</v>
      </c>
      <c r="I53" s="55">
        <v>233644</v>
      </c>
      <c r="J53" s="55">
        <v>0</v>
      </c>
      <c r="K53" s="55">
        <v>234174</v>
      </c>
      <c r="L53" s="55">
        <v>530</v>
      </c>
      <c r="M53" s="55">
        <v>234644</v>
      </c>
      <c r="N53" s="55">
        <v>470</v>
      </c>
      <c r="O53" s="55">
        <v>235019</v>
      </c>
      <c r="P53" s="55">
        <v>375</v>
      </c>
      <c r="Q53" s="55">
        <v>235781</v>
      </c>
      <c r="R53" s="55">
        <v>762</v>
      </c>
      <c r="S53" s="90">
        <f t="shared" si="0"/>
        <v>2137</v>
      </c>
      <c r="T53" s="89">
        <v>46204</v>
      </c>
      <c r="U53" s="14" t="s">
        <v>2440</v>
      </c>
      <c r="V53" s="105" t="s">
        <v>2375</v>
      </c>
      <c r="W53" s="105" t="s">
        <v>2228</v>
      </c>
    </row>
    <row r="54" spans="1:23" ht="13.5" customHeight="1" x14ac:dyDescent="0.25">
      <c r="A54" s="14" t="s">
        <v>2082</v>
      </c>
      <c r="B54" s="14" t="s">
        <v>628</v>
      </c>
      <c r="C54" s="22">
        <v>9446</v>
      </c>
      <c r="D54" s="14" t="s">
        <v>630</v>
      </c>
      <c r="E54" s="15" t="s">
        <v>413</v>
      </c>
      <c r="F54" s="14" t="s">
        <v>1192</v>
      </c>
      <c r="G54" s="15" t="s">
        <v>357</v>
      </c>
      <c r="H54" s="55">
        <v>127910</v>
      </c>
      <c r="I54" s="55">
        <v>127910</v>
      </c>
      <c r="J54" s="55">
        <v>0</v>
      </c>
      <c r="K54" s="55">
        <v>127910</v>
      </c>
      <c r="L54" s="55">
        <v>0</v>
      </c>
      <c r="M54" s="55">
        <v>127910</v>
      </c>
      <c r="N54" s="55">
        <v>0</v>
      </c>
      <c r="O54" s="55">
        <v>127910</v>
      </c>
      <c r="P54" s="55">
        <v>0</v>
      </c>
      <c r="Q54" s="55">
        <v>127910</v>
      </c>
      <c r="R54" s="55">
        <v>0</v>
      </c>
      <c r="S54" s="90">
        <f t="shared" si="0"/>
        <v>0</v>
      </c>
      <c r="T54" s="89">
        <v>46204</v>
      </c>
      <c r="U54" s="14"/>
      <c r="V54" s="105" t="s">
        <v>2375</v>
      </c>
      <c r="W54" s="105" t="str">
        <f>VLOOKUP(C54,'Status oficina'!$A$2:$C$208,3,FALSE)</f>
        <v>Activa</v>
      </c>
    </row>
    <row r="55" spans="1:23" ht="13.5" customHeight="1" x14ac:dyDescent="0.25">
      <c r="A55" s="14" t="s">
        <v>939</v>
      </c>
      <c r="B55" s="14" t="s">
        <v>966</v>
      </c>
      <c r="C55" s="19">
        <v>9630</v>
      </c>
      <c r="D55" s="14" t="s">
        <v>968</v>
      </c>
      <c r="E55" s="14" t="s">
        <v>413</v>
      </c>
      <c r="F55" s="14" t="s">
        <v>1396</v>
      </c>
      <c r="G55" s="14" t="s">
        <v>127</v>
      </c>
      <c r="H55" s="55">
        <v>139609</v>
      </c>
      <c r="I55" s="55">
        <v>139787</v>
      </c>
      <c r="J55" s="55">
        <v>178</v>
      </c>
      <c r="K55" s="55">
        <v>140162</v>
      </c>
      <c r="L55" s="55">
        <v>375</v>
      </c>
      <c r="M55" s="55">
        <v>140380</v>
      </c>
      <c r="N55" s="55">
        <v>218</v>
      </c>
      <c r="O55" s="55">
        <v>140663</v>
      </c>
      <c r="P55" s="55">
        <v>283</v>
      </c>
      <c r="Q55" s="55">
        <v>140889</v>
      </c>
      <c r="R55" s="55">
        <v>226</v>
      </c>
      <c r="S55" s="90">
        <f t="shared" si="0"/>
        <v>1280</v>
      </c>
      <c r="T55" s="89">
        <v>46204</v>
      </c>
      <c r="U55" s="14"/>
      <c r="V55" s="105" t="s">
        <v>2375</v>
      </c>
      <c r="W55" s="105" t="str">
        <f>VLOOKUP(C55,'Status oficina'!$A$2:$C$208,3,FALSE)</f>
        <v>Activa</v>
      </c>
    </row>
    <row r="56" spans="1:23" ht="13.5" customHeight="1" x14ac:dyDescent="0.25">
      <c r="A56" s="53" t="s">
        <v>2441</v>
      </c>
      <c r="B56" s="14" t="s">
        <v>645</v>
      </c>
      <c r="C56" s="19">
        <v>9272</v>
      </c>
      <c r="D56" s="14" t="s">
        <v>646</v>
      </c>
      <c r="E56" s="14" t="s">
        <v>413</v>
      </c>
      <c r="F56" s="14" t="s">
        <v>1203</v>
      </c>
      <c r="G56" s="14" t="s">
        <v>139</v>
      </c>
      <c r="H56" s="55">
        <v>289553</v>
      </c>
      <c r="I56" s="55">
        <v>289553</v>
      </c>
      <c r="J56" s="55">
        <v>0</v>
      </c>
      <c r="K56" s="55">
        <v>289553</v>
      </c>
      <c r="L56" s="55">
        <v>0</v>
      </c>
      <c r="M56" s="55">
        <v>289553</v>
      </c>
      <c r="N56" s="55">
        <v>0</v>
      </c>
      <c r="O56" s="55">
        <v>289553</v>
      </c>
      <c r="P56" s="55">
        <v>0</v>
      </c>
      <c r="Q56" s="55">
        <v>289553</v>
      </c>
      <c r="R56" s="55">
        <v>0</v>
      </c>
      <c r="S56" s="90">
        <f t="shared" si="0"/>
        <v>0</v>
      </c>
      <c r="T56" s="89">
        <v>46204</v>
      </c>
      <c r="U56" s="14" t="s">
        <v>2389</v>
      </c>
      <c r="V56" s="105" t="s">
        <v>2374</v>
      </c>
      <c r="W56" s="105" t="str">
        <f>VLOOKUP(C56,'Status oficina'!$A$2:$C$208,3,FALSE)</f>
        <v>Activa</v>
      </c>
    </row>
    <row r="57" spans="1:23" ht="13.5" customHeight="1" x14ac:dyDescent="0.25">
      <c r="A57" s="14" t="s">
        <v>939</v>
      </c>
      <c r="B57" s="14" t="s">
        <v>992</v>
      </c>
      <c r="C57" s="120">
        <v>9610</v>
      </c>
      <c r="D57" s="14" t="s">
        <v>994</v>
      </c>
      <c r="E57" s="14" t="s">
        <v>413</v>
      </c>
      <c r="F57" s="14" t="s">
        <v>1427</v>
      </c>
      <c r="G57" s="14" t="s">
        <v>226</v>
      </c>
      <c r="H57" s="55">
        <v>337640</v>
      </c>
      <c r="I57" s="55">
        <v>338330</v>
      </c>
      <c r="J57" s="55">
        <v>690</v>
      </c>
      <c r="K57" s="55">
        <v>339793</v>
      </c>
      <c r="L57" s="55">
        <v>1463</v>
      </c>
      <c r="M57" s="55">
        <v>340867</v>
      </c>
      <c r="N57" s="55">
        <v>1074</v>
      </c>
      <c r="O57" s="55">
        <v>341571</v>
      </c>
      <c r="P57" s="55">
        <v>704</v>
      </c>
      <c r="Q57" s="55">
        <v>342794</v>
      </c>
      <c r="R57" s="55">
        <v>1223</v>
      </c>
      <c r="S57" s="90">
        <f t="shared" si="0"/>
        <v>5154</v>
      </c>
      <c r="T57" s="89">
        <v>46204</v>
      </c>
      <c r="U57" s="14"/>
      <c r="V57" s="105" t="s">
        <v>2375</v>
      </c>
      <c r="W57" s="105" t="str">
        <f>VLOOKUP(C57,'Status oficina'!$A$2:$C$208,3,FALSE)</f>
        <v>Activa</v>
      </c>
    </row>
    <row r="58" spans="1:23" ht="13.5" customHeight="1" x14ac:dyDescent="0.25">
      <c r="A58" s="53" t="s">
        <v>2441</v>
      </c>
      <c r="B58" s="14" t="s">
        <v>752</v>
      </c>
      <c r="C58" s="120">
        <v>9299</v>
      </c>
      <c r="D58" s="14" t="s">
        <v>2432</v>
      </c>
      <c r="E58" s="14" t="s">
        <v>413</v>
      </c>
      <c r="F58" s="14" t="s">
        <v>754</v>
      </c>
      <c r="G58" s="14"/>
      <c r="H58" s="55">
        <v>121368</v>
      </c>
      <c r="I58" s="55">
        <v>121368</v>
      </c>
      <c r="J58" s="55">
        <v>0</v>
      </c>
      <c r="K58" s="55">
        <v>121368</v>
      </c>
      <c r="L58" s="55">
        <v>0</v>
      </c>
      <c r="M58" s="55">
        <v>121368</v>
      </c>
      <c r="N58" s="55">
        <v>0</v>
      </c>
      <c r="O58" s="55">
        <v>121368</v>
      </c>
      <c r="P58" s="55">
        <v>0</v>
      </c>
      <c r="Q58" s="55">
        <v>121368</v>
      </c>
      <c r="R58" s="55">
        <v>0</v>
      </c>
      <c r="S58" s="90">
        <f t="shared" si="0"/>
        <v>0</v>
      </c>
      <c r="T58" s="89">
        <v>46204</v>
      </c>
      <c r="U58" s="14" t="s">
        <v>2486</v>
      </c>
      <c r="V58" s="105" t="s">
        <v>2374</v>
      </c>
      <c r="W58" s="105" t="str">
        <f>VLOOKUP(C58,'Status oficina'!$A$2:$C$208,3,FALSE)</f>
        <v>Activa</v>
      </c>
    </row>
    <row r="59" spans="1:23" ht="13.5" customHeight="1" x14ac:dyDescent="0.25">
      <c r="A59" s="14" t="s">
        <v>2442</v>
      </c>
      <c r="B59" s="14" t="s">
        <v>780</v>
      </c>
      <c r="C59" s="19">
        <v>9282</v>
      </c>
      <c r="D59" s="14" t="s">
        <v>783</v>
      </c>
      <c r="E59" s="14" t="s">
        <v>413</v>
      </c>
      <c r="F59" s="14" t="s">
        <v>1284</v>
      </c>
      <c r="G59" s="14" t="s">
        <v>316</v>
      </c>
      <c r="H59" s="55">
        <v>256868</v>
      </c>
      <c r="I59" s="55">
        <v>256868</v>
      </c>
      <c r="J59" s="55">
        <v>0</v>
      </c>
      <c r="K59" s="55">
        <v>256868</v>
      </c>
      <c r="L59" s="55">
        <v>0</v>
      </c>
      <c r="M59" s="55">
        <v>256868</v>
      </c>
      <c r="N59" s="55">
        <v>0</v>
      </c>
      <c r="O59" s="55">
        <v>256868</v>
      </c>
      <c r="P59" s="55">
        <v>0</v>
      </c>
      <c r="Q59" s="55">
        <v>256868</v>
      </c>
      <c r="R59" s="55">
        <v>0</v>
      </c>
      <c r="S59" s="90">
        <f t="shared" si="0"/>
        <v>0</v>
      </c>
      <c r="T59" s="89">
        <v>46204</v>
      </c>
      <c r="U59" s="14" t="s">
        <v>2125</v>
      </c>
      <c r="V59" s="105" t="s">
        <v>2374</v>
      </c>
      <c r="W59" s="105" t="str">
        <f>VLOOKUP(C59,'Status oficina'!$A$2:$C$208,3,FALSE)</f>
        <v>Activa</v>
      </c>
    </row>
    <row r="60" spans="1:23" ht="13.5" customHeight="1" x14ac:dyDescent="0.25">
      <c r="A60" s="14" t="s">
        <v>939</v>
      </c>
      <c r="B60" s="14" t="s">
        <v>980</v>
      </c>
      <c r="C60" s="120">
        <v>9655</v>
      </c>
      <c r="D60" s="54" t="s">
        <v>989</v>
      </c>
      <c r="E60" s="54" t="s">
        <v>413</v>
      </c>
      <c r="F60" s="54" t="s">
        <v>1422</v>
      </c>
      <c r="G60" s="54" t="s">
        <v>393</v>
      </c>
      <c r="H60" s="55">
        <v>410865</v>
      </c>
      <c r="I60" s="55">
        <v>411178</v>
      </c>
      <c r="J60" s="55">
        <v>313</v>
      </c>
      <c r="K60" s="55">
        <v>411469</v>
      </c>
      <c r="L60" s="55">
        <v>291</v>
      </c>
      <c r="M60" s="55">
        <v>411737</v>
      </c>
      <c r="N60" s="55">
        <v>268</v>
      </c>
      <c r="O60" s="55">
        <v>411836</v>
      </c>
      <c r="P60" s="55">
        <v>99</v>
      </c>
      <c r="Q60" s="55">
        <v>411987</v>
      </c>
      <c r="R60" s="55">
        <v>151</v>
      </c>
      <c r="S60" s="90">
        <f t="shared" si="0"/>
        <v>1122</v>
      </c>
      <c r="T60" s="89">
        <v>46204</v>
      </c>
      <c r="U60" s="14"/>
      <c r="V60" s="108" t="s">
        <v>2375</v>
      </c>
      <c r="W60" s="105" t="str">
        <f>VLOOKUP(C60,'Status oficina'!$A$2:$C$208,3,FALSE)</f>
        <v>Activa</v>
      </c>
    </row>
    <row r="61" spans="1:23" ht="13.5" customHeight="1" x14ac:dyDescent="0.25">
      <c r="A61" s="14" t="s">
        <v>2442</v>
      </c>
      <c r="B61" s="14" t="s">
        <v>780</v>
      </c>
      <c r="C61" s="19">
        <v>9282</v>
      </c>
      <c r="D61" s="14" t="s">
        <v>782</v>
      </c>
      <c r="E61" s="14" t="s">
        <v>417</v>
      </c>
      <c r="F61" s="14" t="s">
        <v>1283</v>
      </c>
      <c r="G61" s="14"/>
      <c r="H61" s="55">
        <v>483177</v>
      </c>
      <c r="I61" s="55">
        <v>483177</v>
      </c>
      <c r="J61" s="55">
        <v>0</v>
      </c>
      <c r="K61" s="55">
        <v>483177</v>
      </c>
      <c r="L61" s="55">
        <v>0</v>
      </c>
      <c r="M61" s="55">
        <v>483177</v>
      </c>
      <c r="N61" s="55">
        <v>0</v>
      </c>
      <c r="O61" s="55">
        <v>483177</v>
      </c>
      <c r="P61" s="55">
        <v>0</v>
      </c>
      <c r="Q61" s="55">
        <v>483177</v>
      </c>
      <c r="R61" s="55">
        <v>0</v>
      </c>
      <c r="S61" s="90">
        <f t="shared" si="0"/>
        <v>0</v>
      </c>
      <c r="T61" s="89">
        <v>46204</v>
      </c>
      <c r="U61" s="14" t="s">
        <v>2103</v>
      </c>
      <c r="V61" s="105" t="s">
        <v>2374</v>
      </c>
      <c r="W61" s="105" t="str">
        <f>VLOOKUP(C61,'Status oficina'!$A$2:$C$208,3,FALSE)</f>
        <v>Activa</v>
      </c>
    </row>
    <row r="62" spans="1:23" ht="13.5" customHeight="1" x14ac:dyDescent="0.25">
      <c r="A62" s="53" t="s">
        <v>2441</v>
      </c>
      <c r="B62" s="14" t="s">
        <v>765</v>
      </c>
      <c r="C62" s="120">
        <v>9929</v>
      </c>
      <c r="D62" s="14" t="s">
        <v>766</v>
      </c>
      <c r="E62" s="14" t="s">
        <v>413</v>
      </c>
      <c r="F62" s="14" t="s">
        <v>1273</v>
      </c>
      <c r="G62" s="14" t="s">
        <v>323</v>
      </c>
      <c r="H62" s="55">
        <v>302867</v>
      </c>
      <c r="I62" s="55">
        <v>302999</v>
      </c>
      <c r="J62" s="55">
        <v>132</v>
      </c>
      <c r="K62" s="55">
        <v>303144</v>
      </c>
      <c r="L62" s="55">
        <v>145</v>
      </c>
      <c r="M62" s="55">
        <v>303440</v>
      </c>
      <c r="N62" s="55">
        <v>296</v>
      </c>
      <c r="O62" s="55">
        <v>303562</v>
      </c>
      <c r="P62" s="55">
        <v>122</v>
      </c>
      <c r="Q62" s="55">
        <v>303907</v>
      </c>
      <c r="R62" s="55">
        <v>345</v>
      </c>
      <c r="S62" s="90">
        <f t="shared" si="0"/>
        <v>1040</v>
      </c>
      <c r="T62" s="89">
        <v>46204</v>
      </c>
      <c r="U62" s="14"/>
      <c r="V62" s="105" t="s">
        <v>2375</v>
      </c>
      <c r="W62" s="105" t="str">
        <f>VLOOKUP(C62,'Status oficina'!$A$2:$C$208,3,FALSE)</f>
        <v>Activa</v>
      </c>
    </row>
    <row r="63" spans="1:23" ht="13.5" customHeight="1" x14ac:dyDescent="0.25">
      <c r="A63" s="14" t="s">
        <v>2442</v>
      </c>
      <c r="B63" s="14" t="s">
        <v>845</v>
      </c>
      <c r="C63" s="120">
        <v>9283</v>
      </c>
      <c r="D63" s="14" t="s">
        <v>846</v>
      </c>
      <c r="E63" s="14" t="s">
        <v>417</v>
      </c>
      <c r="F63" s="14" t="s">
        <v>1325</v>
      </c>
      <c r="G63" s="14" t="s">
        <v>234</v>
      </c>
      <c r="H63" s="55">
        <v>450762</v>
      </c>
      <c r="I63" s="55">
        <v>450762</v>
      </c>
      <c r="J63" s="55">
        <v>0</v>
      </c>
      <c r="K63" s="55">
        <v>450762</v>
      </c>
      <c r="L63" s="55">
        <v>0</v>
      </c>
      <c r="M63" s="55">
        <v>450762</v>
      </c>
      <c r="N63" s="55">
        <v>0</v>
      </c>
      <c r="O63" s="55">
        <v>450762</v>
      </c>
      <c r="P63" s="55">
        <v>0</v>
      </c>
      <c r="Q63" s="55">
        <v>450762</v>
      </c>
      <c r="R63" s="55">
        <v>0</v>
      </c>
      <c r="S63" s="90">
        <f t="shared" si="0"/>
        <v>0</v>
      </c>
      <c r="T63" s="89">
        <v>46204</v>
      </c>
      <c r="U63" s="14"/>
      <c r="V63" s="105" t="s">
        <v>2231</v>
      </c>
      <c r="W63" s="105" t="str">
        <f>VLOOKUP(C63,'Status oficina'!$A$2:$C$208,3,FALSE)</f>
        <v>Cierre temporal</v>
      </c>
    </row>
    <row r="64" spans="1:23" ht="13.5" customHeight="1" x14ac:dyDescent="0.25">
      <c r="A64" s="14" t="s">
        <v>2442</v>
      </c>
      <c r="B64" s="14" t="s">
        <v>845</v>
      </c>
      <c r="C64" s="120">
        <v>9283</v>
      </c>
      <c r="D64" s="14" t="s">
        <v>847</v>
      </c>
      <c r="E64" s="14" t="s">
        <v>413</v>
      </c>
      <c r="F64" s="14" t="s">
        <v>1326</v>
      </c>
      <c r="G64" s="14" t="s">
        <v>383</v>
      </c>
      <c r="H64" s="55">
        <v>95129</v>
      </c>
      <c r="I64" s="55">
        <v>95129</v>
      </c>
      <c r="J64" s="55">
        <v>0</v>
      </c>
      <c r="K64" s="55">
        <v>95129</v>
      </c>
      <c r="L64" s="55">
        <v>0</v>
      </c>
      <c r="M64" s="55">
        <v>95129</v>
      </c>
      <c r="N64" s="55">
        <v>0</v>
      </c>
      <c r="O64" s="55">
        <v>95129</v>
      </c>
      <c r="P64" s="55">
        <v>0</v>
      </c>
      <c r="Q64" s="55">
        <v>95129</v>
      </c>
      <c r="R64" s="55">
        <v>0</v>
      </c>
      <c r="S64" s="90">
        <f t="shared" si="0"/>
        <v>0</v>
      </c>
      <c r="T64" s="89">
        <v>46204</v>
      </c>
      <c r="U64" s="14"/>
      <c r="V64" s="105" t="s">
        <v>2231</v>
      </c>
      <c r="W64" s="105" t="str">
        <f>VLOOKUP(C64,'Status oficina'!$A$2:$C$208,3,FALSE)</f>
        <v>Cierre temporal</v>
      </c>
    </row>
    <row r="65" spans="1:23" ht="13.5" customHeight="1" x14ac:dyDescent="0.25">
      <c r="A65" s="14" t="s">
        <v>2442</v>
      </c>
      <c r="B65" s="14" t="s">
        <v>832</v>
      </c>
      <c r="C65" s="120">
        <v>9284</v>
      </c>
      <c r="D65" s="14" t="s">
        <v>833</v>
      </c>
      <c r="E65" s="14" t="s">
        <v>413</v>
      </c>
      <c r="F65" s="14" t="s">
        <v>1314</v>
      </c>
      <c r="G65" s="14"/>
      <c r="H65" s="55">
        <v>159175</v>
      </c>
      <c r="I65" s="55">
        <v>159175</v>
      </c>
      <c r="J65" s="55">
        <v>0</v>
      </c>
      <c r="K65" s="55">
        <v>159175</v>
      </c>
      <c r="L65" s="55">
        <v>0</v>
      </c>
      <c r="M65" s="55">
        <v>159175</v>
      </c>
      <c r="N65" s="55">
        <v>0</v>
      </c>
      <c r="O65" s="55">
        <v>159175</v>
      </c>
      <c r="P65" s="55">
        <v>0</v>
      </c>
      <c r="Q65" s="55">
        <v>159175</v>
      </c>
      <c r="R65" s="55">
        <v>0</v>
      </c>
      <c r="S65" s="90">
        <f t="shared" si="0"/>
        <v>0</v>
      </c>
      <c r="T65" s="89">
        <v>46204</v>
      </c>
      <c r="U65" s="8" t="s">
        <v>2381</v>
      </c>
      <c r="V65" s="105" t="s">
        <v>2374</v>
      </c>
      <c r="W65" s="105" t="str">
        <f>VLOOKUP(C65,'Status oficina'!$A$2:$C$208,3,FALSE)</f>
        <v>Cierre temporal</v>
      </c>
    </row>
    <row r="66" spans="1:23" ht="13.5" customHeight="1" x14ac:dyDescent="0.25">
      <c r="A66" s="14" t="s">
        <v>2442</v>
      </c>
      <c r="B66" s="14" t="s">
        <v>832</v>
      </c>
      <c r="C66" s="120">
        <v>9284</v>
      </c>
      <c r="D66" s="14" t="s">
        <v>833</v>
      </c>
      <c r="E66" s="14" t="s">
        <v>417</v>
      </c>
      <c r="F66" s="14" t="s">
        <v>834</v>
      </c>
      <c r="G66" s="14"/>
      <c r="H66" s="55">
        <v>158235</v>
      </c>
      <c r="I66" s="55">
        <v>158235</v>
      </c>
      <c r="J66" s="55">
        <v>0</v>
      </c>
      <c r="K66" s="55">
        <v>158235</v>
      </c>
      <c r="L66" s="55">
        <v>0</v>
      </c>
      <c r="M66" s="55">
        <v>158235</v>
      </c>
      <c r="N66" s="55">
        <v>0</v>
      </c>
      <c r="O66" s="55">
        <v>158235</v>
      </c>
      <c r="P66" s="55">
        <v>0</v>
      </c>
      <c r="Q66" s="55">
        <v>158235</v>
      </c>
      <c r="R66" s="55">
        <v>0</v>
      </c>
      <c r="S66" s="90">
        <f t="shared" si="0"/>
        <v>0</v>
      </c>
      <c r="T66" s="89">
        <v>46204</v>
      </c>
      <c r="U66" s="14" t="s">
        <v>2391</v>
      </c>
      <c r="V66" s="105" t="s">
        <v>2374</v>
      </c>
      <c r="W66" s="105" t="str">
        <f>VLOOKUP(C66,'Status oficina'!$A$2:$C$208,3,FALSE)</f>
        <v>Cierre temporal</v>
      </c>
    </row>
    <row r="67" spans="1:23" ht="13.5" customHeight="1" x14ac:dyDescent="0.25">
      <c r="A67" s="14" t="s">
        <v>939</v>
      </c>
      <c r="B67" s="14" t="s">
        <v>962</v>
      </c>
      <c r="C67" s="19">
        <v>9570</v>
      </c>
      <c r="D67" s="14" t="s">
        <v>2433</v>
      </c>
      <c r="E67" s="14" t="s">
        <v>413</v>
      </c>
      <c r="F67" s="14" t="s">
        <v>1404</v>
      </c>
      <c r="G67" s="14" t="s">
        <v>176</v>
      </c>
      <c r="H67" s="55">
        <v>165926</v>
      </c>
      <c r="I67" s="55">
        <v>166041</v>
      </c>
      <c r="J67" s="55">
        <v>115</v>
      </c>
      <c r="K67" s="55">
        <v>166468</v>
      </c>
      <c r="L67" s="55">
        <v>427</v>
      </c>
      <c r="M67" s="55">
        <v>166955</v>
      </c>
      <c r="N67" s="55">
        <v>487</v>
      </c>
      <c r="O67" s="55">
        <v>167325</v>
      </c>
      <c r="P67" s="55">
        <v>370</v>
      </c>
      <c r="Q67" s="55">
        <v>167743</v>
      </c>
      <c r="R67" s="55">
        <v>418</v>
      </c>
      <c r="S67" s="90">
        <f t="shared" ref="S67:S130" si="1">R67+P67+N67+L67+J67</f>
        <v>1817</v>
      </c>
      <c r="T67" s="89">
        <v>46204</v>
      </c>
      <c r="U67" s="14"/>
      <c r="V67" s="105" t="s">
        <v>2375</v>
      </c>
      <c r="W67" s="105" t="str">
        <f>VLOOKUP(C67,'Status oficina'!$A$2:$C$208,3,FALSE)</f>
        <v>Activa</v>
      </c>
    </row>
    <row r="68" spans="1:23" ht="13.5" customHeight="1" x14ac:dyDescent="0.25">
      <c r="A68" s="14" t="s">
        <v>2442</v>
      </c>
      <c r="B68" s="14" t="s">
        <v>830</v>
      </c>
      <c r="C68" s="120">
        <v>9228</v>
      </c>
      <c r="D68" s="13" t="s">
        <v>2190</v>
      </c>
      <c r="E68" s="14" t="s">
        <v>413</v>
      </c>
      <c r="F68" s="14" t="s">
        <v>1318</v>
      </c>
      <c r="G68" s="14" t="s">
        <v>283</v>
      </c>
      <c r="H68" s="55">
        <v>203408</v>
      </c>
      <c r="I68" s="55">
        <v>203797</v>
      </c>
      <c r="J68" s="55">
        <v>389</v>
      </c>
      <c r="K68" s="55">
        <v>203995</v>
      </c>
      <c r="L68" s="55">
        <v>198</v>
      </c>
      <c r="M68" s="55">
        <v>204209</v>
      </c>
      <c r="N68" s="55">
        <v>214</v>
      </c>
      <c r="O68" s="55">
        <v>204410</v>
      </c>
      <c r="P68" s="55">
        <v>201</v>
      </c>
      <c r="Q68" s="55">
        <v>204665</v>
      </c>
      <c r="R68" s="55">
        <v>255</v>
      </c>
      <c r="S68" s="90">
        <f t="shared" si="1"/>
        <v>1257</v>
      </c>
      <c r="T68" s="89">
        <v>46204</v>
      </c>
      <c r="U68" s="57"/>
      <c r="V68" s="105" t="s">
        <v>2375</v>
      </c>
      <c r="W68" s="105" t="str">
        <f>VLOOKUP(C68,'Status oficina'!$A$2:$C$208,3,FALSE)</f>
        <v>Activa</v>
      </c>
    </row>
    <row r="69" spans="1:23" ht="13.5" customHeight="1" x14ac:dyDescent="0.25">
      <c r="A69" s="53" t="s">
        <v>2441</v>
      </c>
      <c r="B69" s="14" t="s">
        <v>657</v>
      </c>
      <c r="C69" s="19">
        <v>9914</v>
      </c>
      <c r="D69" s="14" t="s">
        <v>658</v>
      </c>
      <c r="E69" s="14" t="s">
        <v>413</v>
      </c>
      <c r="F69" s="14" t="s">
        <v>1260</v>
      </c>
      <c r="G69" s="14" t="s">
        <v>253</v>
      </c>
      <c r="H69" s="55">
        <v>111693</v>
      </c>
      <c r="I69" s="55">
        <v>111876</v>
      </c>
      <c r="J69" s="55">
        <v>183</v>
      </c>
      <c r="K69" s="55">
        <v>112635</v>
      </c>
      <c r="L69" s="55">
        <v>759</v>
      </c>
      <c r="M69" s="55">
        <v>113187</v>
      </c>
      <c r="N69" s="55">
        <v>552</v>
      </c>
      <c r="O69" s="55">
        <v>113505</v>
      </c>
      <c r="P69" s="55">
        <v>318</v>
      </c>
      <c r="Q69" s="55">
        <v>113982</v>
      </c>
      <c r="R69" s="55">
        <v>477</v>
      </c>
      <c r="S69" s="90">
        <f t="shared" si="1"/>
        <v>2289</v>
      </c>
      <c r="T69" s="89">
        <v>46204</v>
      </c>
      <c r="U69" s="14"/>
      <c r="V69" s="105" t="s">
        <v>2375</v>
      </c>
      <c r="W69" s="105" t="str">
        <f>VLOOKUP(C69,'Status oficina'!$A$2:$C$208,3,FALSE)</f>
        <v>Activa</v>
      </c>
    </row>
    <row r="70" spans="1:23" ht="13.5" customHeight="1" x14ac:dyDescent="0.25">
      <c r="A70" s="53" t="s">
        <v>2441</v>
      </c>
      <c r="B70" s="14" t="s">
        <v>714</v>
      </c>
      <c r="C70" s="19">
        <v>9226</v>
      </c>
      <c r="D70" s="14" t="s">
        <v>716</v>
      </c>
      <c r="E70" s="14" t="s">
        <v>413</v>
      </c>
      <c r="F70" s="14" t="s">
        <v>1242</v>
      </c>
      <c r="G70" s="14" t="s">
        <v>290</v>
      </c>
      <c r="H70" s="55">
        <v>128263</v>
      </c>
      <c r="I70" s="55">
        <v>128263</v>
      </c>
      <c r="J70" s="55">
        <v>0</v>
      </c>
      <c r="K70" s="55">
        <v>128263</v>
      </c>
      <c r="L70" s="55">
        <v>0</v>
      </c>
      <c r="M70" s="55">
        <v>128263</v>
      </c>
      <c r="N70" s="55">
        <v>0</v>
      </c>
      <c r="O70" s="55">
        <v>128263</v>
      </c>
      <c r="P70" s="55">
        <v>0</v>
      </c>
      <c r="Q70" s="55">
        <v>128263</v>
      </c>
      <c r="R70" s="55">
        <v>0</v>
      </c>
      <c r="S70" s="90">
        <f t="shared" si="1"/>
        <v>0</v>
      </c>
      <c r="T70" s="89">
        <v>46204</v>
      </c>
      <c r="U70" s="14"/>
      <c r="V70" s="105" t="s">
        <v>2375</v>
      </c>
      <c r="W70" s="105" t="str">
        <f>VLOOKUP(C70,'Status oficina'!$A$2:$C$208,3,FALSE)</f>
        <v>Activa</v>
      </c>
    </row>
    <row r="71" spans="1:23" ht="13.5" customHeight="1" x14ac:dyDescent="0.25">
      <c r="A71" s="14" t="s">
        <v>868</v>
      </c>
      <c r="B71" s="14" t="s">
        <v>876</v>
      </c>
      <c r="C71" s="19">
        <v>9818</v>
      </c>
      <c r="D71" s="14" t="s">
        <v>2411</v>
      </c>
      <c r="E71" s="14" t="s">
        <v>413</v>
      </c>
      <c r="F71" s="14" t="s">
        <v>1339</v>
      </c>
      <c r="G71" s="14" t="s">
        <v>2412</v>
      </c>
      <c r="H71" s="55">
        <v>165391</v>
      </c>
      <c r="I71" s="55">
        <v>165440</v>
      </c>
      <c r="J71" s="55">
        <v>49</v>
      </c>
      <c r="K71" s="55">
        <v>165562</v>
      </c>
      <c r="L71" s="55">
        <v>122</v>
      </c>
      <c r="M71" s="55">
        <v>165629</v>
      </c>
      <c r="N71" s="55">
        <v>67</v>
      </c>
      <c r="O71" s="55">
        <v>165688</v>
      </c>
      <c r="P71" s="55">
        <v>59</v>
      </c>
      <c r="Q71" s="55">
        <v>165968</v>
      </c>
      <c r="R71" s="55">
        <v>280</v>
      </c>
      <c r="S71" s="90">
        <f t="shared" si="1"/>
        <v>577</v>
      </c>
      <c r="T71" s="89">
        <v>46204</v>
      </c>
      <c r="U71" s="14"/>
      <c r="V71" s="105" t="s">
        <v>2375</v>
      </c>
      <c r="W71" s="105" t="s">
        <v>2228</v>
      </c>
    </row>
    <row r="72" spans="1:23" ht="13.5" customHeight="1" x14ac:dyDescent="0.25">
      <c r="A72" s="14" t="s">
        <v>2442</v>
      </c>
      <c r="B72" s="15" t="s">
        <v>2066</v>
      </c>
      <c r="C72" s="19">
        <v>9221</v>
      </c>
      <c r="D72" s="14" t="s">
        <v>771</v>
      </c>
      <c r="E72" s="15" t="s">
        <v>413</v>
      </c>
      <c r="F72" s="14" t="s">
        <v>1276</v>
      </c>
      <c r="G72" s="1" t="s">
        <v>2187</v>
      </c>
      <c r="H72" s="55">
        <v>88547</v>
      </c>
      <c r="I72" s="55">
        <v>88547</v>
      </c>
      <c r="J72" s="55">
        <v>0</v>
      </c>
      <c r="K72" s="55">
        <v>88547</v>
      </c>
      <c r="L72" s="55">
        <v>0</v>
      </c>
      <c r="M72" s="55">
        <v>88547</v>
      </c>
      <c r="N72" s="55">
        <v>0</v>
      </c>
      <c r="O72" s="55">
        <v>88547</v>
      </c>
      <c r="P72" s="55">
        <v>0</v>
      </c>
      <c r="Q72" s="55">
        <v>88547</v>
      </c>
      <c r="R72" s="55">
        <v>0</v>
      </c>
      <c r="S72" s="90">
        <f t="shared" si="1"/>
        <v>0</v>
      </c>
      <c r="T72" s="89">
        <v>46204</v>
      </c>
      <c r="U72" s="14" t="s">
        <v>2188</v>
      </c>
      <c r="V72" s="105" t="s">
        <v>2375</v>
      </c>
      <c r="W72" s="105" t="str">
        <f>VLOOKUP(C72,'Status oficina'!$A$2:$C$208,3,FALSE)</f>
        <v>Cierre definitivo</v>
      </c>
    </row>
    <row r="73" spans="1:23" ht="13.5" customHeight="1" x14ac:dyDescent="0.25">
      <c r="A73" s="14" t="s">
        <v>2082</v>
      </c>
      <c r="B73" s="14" t="s">
        <v>547</v>
      </c>
      <c r="C73" s="120">
        <v>9311</v>
      </c>
      <c r="D73" s="54" t="s">
        <v>548</v>
      </c>
      <c r="E73" s="54" t="s">
        <v>413</v>
      </c>
      <c r="F73" s="54" t="s">
        <v>549</v>
      </c>
      <c r="G73" s="54" t="s">
        <v>340</v>
      </c>
      <c r="H73" s="55">
        <v>273430</v>
      </c>
      <c r="I73" s="55">
        <v>273695</v>
      </c>
      <c r="J73" s="55">
        <v>265</v>
      </c>
      <c r="K73" s="55">
        <v>274223</v>
      </c>
      <c r="L73" s="55">
        <v>528</v>
      </c>
      <c r="M73" s="55">
        <v>274223</v>
      </c>
      <c r="N73" s="55">
        <v>0</v>
      </c>
      <c r="O73" s="55">
        <v>274223</v>
      </c>
      <c r="P73" s="55">
        <v>0</v>
      </c>
      <c r="Q73" s="55">
        <v>274463</v>
      </c>
      <c r="R73" s="55">
        <v>240</v>
      </c>
      <c r="S73" s="90">
        <f t="shared" si="1"/>
        <v>1033</v>
      </c>
      <c r="T73" s="89">
        <v>46204</v>
      </c>
      <c r="U73" s="14"/>
      <c r="V73" s="105" t="s">
        <v>2375</v>
      </c>
      <c r="W73" s="105" t="str">
        <f>VLOOKUP(C73,'Status oficina'!$A$2:$C$208,3,FALSE)</f>
        <v>Activa</v>
      </c>
    </row>
    <row r="74" spans="1:23" ht="13.5" customHeight="1" x14ac:dyDescent="0.25">
      <c r="A74" s="14" t="s">
        <v>2442</v>
      </c>
      <c r="B74" s="14" t="s">
        <v>861</v>
      </c>
      <c r="C74" s="120">
        <v>9218</v>
      </c>
      <c r="D74" s="14" t="s">
        <v>862</v>
      </c>
      <c r="E74" s="14" t="s">
        <v>413</v>
      </c>
      <c r="F74" s="14" t="s">
        <v>1334</v>
      </c>
      <c r="G74" s="14" t="s">
        <v>191</v>
      </c>
      <c r="H74" s="55">
        <v>216603</v>
      </c>
      <c r="I74" s="55">
        <v>216669</v>
      </c>
      <c r="J74" s="55">
        <v>66</v>
      </c>
      <c r="K74" s="55">
        <v>216695</v>
      </c>
      <c r="L74" s="55">
        <v>26</v>
      </c>
      <c r="M74" s="55">
        <v>217026</v>
      </c>
      <c r="N74" s="55">
        <v>331</v>
      </c>
      <c r="O74" s="55">
        <v>217273</v>
      </c>
      <c r="P74" s="55">
        <v>247</v>
      </c>
      <c r="Q74" s="55">
        <v>217684</v>
      </c>
      <c r="R74" s="55">
        <v>411</v>
      </c>
      <c r="S74" s="90">
        <f t="shared" si="1"/>
        <v>1081</v>
      </c>
      <c r="T74" s="89">
        <v>46204</v>
      </c>
      <c r="U74" s="14"/>
      <c r="V74" s="105" t="s">
        <v>2375</v>
      </c>
      <c r="W74" s="105" t="str">
        <f>VLOOKUP(C74,'Status oficina'!$A$2:$C$208,3,FALSE)</f>
        <v>Activa</v>
      </c>
    </row>
    <row r="75" spans="1:23" ht="13.5" customHeight="1" x14ac:dyDescent="0.25">
      <c r="A75" s="14" t="s">
        <v>868</v>
      </c>
      <c r="B75" s="14" t="s">
        <v>931</v>
      </c>
      <c r="C75" s="120">
        <v>9827</v>
      </c>
      <c r="D75" s="14" t="s">
        <v>2434</v>
      </c>
      <c r="E75" s="14" t="s">
        <v>413</v>
      </c>
      <c r="F75" s="14" t="s">
        <v>1385</v>
      </c>
      <c r="G75" s="14" t="s">
        <v>28</v>
      </c>
      <c r="H75" s="55">
        <v>207839</v>
      </c>
      <c r="I75" s="55">
        <v>207866</v>
      </c>
      <c r="J75" s="55">
        <v>27</v>
      </c>
      <c r="K75" s="55">
        <v>207930</v>
      </c>
      <c r="L75" s="55">
        <v>64</v>
      </c>
      <c r="M75" s="55">
        <v>208182</v>
      </c>
      <c r="N75" s="55">
        <v>252</v>
      </c>
      <c r="O75" s="55">
        <v>208318</v>
      </c>
      <c r="P75" s="55">
        <v>136</v>
      </c>
      <c r="Q75" s="55">
        <v>208626</v>
      </c>
      <c r="R75" s="55">
        <v>308</v>
      </c>
      <c r="S75" s="90">
        <f t="shared" si="1"/>
        <v>787</v>
      </c>
      <c r="T75" s="89">
        <v>46204</v>
      </c>
      <c r="U75" s="14"/>
      <c r="V75" s="105" t="s">
        <v>2375</v>
      </c>
      <c r="W75" s="105" t="str">
        <f>VLOOKUP(C75,'Status oficina'!$A$2:$C$208,3,FALSE)</f>
        <v>Activa</v>
      </c>
    </row>
    <row r="76" spans="1:23" ht="13.5" customHeight="1" x14ac:dyDescent="0.25">
      <c r="A76" s="14" t="s">
        <v>2082</v>
      </c>
      <c r="B76" s="14" t="s">
        <v>538</v>
      </c>
      <c r="C76" s="120">
        <v>9397</v>
      </c>
      <c r="D76" s="54" t="s">
        <v>2494</v>
      </c>
      <c r="E76" s="54" t="s">
        <v>413</v>
      </c>
      <c r="F76" s="54" t="s">
        <v>1146</v>
      </c>
      <c r="G76" s="54" t="s">
        <v>266</v>
      </c>
      <c r="H76" s="55">
        <v>376374</v>
      </c>
      <c r="I76" s="55">
        <v>376417</v>
      </c>
      <c r="J76" s="55">
        <v>43</v>
      </c>
      <c r="K76" s="55">
        <v>376451</v>
      </c>
      <c r="L76" s="55">
        <v>34</v>
      </c>
      <c r="M76" s="55">
        <v>376517</v>
      </c>
      <c r="N76" s="55">
        <v>66</v>
      </c>
      <c r="O76" s="55">
        <v>376603</v>
      </c>
      <c r="P76" s="55">
        <v>86</v>
      </c>
      <c r="Q76" s="55">
        <v>376662</v>
      </c>
      <c r="R76" s="55">
        <v>59</v>
      </c>
      <c r="S76" s="90">
        <f t="shared" si="1"/>
        <v>288</v>
      </c>
      <c r="T76" s="89">
        <v>46204</v>
      </c>
      <c r="U76" s="14"/>
      <c r="V76" s="105" t="s">
        <v>2375</v>
      </c>
      <c r="W76" s="105" t="str">
        <f>VLOOKUP(C76,'Status oficina'!$A$2:$C$208,3,FALSE)</f>
        <v>Activa</v>
      </c>
    </row>
    <row r="77" spans="1:23" ht="13.5" customHeight="1" x14ac:dyDescent="0.25">
      <c r="A77" s="14" t="s">
        <v>2442</v>
      </c>
      <c r="B77" s="14" t="s">
        <v>842</v>
      </c>
      <c r="C77" s="120">
        <v>9238</v>
      </c>
      <c r="D77" s="14" t="s">
        <v>2218</v>
      </c>
      <c r="E77" s="14" t="s">
        <v>413</v>
      </c>
      <c r="F77" s="14" t="s">
        <v>1324</v>
      </c>
      <c r="G77" s="14" t="s">
        <v>72</v>
      </c>
      <c r="H77" s="55">
        <v>265292</v>
      </c>
      <c r="I77" s="55">
        <v>265388</v>
      </c>
      <c r="J77" s="55">
        <v>96</v>
      </c>
      <c r="K77" s="55">
        <v>265850</v>
      </c>
      <c r="L77" s="55">
        <v>462</v>
      </c>
      <c r="M77" s="55">
        <v>266128</v>
      </c>
      <c r="N77" s="55">
        <v>278</v>
      </c>
      <c r="O77" s="55">
        <v>266313</v>
      </c>
      <c r="P77" s="55">
        <v>185</v>
      </c>
      <c r="Q77" s="55">
        <v>266836</v>
      </c>
      <c r="R77" s="55">
        <v>523</v>
      </c>
      <c r="S77" s="90">
        <f t="shared" si="1"/>
        <v>1544</v>
      </c>
      <c r="T77" s="89">
        <v>46204</v>
      </c>
      <c r="U77" s="14"/>
      <c r="V77" s="105" t="s">
        <v>2375</v>
      </c>
      <c r="W77" s="105" t="str">
        <f>VLOOKUP(C77,'Status oficina'!$A$2:$C$208,3,FALSE)</f>
        <v>Activa</v>
      </c>
    </row>
    <row r="78" spans="1:23" ht="13.5" customHeight="1" x14ac:dyDescent="0.25">
      <c r="A78" s="14" t="s">
        <v>2442</v>
      </c>
      <c r="B78" s="14" t="s">
        <v>772</v>
      </c>
      <c r="C78" s="19">
        <v>9295</v>
      </c>
      <c r="D78" s="14" t="s">
        <v>773</v>
      </c>
      <c r="E78" s="14" t="s">
        <v>417</v>
      </c>
      <c r="F78" s="14" t="s">
        <v>1277</v>
      </c>
      <c r="G78" s="14" t="s">
        <v>232</v>
      </c>
      <c r="H78" s="55">
        <v>360557</v>
      </c>
      <c r="I78" s="55">
        <v>360557</v>
      </c>
      <c r="J78" s="55">
        <v>0</v>
      </c>
      <c r="K78" s="55">
        <v>360557</v>
      </c>
      <c r="L78" s="55">
        <v>0</v>
      </c>
      <c r="M78" s="55">
        <v>360557</v>
      </c>
      <c r="N78" s="55">
        <v>0</v>
      </c>
      <c r="O78" s="55">
        <v>360557</v>
      </c>
      <c r="P78" s="55">
        <v>0</v>
      </c>
      <c r="Q78" s="55">
        <v>360557</v>
      </c>
      <c r="R78" s="55">
        <v>0</v>
      </c>
      <c r="S78" s="90">
        <f t="shared" si="1"/>
        <v>0</v>
      </c>
      <c r="T78" s="89">
        <v>46204</v>
      </c>
      <c r="U78" s="14" t="s">
        <v>2151</v>
      </c>
      <c r="V78" s="105" t="s">
        <v>2238</v>
      </c>
      <c r="W78" s="105" t="str">
        <f>VLOOKUP(C78,'Status oficina'!$A$2:$C$208,3,FALSE)</f>
        <v>Cierre definitivo</v>
      </c>
    </row>
    <row r="79" spans="1:23" ht="13.5" customHeight="1" x14ac:dyDescent="0.25">
      <c r="A79" s="14" t="s">
        <v>2442</v>
      </c>
      <c r="B79" s="53" t="s">
        <v>772</v>
      </c>
      <c r="C79" s="19">
        <v>9295</v>
      </c>
      <c r="D79" s="53" t="s">
        <v>774</v>
      </c>
      <c r="E79" s="53" t="s">
        <v>413</v>
      </c>
      <c r="F79" s="53" t="s">
        <v>1278</v>
      </c>
      <c r="G79" s="53" t="s">
        <v>322</v>
      </c>
      <c r="H79" s="55">
        <v>79875</v>
      </c>
      <c r="I79" s="55">
        <v>79875</v>
      </c>
      <c r="J79" s="55">
        <v>0</v>
      </c>
      <c r="K79" s="55">
        <v>79875</v>
      </c>
      <c r="L79" s="55">
        <v>0</v>
      </c>
      <c r="M79" s="55">
        <v>79875</v>
      </c>
      <c r="N79" s="55">
        <v>0</v>
      </c>
      <c r="O79" s="55">
        <v>79875</v>
      </c>
      <c r="P79" s="55">
        <v>0</v>
      </c>
      <c r="Q79" s="55">
        <v>79875</v>
      </c>
      <c r="R79" s="55">
        <v>0</v>
      </c>
      <c r="S79" s="90">
        <f t="shared" si="1"/>
        <v>0</v>
      </c>
      <c r="T79" s="89">
        <v>46204</v>
      </c>
      <c r="U79" s="53" t="s">
        <v>2150</v>
      </c>
      <c r="V79" s="105" t="s">
        <v>2238</v>
      </c>
      <c r="W79" s="105" t="str">
        <f>VLOOKUP(C79,'Status oficina'!$A$2:$C$208,3,FALSE)</f>
        <v>Cierre definitivo</v>
      </c>
    </row>
    <row r="80" spans="1:23" ht="13.5" customHeight="1" x14ac:dyDescent="0.25">
      <c r="A80" s="53" t="s">
        <v>2441</v>
      </c>
      <c r="B80" s="14" t="s">
        <v>733</v>
      </c>
      <c r="C80" s="120">
        <v>9297</v>
      </c>
      <c r="D80" s="14" t="s">
        <v>734</v>
      </c>
      <c r="E80" s="14" t="s">
        <v>417</v>
      </c>
      <c r="F80" s="14" t="s">
        <v>1254</v>
      </c>
      <c r="G80" s="14" t="s">
        <v>182</v>
      </c>
      <c r="H80" s="55">
        <v>425089</v>
      </c>
      <c r="I80" s="55">
        <v>425089</v>
      </c>
      <c r="J80" s="55">
        <v>0</v>
      </c>
      <c r="K80" s="55">
        <v>425089</v>
      </c>
      <c r="L80" s="55">
        <v>0</v>
      </c>
      <c r="M80" s="55">
        <v>425089</v>
      </c>
      <c r="N80" s="55">
        <v>0</v>
      </c>
      <c r="O80" s="55">
        <v>425089</v>
      </c>
      <c r="P80" s="55">
        <v>0</v>
      </c>
      <c r="Q80" s="55">
        <v>425089</v>
      </c>
      <c r="R80" s="55">
        <v>0</v>
      </c>
      <c r="S80" s="90">
        <f t="shared" si="1"/>
        <v>0</v>
      </c>
      <c r="T80" s="89">
        <v>46204</v>
      </c>
      <c r="U80" s="14" t="s">
        <v>2209</v>
      </c>
      <c r="V80" s="105" t="s">
        <v>2231</v>
      </c>
      <c r="W80" s="105" t="str">
        <f>VLOOKUP(C80,'Status oficina'!$A$2:$C$208,3,FALSE)</f>
        <v>Cierre temporal</v>
      </c>
    </row>
    <row r="81" spans="1:23" ht="13.5" customHeight="1" x14ac:dyDescent="0.25">
      <c r="A81" s="14" t="s">
        <v>2082</v>
      </c>
      <c r="B81" s="14" t="s">
        <v>635</v>
      </c>
      <c r="C81" s="120">
        <v>9858</v>
      </c>
      <c r="D81" s="14" t="s">
        <v>637</v>
      </c>
      <c r="E81" s="14" t="s">
        <v>413</v>
      </c>
      <c r="F81" s="14" t="s">
        <v>1197</v>
      </c>
      <c r="G81" s="14" t="s">
        <v>297</v>
      </c>
      <c r="H81" s="55">
        <v>245802</v>
      </c>
      <c r="I81" s="55">
        <v>246256</v>
      </c>
      <c r="J81" s="55">
        <v>454</v>
      </c>
      <c r="K81" s="55">
        <v>246700</v>
      </c>
      <c r="L81" s="55">
        <v>444</v>
      </c>
      <c r="M81" s="55">
        <v>247587</v>
      </c>
      <c r="N81" s="55">
        <v>887</v>
      </c>
      <c r="O81" s="55">
        <v>248021</v>
      </c>
      <c r="P81" s="55">
        <v>434</v>
      </c>
      <c r="Q81" s="55">
        <v>248306</v>
      </c>
      <c r="R81" s="55">
        <v>285</v>
      </c>
      <c r="S81" s="90">
        <f t="shared" si="1"/>
        <v>2504</v>
      </c>
      <c r="T81" s="89">
        <v>46204</v>
      </c>
      <c r="U81" s="14"/>
      <c r="V81" s="105" t="s">
        <v>2375</v>
      </c>
      <c r="W81" s="105" t="str">
        <f>VLOOKUP(C81,'Status oficina'!$A$2:$C$208,3,FALSE)</f>
        <v>Activa</v>
      </c>
    </row>
    <row r="82" spans="1:23" ht="13.5" customHeight="1" x14ac:dyDescent="0.25">
      <c r="A82" s="54" t="s">
        <v>2082</v>
      </c>
      <c r="B82" s="14" t="s">
        <v>543</v>
      </c>
      <c r="C82" s="120">
        <v>9312</v>
      </c>
      <c r="D82" s="54" t="s">
        <v>545</v>
      </c>
      <c r="E82" s="54" t="s">
        <v>413</v>
      </c>
      <c r="F82" s="54" t="s">
        <v>1151</v>
      </c>
      <c r="G82" s="54" t="s">
        <v>305</v>
      </c>
      <c r="H82" s="55">
        <v>380602</v>
      </c>
      <c r="I82" s="55">
        <v>380718</v>
      </c>
      <c r="J82" s="55">
        <v>116</v>
      </c>
      <c r="K82" s="55">
        <v>380938</v>
      </c>
      <c r="L82" s="55">
        <v>220</v>
      </c>
      <c r="M82" s="55">
        <v>381312</v>
      </c>
      <c r="N82" s="55">
        <v>374</v>
      </c>
      <c r="O82" s="55">
        <v>381539</v>
      </c>
      <c r="P82" s="55">
        <v>227</v>
      </c>
      <c r="Q82" s="55">
        <v>381868</v>
      </c>
      <c r="R82" s="55">
        <v>329</v>
      </c>
      <c r="S82" s="90">
        <f t="shared" si="1"/>
        <v>1266</v>
      </c>
      <c r="T82" s="89">
        <v>46204</v>
      </c>
      <c r="U82" s="14"/>
      <c r="V82" s="105" t="s">
        <v>2375</v>
      </c>
      <c r="W82" s="105" t="str">
        <f>VLOOKUP(C82,'Status oficina'!$A$2:$C$208,3,FALSE)</f>
        <v>Activa</v>
      </c>
    </row>
    <row r="83" spans="1:23" ht="13.5" customHeight="1" x14ac:dyDescent="0.25">
      <c r="A83" s="14" t="s">
        <v>2082</v>
      </c>
      <c r="B83" s="14" t="s">
        <v>560</v>
      </c>
      <c r="C83" s="22">
        <v>9360</v>
      </c>
      <c r="D83" s="14" t="s">
        <v>575</v>
      </c>
      <c r="E83" s="15" t="s">
        <v>413</v>
      </c>
      <c r="F83" s="14" t="s">
        <v>1170</v>
      </c>
      <c r="G83" s="15" t="s">
        <v>362</v>
      </c>
      <c r="H83" s="55">
        <v>173900</v>
      </c>
      <c r="I83" s="55">
        <v>174922</v>
      </c>
      <c r="J83" s="55">
        <v>1022</v>
      </c>
      <c r="K83" s="55">
        <v>175851</v>
      </c>
      <c r="L83" s="55">
        <v>929</v>
      </c>
      <c r="M83" s="55">
        <v>176478</v>
      </c>
      <c r="N83" s="55">
        <v>627</v>
      </c>
      <c r="O83" s="55">
        <v>176659</v>
      </c>
      <c r="P83" s="55">
        <v>181</v>
      </c>
      <c r="Q83" s="55">
        <v>176901</v>
      </c>
      <c r="R83" s="55">
        <v>242</v>
      </c>
      <c r="S83" s="90">
        <f t="shared" si="1"/>
        <v>3001</v>
      </c>
      <c r="T83" s="89">
        <v>46204</v>
      </c>
      <c r="U83" s="14"/>
      <c r="V83" s="105" t="s">
        <v>2375</v>
      </c>
      <c r="W83" s="105" t="str">
        <f>VLOOKUP(C83,'Status oficina'!$A$2:$C$208,3,FALSE)</f>
        <v>Activa</v>
      </c>
    </row>
    <row r="84" spans="1:23" ht="13.5" customHeight="1" x14ac:dyDescent="0.25">
      <c r="A84" s="14" t="s">
        <v>2082</v>
      </c>
      <c r="B84" s="14" t="s">
        <v>583</v>
      </c>
      <c r="C84" s="19">
        <v>9834</v>
      </c>
      <c r="D84" s="14" t="s">
        <v>585</v>
      </c>
      <c r="E84" s="14" t="s">
        <v>413</v>
      </c>
      <c r="F84" s="14" t="s">
        <v>1174</v>
      </c>
      <c r="G84" s="14" t="s">
        <v>338</v>
      </c>
      <c r="H84" s="55">
        <v>408043</v>
      </c>
      <c r="I84" s="55">
        <v>408097</v>
      </c>
      <c r="J84" s="55">
        <v>54</v>
      </c>
      <c r="K84" s="55">
        <v>408101</v>
      </c>
      <c r="L84" s="55">
        <v>4</v>
      </c>
      <c r="M84" s="55">
        <v>408101</v>
      </c>
      <c r="N84" s="55">
        <v>0</v>
      </c>
      <c r="O84" s="55">
        <v>408111</v>
      </c>
      <c r="P84" s="55">
        <v>10</v>
      </c>
      <c r="Q84" s="55">
        <v>408111</v>
      </c>
      <c r="R84" s="55">
        <v>0</v>
      </c>
      <c r="S84" s="90">
        <f t="shared" si="1"/>
        <v>68</v>
      </c>
      <c r="T84" s="89">
        <v>46204</v>
      </c>
      <c r="U84" s="14" t="s">
        <v>2392</v>
      </c>
      <c r="V84" s="105" t="s">
        <v>2375</v>
      </c>
      <c r="W84" s="105" t="str">
        <f>VLOOKUP(C84,'Status oficina'!$A$2:$C$208,3,FALSE)</f>
        <v>Activa</v>
      </c>
    </row>
    <row r="85" spans="1:23" ht="13.5" customHeight="1" x14ac:dyDescent="0.25">
      <c r="A85" s="14" t="s">
        <v>2082</v>
      </c>
      <c r="B85" s="14" t="s">
        <v>540</v>
      </c>
      <c r="C85" s="120">
        <v>9330</v>
      </c>
      <c r="D85" s="54" t="s">
        <v>542</v>
      </c>
      <c r="E85" s="54" t="s">
        <v>413</v>
      </c>
      <c r="F85" s="54" t="s">
        <v>1148</v>
      </c>
      <c r="G85" s="54" t="s">
        <v>259</v>
      </c>
      <c r="H85" s="55">
        <v>292235</v>
      </c>
      <c r="I85" s="55">
        <v>292235</v>
      </c>
      <c r="J85" s="55">
        <v>0</v>
      </c>
      <c r="K85" s="55">
        <v>292235</v>
      </c>
      <c r="L85" s="55">
        <v>0</v>
      </c>
      <c r="M85" s="55">
        <v>292235</v>
      </c>
      <c r="N85" s="55">
        <v>0</v>
      </c>
      <c r="O85" s="55">
        <v>292235</v>
      </c>
      <c r="P85" s="55">
        <v>0</v>
      </c>
      <c r="Q85" s="55">
        <v>292235</v>
      </c>
      <c r="R85" s="55">
        <v>0</v>
      </c>
      <c r="S85" s="90">
        <f t="shared" si="1"/>
        <v>0</v>
      </c>
      <c r="T85" s="89">
        <v>46204</v>
      </c>
      <c r="U85" s="14" t="s">
        <v>2455</v>
      </c>
      <c r="V85" s="105" t="s">
        <v>2375</v>
      </c>
      <c r="W85" s="105" t="str">
        <f>VLOOKUP(C85,'Status oficina'!$A$2:$C$208,3,FALSE)</f>
        <v>Activa</v>
      </c>
    </row>
    <row r="86" spans="1:23" ht="13.5" customHeight="1" x14ac:dyDescent="0.25">
      <c r="A86" s="14" t="s">
        <v>2082</v>
      </c>
      <c r="B86" s="14" t="s">
        <v>543</v>
      </c>
      <c r="C86" s="120">
        <v>9312</v>
      </c>
      <c r="D86" s="14" t="s">
        <v>546</v>
      </c>
      <c r="E86" s="14" t="s">
        <v>413</v>
      </c>
      <c r="F86" s="14" t="s">
        <v>1152</v>
      </c>
      <c r="G86" s="14" t="s">
        <v>315</v>
      </c>
      <c r="H86" s="55">
        <v>92791</v>
      </c>
      <c r="I86" s="55">
        <v>92791</v>
      </c>
      <c r="J86" s="55">
        <v>0</v>
      </c>
      <c r="K86" s="55">
        <v>92791</v>
      </c>
      <c r="L86" s="55">
        <v>0</v>
      </c>
      <c r="M86" s="55">
        <v>92791</v>
      </c>
      <c r="N86" s="55">
        <v>0</v>
      </c>
      <c r="O86" s="55">
        <v>92791</v>
      </c>
      <c r="P86" s="55">
        <v>0</v>
      </c>
      <c r="Q86" s="55">
        <v>92791</v>
      </c>
      <c r="R86" s="55">
        <v>0</v>
      </c>
      <c r="S86" s="90">
        <f t="shared" si="1"/>
        <v>0</v>
      </c>
      <c r="T86" s="89">
        <v>46204</v>
      </c>
      <c r="U86" s="14" t="s">
        <v>2132</v>
      </c>
      <c r="V86" s="105" t="s">
        <v>2374</v>
      </c>
      <c r="W86" s="105" t="str">
        <f>VLOOKUP(C86,'Status oficina'!$A$2:$C$208,3,FALSE)</f>
        <v>Activa</v>
      </c>
    </row>
    <row r="87" spans="1:23" ht="13.5" customHeight="1" x14ac:dyDescent="0.25">
      <c r="A87" s="14" t="s">
        <v>868</v>
      </c>
      <c r="B87" s="14" t="s">
        <v>911</v>
      </c>
      <c r="C87" s="120">
        <v>9813</v>
      </c>
      <c r="D87" s="14" t="s">
        <v>2110</v>
      </c>
      <c r="E87" s="14" t="s">
        <v>413</v>
      </c>
      <c r="F87" s="14" t="s">
        <v>1345</v>
      </c>
      <c r="G87" s="14"/>
      <c r="H87" s="55">
        <v>129189</v>
      </c>
      <c r="I87" s="55">
        <v>129189</v>
      </c>
      <c r="J87" s="55">
        <v>0</v>
      </c>
      <c r="K87" s="55">
        <v>129189</v>
      </c>
      <c r="L87" s="55">
        <v>0</v>
      </c>
      <c r="M87" s="55">
        <v>129189</v>
      </c>
      <c r="N87" s="55">
        <v>0</v>
      </c>
      <c r="O87" s="55">
        <v>129189</v>
      </c>
      <c r="P87" s="55">
        <v>0</v>
      </c>
      <c r="Q87" s="55">
        <v>129189</v>
      </c>
      <c r="R87" s="55">
        <v>0</v>
      </c>
      <c r="S87" s="90">
        <f t="shared" si="1"/>
        <v>0</v>
      </c>
      <c r="T87" s="89">
        <v>46204</v>
      </c>
      <c r="U87" s="14" t="s">
        <v>2408</v>
      </c>
      <c r="V87" s="105" t="s">
        <v>2374</v>
      </c>
      <c r="W87" s="105" t="str">
        <f>VLOOKUP(C87,'Status oficina'!$A$2:$C$208,3,FALSE)</f>
        <v>Activa</v>
      </c>
    </row>
    <row r="88" spans="1:23" ht="13.5" customHeight="1" x14ac:dyDescent="0.25">
      <c r="A88" s="14" t="s">
        <v>2442</v>
      </c>
      <c r="B88" s="14" t="s">
        <v>811</v>
      </c>
      <c r="C88" s="19">
        <v>9260</v>
      </c>
      <c r="D88" s="14" t="s">
        <v>812</v>
      </c>
      <c r="E88" s="14" t="s">
        <v>413</v>
      </c>
      <c r="F88" s="14" t="s">
        <v>1304</v>
      </c>
      <c r="G88" s="14" t="s">
        <v>312</v>
      </c>
      <c r="H88" s="55">
        <v>58514</v>
      </c>
      <c r="I88" s="55">
        <v>58514</v>
      </c>
      <c r="J88" s="55">
        <v>0</v>
      </c>
      <c r="K88" s="55">
        <v>58514</v>
      </c>
      <c r="L88" s="55">
        <v>0</v>
      </c>
      <c r="M88" s="55">
        <v>58514</v>
      </c>
      <c r="N88" s="55">
        <v>0</v>
      </c>
      <c r="O88" s="55">
        <v>58514</v>
      </c>
      <c r="P88" s="55">
        <v>0</v>
      </c>
      <c r="Q88" s="55">
        <v>58514</v>
      </c>
      <c r="R88" s="55">
        <v>0</v>
      </c>
      <c r="S88" s="90">
        <f t="shared" si="1"/>
        <v>0</v>
      </c>
      <c r="T88" s="89">
        <v>46204</v>
      </c>
      <c r="U88" s="14"/>
      <c r="V88" s="105" t="s">
        <v>2375</v>
      </c>
      <c r="W88" s="105" t="str">
        <f>VLOOKUP(C88,'Status oficina'!$A$2:$C$208,3,FALSE)</f>
        <v>Activa</v>
      </c>
    </row>
    <row r="89" spans="1:23" ht="13.5" customHeight="1" x14ac:dyDescent="0.25">
      <c r="A89" s="14" t="s">
        <v>939</v>
      </c>
      <c r="B89" s="14" t="s">
        <v>960</v>
      </c>
      <c r="C89" s="19">
        <v>9555</v>
      </c>
      <c r="D89" s="14" t="s">
        <v>2464</v>
      </c>
      <c r="E89" s="14" t="s">
        <v>413</v>
      </c>
      <c r="F89" s="14" t="s">
        <v>1391</v>
      </c>
      <c r="G89" s="14" t="s">
        <v>2466</v>
      </c>
      <c r="H89" s="55">
        <v>121947</v>
      </c>
      <c r="I89" s="55">
        <v>121965</v>
      </c>
      <c r="J89" s="55">
        <v>18</v>
      </c>
      <c r="K89" s="55">
        <v>122068</v>
      </c>
      <c r="L89" s="55">
        <v>103</v>
      </c>
      <c r="M89" s="55">
        <v>122121</v>
      </c>
      <c r="N89" s="55">
        <v>53</v>
      </c>
      <c r="O89" s="55">
        <v>122156</v>
      </c>
      <c r="P89" s="55">
        <v>35</v>
      </c>
      <c r="Q89" s="55">
        <v>122229</v>
      </c>
      <c r="R89" s="55">
        <v>73</v>
      </c>
      <c r="S89" s="90">
        <f t="shared" si="1"/>
        <v>282</v>
      </c>
      <c r="T89" s="89">
        <v>46204</v>
      </c>
      <c r="U89" s="14" t="s">
        <v>2465</v>
      </c>
      <c r="V89" s="108" t="s">
        <v>2375</v>
      </c>
      <c r="W89" s="105" t="str">
        <f>VLOOKUP(C89,'Status oficina'!$A$2:$C$208,3,FALSE)</f>
        <v>Activa</v>
      </c>
    </row>
    <row r="90" spans="1:23" ht="13.5" customHeight="1" x14ac:dyDescent="0.25">
      <c r="A90" s="14" t="s">
        <v>2442</v>
      </c>
      <c r="B90" s="14" t="s">
        <v>817</v>
      </c>
      <c r="C90" s="120">
        <v>9291</v>
      </c>
      <c r="D90" s="54" t="s">
        <v>819</v>
      </c>
      <c r="E90" s="14" t="s">
        <v>413</v>
      </c>
      <c r="F90" s="14" t="s">
        <v>820</v>
      </c>
      <c r="G90" s="14" t="s">
        <v>402</v>
      </c>
      <c r="H90" s="55">
        <v>180463</v>
      </c>
      <c r="I90" s="55">
        <v>180497</v>
      </c>
      <c r="J90" s="55">
        <v>34</v>
      </c>
      <c r="K90" s="55">
        <v>180613</v>
      </c>
      <c r="L90" s="55">
        <v>116</v>
      </c>
      <c r="M90" s="55">
        <v>180807</v>
      </c>
      <c r="N90" s="55">
        <v>194</v>
      </c>
      <c r="O90" s="55">
        <v>180866</v>
      </c>
      <c r="P90" s="55">
        <v>59</v>
      </c>
      <c r="Q90" s="55">
        <v>180985</v>
      </c>
      <c r="R90" s="55">
        <v>119</v>
      </c>
      <c r="S90" s="90">
        <f t="shared" si="1"/>
        <v>522</v>
      </c>
      <c r="T90" s="89">
        <v>46204</v>
      </c>
      <c r="U90" s="14"/>
      <c r="V90" s="105" t="s">
        <v>2375</v>
      </c>
      <c r="W90" s="105" t="str">
        <f>VLOOKUP(C90,'Status oficina'!$A$2:$C$208,3,FALSE)</f>
        <v>Activa</v>
      </c>
    </row>
    <row r="91" spans="1:23" ht="13.5" customHeight="1" x14ac:dyDescent="0.25">
      <c r="A91" s="14" t="s">
        <v>2442</v>
      </c>
      <c r="B91" s="14" t="s">
        <v>793</v>
      </c>
      <c r="C91" s="19">
        <v>9294</v>
      </c>
      <c r="D91" s="14" t="s">
        <v>795</v>
      </c>
      <c r="E91" s="14" t="s">
        <v>413</v>
      </c>
      <c r="F91" s="14" t="s">
        <v>1991</v>
      </c>
      <c r="G91" s="14" t="s">
        <v>318</v>
      </c>
      <c r="H91" s="55">
        <v>158533</v>
      </c>
      <c r="I91" s="55">
        <v>158613</v>
      </c>
      <c r="J91" s="55">
        <v>80</v>
      </c>
      <c r="K91" s="55">
        <v>158697</v>
      </c>
      <c r="L91" s="55">
        <v>84</v>
      </c>
      <c r="M91" s="55">
        <v>158894</v>
      </c>
      <c r="N91" s="55">
        <v>197</v>
      </c>
      <c r="O91" s="55">
        <v>158982</v>
      </c>
      <c r="P91" s="55">
        <v>88</v>
      </c>
      <c r="Q91" s="55">
        <v>159138</v>
      </c>
      <c r="R91" s="55">
        <v>156</v>
      </c>
      <c r="S91" s="90">
        <f t="shared" si="1"/>
        <v>605</v>
      </c>
      <c r="T91" s="89">
        <v>46204</v>
      </c>
      <c r="U91" s="14"/>
      <c r="V91" s="105" t="s">
        <v>2375</v>
      </c>
      <c r="W91" s="105" t="str">
        <f>VLOOKUP(C91,'Status oficina'!$A$2:$C$208,3,FALSE)</f>
        <v>Activa</v>
      </c>
    </row>
    <row r="92" spans="1:23" ht="13.5" customHeight="1" x14ac:dyDescent="0.25">
      <c r="A92" s="14" t="s">
        <v>2082</v>
      </c>
      <c r="B92" s="14" t="s">
        <v>531</v>
      </c>
      <c r="C92" s="19">
        <v>9336</v>
      </c>
      <c r="D92" s="54" t="s">
        <v>532</v>
      </c>
      <c r="E92" s="54" t="s">
        <v>413</v>
      </c>
      <c r="F92" s="54" t="s">
        <v>1143</v>
      </c>
      <c r="G92" s="54" t="s">
        <v>178</v>
      </c>
      <c r="H92" s="55">
        <v>192932</v>
      </c>
      <c r="I92" s="55">
        <v>192932</v>
      </c>
      <c r="J92" s="55">
        <v>0</v>
      </c>
      <c r="K92" s="55">
        <v>192932</v>
      </c>
      <c r="L92" s="55">
        <v>0</v>
      </c>
      <c r="M92" s="55">
        <v>192932</v>
      </c>
      <c r="N92" s="55">
        <v>0</v>
      </c>
      <c r="O92" s="55">
        <v>192932</v>
      </c>
      <c r="P92" s="55">
        <v>0</v>
      </c>
      <c r="Q92" s="55">
        <v>192932</v>
      </c>
      <c r="R92" s="55">
        <v>0</v>
      </c>
      <c r="S92" s="90">
        <f t="shared" si="1"/>
        <v>0</v>
      </c>
      <c r="T92" s="89">
        <v>46204</v>
      </c>
      <c r="U92" s="14"/>
      <c r="V92" s="105" t="s">
        <v>2231</v>
      </c>
      <c r="W92" s="105" t="str">
        <f>VLOOKUP(C92,'Status oficina'!$A$2:$C$208,3,FALSE)</f>
        <v>Cierre temporal</v>
      </c>
    </row>
    <row r="93" spans="1:23" ht="13.5" customHeight="1" x14ac:dyDescent="0.25">
      <c r="A93" s="14" t="s">
        <v>2442</v>
      </c>
      <c r="B93" s="14" t="s">
        <v>824</v>
      </c>
      <c r="C93" s="120">
        <v>9290</v>
      </c>
      <c r="D93" s="14" t="s">
        <v>826</v>
      </c>
      <c r="E93" s="14" t="s">
        <v>413</v>
      </c>
      <c r="F93" s="14" t="s">
        <v>1313</v>
      </c>
      <c r="G93" s="14" t="s">
        <v>282</v>
      </c>
      <c r="H93" s="55">
        <v>52376</v>
      </c>
      <c r="I93" s="55">
        <v>52376</v>
      </c>
      <c r="J93" s="55">
        <v>0</v>
      </c>
      <c r="K93" s="55">
        <v>52533</v>
      </c>
      <c r="L93" s="55">
        <v>157</v>
      </c>
      <c r="M93" s="55">
        <v>52646</v>
      </c>
      <c r="N93" s="55">
        <v>113</v>
      </c>
      <c r="O93" s="55">
        <v>52710</v>
      </c>
      <c r="P93" s="55">
        <v>64</v>
      </c>
      <c r="Q93" s="55">
        <v>52794</v>
      </c>
      <c r="R93" s="55">
        <v>84</v>
      </c>
      <c r="S93" s="90">
        <f t="shared" si="1"/>
        <v>418</v>
      </c>
      <c r="T93" s="89">
        <v>46204</v>
      </c>
      <c r="U93" s="14"/>
      <c r="V93" s="105" t="s">
        <v>2375</v>
      </c>
      <c r="W93" s="105" t="str">
        <f>VLOOKUP(C93,'Status oficina'!$A$2:$C$208,3,FALSE)</f>
        <v>Activa</v>
      </c>
    </row>
    <row r="94" spans="1:23" ht="13.5" customHeight="1" x14ac:dyDescent="0.25">
      <c r="A94" s="14" t="s">
        <v>2442</v>
      </c>
      <c r="B94" s="15" t="s">
        <v>787</v>
      </c>
      <c r="C94" s="19">
        <v>9441</v>
      </c>
      <c r="D94" s="14" t="s">
        <v>789</v>
      </c>
      <c r="E94" s="14" t="s">
        <v>413</v>
      </c>
      <c r="F94" s="14" t="s">
        <v>1288</v>
      </c>
      <c r="G94" s="14" t="s">
        <v>308</v>
      </c>
      <c r="H94" s="55">
        <v>175639</v>
      </c>
      <c r="I94" s="55">
        <v>175858</v>
      </c>
      <c r="J94" s="55">
        <v>219</v>
      </c>
      <c r="K94" s="55">
        <v>176342</v>
      </c>
      <c r="L94" s="55">
        <v>484</v>
      </c>
      <c r="M94" s="55">
        <v>176632</v>
      </c>
      <c r="N94" s="55">
        <v>290</v>
      </c>
      <c r="O94" s="55">
        <v>176833</v>
      </c>
      <c r="P94" s="55">
        <v>201</v>
      </c>
      <c r="Q94" s="55">
        <v>177043</v>
      </c>
      <c r="R94" s="55">
        <v>210</v>
      </c>
      <c r="S94" s="90">
        <f t="shared" si="1"/>
        <v>1404</v>
      </c>
      <c r="T94" s="89">
        <v>46204</v>
      </c>
      <c r="U94" s="14"/>
      <c r="V94" s="105" t="s">
        <v>2375</v>
      </c>
      <c r="W94" s="105" t="str">
        <f>VLOOKUP(C94,'Status oficina'!$A$2:$C$208,3,FALSE)</f>
        <v>Activa</v>
      </c>
    </row>
    <row r="95" spans="1:23" ht="13.5" customHeight="1" x14ac:dyDescent="0.25">
      <c r="A95" s="53" t="s">
        <v>2441</v>
      </c>
      <c r="B95" s="14" t="s">
        <v>717</v>
      </c>
      <c r="C95" s="19">
        <v>9250</v>
      </c>
      <c r="D95" s="14" t="s">
        <v>2435</v>
      </c>
      <c r="E95" s="14" t="s">
        <v>413</v>
      </c>
      <c r="F95" s="14" t="s">
        <v>1244</v>
      </c>
      <c r="G95" s="14" t="s">
        <v>326</v>
      </c>
      <c r="H95" s="55">
        <v>209521</v>
      </c>
      <c r="I95" s="55">
        <v>209645</v>
      </c>
      <c r="J95" s="55">
        <v>124</v>
      </c>
      <c r="K95" s="55">
        <v>209882</v>
      </c>
      <c r="L95" s="55">
        <v>237</v>
      </c>
      <c r="M95" s="55">
        <v>210159</v>
      </c>
      <c r="N95" s="55">
        <v>277</v>
      </c>
      <c r="O95" s="55">
        <v>210322</v>
      </c>
      <c r="P95" s="55">
        <v>163</v>
      </c>
      <c r="Q95" s="55">
        <v>210500</v>
      </c>
      <c r="R95" s="55">
        <v>178</v>
      </c>
      <c r="S95" s="90">
        <f t="shared" si="1"/>
        <v>979</v>
      </c>
      <c r="T95" s="89">
        <v>46204</v>
      </c>
      <c r="U95" s="14"/>
      <c r="V95" s="105" t="s">
        <v>2375</v>
      </c>
      <c r="W95" s="105" t="str">
        <f>VLOOKUP(C95,'Status oficina'!$A$2:$C$208,3,FALSE)</f>
        <v>Activa</v>
      </c>
    </row>
    <row r="96" spans="1:23" ht="13.5" customHeight="1" x14ac:dyDescent="0.25">
      <c r="A96" s="14" t="s">
        <v>2082</v>
      </c>
      <c r="B96" s="14" t="s">
        <v>565</v>
      </c>
      <c r="C96" s="22">
        <v>9350</v>
      </c>
      <c r="D96" s="54" t="s">
        <v>567</v>
      </c>
      <c r="E96" s="54" t="s">
        <v>417</v>
      </c>
      <c r="F96" s="54" t="s">
        <v>1165</v>
      </c>
      <c r="G96" s="54" t="s">
        <v>260</v>
      </c>
      <c r="H96" s="55">
        <v>282366</v>
      </c>
      <c r="I96" s="55">
        <v>282366</v>
      </c>
      <c r="J96" s="55">
        <v>0</v>
      </c>
      <c r="K96" s="55">
        <v>282366</v>
      </c>
      <c r="L96" s="55">
        <v>0</v>
      </c>
      <c r="M96" s="55">
        <v>282366</v>
      </c>
      <c r="N96" s="55">
        <v>0</v>
      </c>
      <c r="O96" s="55">
        <v>282366</v>
      </c>
      <c r="P96" s="55">
        <v>0</v>
      </c>
      <c r="Q96" s="55">
        <v>282366</v>
      </c>
      <c r="R96" s="55">
        <v>0</v>
      </c>
      <c r="S96" s="90">
        <f t="shared" si="1"/>
        <v>0</v>
      </c>
      <c r="T96" s="89">
        <v>46204</v>
      </c>
      <c r="U96" s="14"/>
      <c r="V96" s="105" t="s">
        <v>2231</v>
      </c>
      <c r="W96" s="105" t="str">
        <f>VLOOKUP(C96,'Status oficina'!$A$2:$C$208,3,FALSE)</f>
        <v>Cierre temporal</v>
      </c>
    </row>
    <row r="97" spans="1:23" ht="13.5" customHeight="1" x14ac:dyDescent="0.25">
      <c r="A97" s="14" t="s">
        <v>2082</v>
      </c>
      <c r="B97" s="14" t="s">
        <v>565</v>
      </c>
      <c r="C97" s="22">
        <v>9350</v>
      </c>
      <c r="D97" s="54" t="s">
        <v>566</v>
      </c>
      <c r="E97" s="54" t="s">
        <v>413</v>
      </c>
      <c r="F97" s="54" t="s">
        <v>1164</v>
      </c>
      <c r="G97" s="54" t="s">
        <v>298</v>
      </c>
      <c r="H97" s="55">
        <v>94841</v>
      </c>
      <c r="I97" s="55">
        <v>94841</v>
      </c>
      <c r="J97" s="55">
        <v>0</v>
      </c>
      <c r="K97" s="55">
        <v>94841</v>
      </c>
      <c r="L97" s="55">
        <v>0</v>
      </c>
      <c r="M97" s="55">
        <v>94841</v>
      </c>
      <c r="N97" s="55">
        <v>0</v>
      </c>
      <c r="O97" s="55">
        <v>94841</v>
      </c>
      <c r="P97" s="55">
        <v>0</v>
      </c>
      <c r="Q97" s="55">
        <v>94841</v>
      </c>
      <c r="R97" s="55">
        <v>0</v>
      </c>
      <c r="S97" s="90">
        <f t="shared" si="1"/>
        <v>0</v>
      </c>
      <c r="T97" s="89">
        <v>46204</v>
      </c>
      <c r="U97" s="14"/>
      <c r="V97" s="105" t="s">
        <v>2231</v>
      </c>
      <c r="W97" s="105" t="str">
        <f>VLOOKUP(C97,'Status oficina'!$A$2:$C$208,3,FALSE)</f>
        <v>Cierre temporal</v>
      </c>
    </row>
    <row r="98" spans="1:23" ht="13.5" customHeight="1" x14ac:dyDescent="0.25">
      <c r="A98" s="53" t="s">
        <v>2441</v>
      </c>
      <c r="B98" s="53" t="s">
        <v>2376</v>
      </c>
      <c r="C98" s="19">
        <v>9219</v>
      </c>
      <c r="D98" s="14" t="s">
        <v>2379</v>
      </c>
      <c r="E98" s="14" t="s">
        <v>413</v>
      </c>
      <c r="F98" s="14" t="s">
        <v>2069</v>
      </c>
      <c r="G98" s="14" t="s">
        <v>2380</v>
      </c>
      <c r="H98" s="55">
        <v>59267</v>
      </c>
      <c r="I98" s="55">
        <v>59388</v>
      </c>
      <c r="J98" s="55">
        <v>121</v>
      </c>
      <c r="K98" s="55">
        <v>59588</v>
      </c>
      <c r="L98" s="55">
        <v>200</v>
      </c>
      <c r="M98" s="55">
        <v>59728</v>
      </c>
      <c r="N98" s="55">
        <v>140</v>
      </c>
      <c r="O98" s="55">
        <v>59815</v>
      </c>
      <c r="P98" s="55">
        <v>87</v>
      </c>
      <c r="Q98" s="55">
        <v>59987</v>
      </c>
      <c r="R98" s="55">
        <v>172</v>
      </c>
      <c r="S98" s="90">
        <f t="shared" si="1"/>
        <v>720</v>
      </c>
      <c r="T98" s="89">
        <v>46204</v>
      </c>
      <c r="U98" s="14"/>
      <c r="V98" s="108" t="s">
        <v>2375</v>
      </c>
      <c r="W98" s="105" t="str">
        <f>VLOOKUP(C98,'Status oficina'!$A$2:$C$208,3,FALSE)</f>
        <v>Activa</v>
      </c>
    </row>
    <row r="99" spans="1:23" ht="13.5" customHeight="1" x14ac:dyDescent="0.25">
      <c r="A99" s="14" t="s">
        <v>2442</v>
      </c>
      <c r="B99" s="14" t="s">
        <v>797</v>
      </c>
      <c r="C99" s="19">
        <v>9271</v>
      </c>
      <c r="D99" s="14" t="s">
        <v>801</v>
      </c>
      <c r="E99" s="14" t="s">
        <v>413</v>
      </c>
      <c r="F99" s="14" t="s">
        <v>1298</v>
      </c>
      <c r="G99" s="14" t="s">
        <v>333</v>
      </c>
      <c r="H99" s="55">
        <v>311013</v>
      </c>
      <c r="I99" s="55">
        <v>311468</v>
      </c>
      <c r="J99" s="55">
        <v>455</v>
      </c>
      <c r="K99" s="55">
        <v>312637</v>
      </c>
      <c r="L99" s="55">
        <v>1169</v>
      </c>
      <c r="M99" s="55">
        <v>313793</v>
      </c>
      <c r="N99" s="55">
        <v>1156</v>
      </c>
      <c r="O99" s="55">
        <v>314609</v>
      </c>
      <c r="P99" s="55">
        <v>816</v>
      </c>
      <c r="Q99" s="55">
        <v>315811</v>
      </c>
      <c r="R99" s="55">
        <v>1202</v>
      </c>
      <c r="S99" s="90">
        <f t="shared" si="1"/>
        <v>4798</v>
      </c>
      <c r="T99" s="89">
        <v>46204</v>
      </c>
      <c r="U99" s="14"/>
      <c r="V99" s="105" t="s">
        <v>2375</v>
      </c>
      <c r="W99" s="105" t="str">
        <f>VLOOKUP(C99,'Status oficina'!$A$2:$C$208,3,FALSE)</f>
        <v>Activa</v>
      </c>
    </row>
    <row r="100" spans="1:23" ht="13.5" customHeight="1" x14ac:dyDescent="0.25">
      <c r="A100" s="14" t="s">
        <v>2082</v>
      </c>
      <c r="B100" s="14" t="s">
        <v>526</v>
      </c>
      <c r="C100" s="19">
        <v>9392</v>
      </c>
      <c r="D100" s="54" t="s">
        <v>528</v>
      </c>
      <c r="E100" s="54" t="s">
        <v>413</v>
      </c>
      <c r="F100" s="54" t="s">
        <v>1141</v>
      </c>
      <c r="G100" s="54" t="s">
        <v>311</v>
      </c>
      <c r="H100" s="55">
        <v>111577</v>
      </c>
      <c r="I100" s="55">
        <v>111577</v>
      </c>
      <c r="J100" s="55">
        <v>0</v>
      </c>
      <c r="K100" s="55">
        <v>111577</v>
      </c>
      <c r="L100" s="55">
        <v>0</v>
      </c>
      <c r="M100" s="55">
        <v>111577</v>
      </c>
      <c r="N100" s="55">
        <v>0</v>
      </c>
      <c r="O100" s="55">
        <v>111577</v>
      </c>
      <c r="P100" s="55">
        <v>0</v>
      </c>
      <c r="Q100" s="55">
        <v>111577</v>
      </c>
      <c r="R100" s="55">
        <v>0</v>
      </c>
      <c r="S100" s="90">
        <f t="shared" si="1"/>
        <v>0</v>
      </c>
      <c r="T100" s="89">
        <v>46204</v>
      </c>
      <c r="U100" s="14" t="s">
        <v>2403</v>
      </c>
      <c r="V100" s="105" t="s">
        <v>2374</v>
      </c>
      <c r="W100" s="105" t="str">
        <f>VLOOKUP(C100,'Status oficina'!$A$2:$C$208,3,FALSE)</f>
        <v>Activa</v>
      </c>
    </row>
    <row r="101" spans="1:23" ht="13.5" customHeight="1" x14ac:dyDescent="0.25">
      <c r="A101" s="14" t="s">
        <v>2082</v>
      </c>
      <c r="B101" s="14" t="s">
        <v>631</v>
      </c>
      <c r="C101" s="120">
        <v>9835</v>
      </c>
      <c r="D101" s="14" t="s">
        <v>2495</v>
      </c>
      <c r="E101" s="14" t="s">
        <v>413</v>
      </c>
      <c r="F101" s="14" t="s">
        <v>1194</v>
      </c>
      <c r="G101" s="14" t="s">
        <v>289</v>
      </c>
      <c r="H101" s="55">
        <v>136006</v>
      </c>
      <c r="I101" s="55">
        <v>136006</v>
      </c>
      <c r="J101" s="55">
        <v>0</v>
      </c>
      <c r="K101" s="55">
        <v>136006</v>
      </c>
      <c r="L101" s="55">
        <v>0</v>
      </c>
      <c r="M101" s="55">
        <v>136006</v>
      </c>
      <c r="N101" s="55">
        <v>0</v>
      </c>
      <c r="O101" s="55">
        <v>136006</v>
      </c>
      <c r="P101" s="55">
        <v>0</v>
      </c>
      <c r="Q101" s="55">
        <v>136006</v>
      </c>
      <c r="R101" s="55">
        <v>0</v>
      </c>
      <c r="S101" s="90">
        <f t="shared" si="1"/>
        <v>0</v>
      </c>
      <c r="T101" s="89">
        <v>46204</v>
      </c>
      <c r="U101" s="14" t="s">
        <v>2478</v>
      </c>
      <c r="V101" s="105" t="s">
        <v>2375</v>
      </c>
      <c r="W101" s="105" t="str">
        <f>VLOOKUP(C101,'Status oficina'!$A$2:$C$208,3,FALSE)</f>
        <v>Activa</v>
      </c>
    </row>
    <row r="102" spans="1:23" ht="13.5" customHeight="1" x14ac:dyDescent="0.25">
      <c r="A102" s="14" t="s">
        <v>2082</v>
      </c>
      <c r="B102" s="14" t="s">
        <v>633</v>
      </c>
      <c r="C102" s="120">
        <v>9444</v>
      </c>
      <c r="D102" s="14" t="s">
        <v>2438</v>
      </c>
      <c r="E102" s="15" t="s">
        <v>413</v>
      </c>
      <c r="F102" s="14" t="s">
        <v>1185</v>
      </c>
      <c r="G102" s="14" t="s">
        <v>380</v>
      </c>
      <c r="H102" s="55">
        <v>86115</v>
      </c>
      <c r="I102" s="55">
        <v>86206</v>
      </c>
      <c r="J102" s="55">
        <v>91</v>
      </c>
      <c r="K102" s="55">
        <v>86292</v>
      </c>
      <c r="L102" s="55">
        <v>86</v>
      </c>
      <c r="M102" s="55">
        <v>86385</v>
      </c>
      <c r="N102" s="55">
        <v>93</v>
      </c>
      <c r="O102" s="55">
        <v>86412</v>
      </c>
      <c r="P102" s="55">
        <v>27</v>
      </c>
      <c r="Q102" s="55">
        <v>86471</v>
      </c>
      <c r="R102" s="55">
        <v>59</v>
      </c>
      <c r="S102" s="90">
        <f t="shared" si="1"/>
        <v>356</v>
      </c>
      <c r="T102" s="89">
        <v>46204</v>
      </c>
      <c r="U102" s="14"/>
      <c r="V102" s="105" t="s">
        <v>2375</v>
      </c>
      <c r="W102" s="105" t="str">
        <f>VLOOKUP(C102,'Status oficina'!$A$2:$C$208,3,FALSE)</f>
        <v>Activa</v>
      </c>
    </row>
    <row r="103" spans="1:23" ht="13.5" customHeight="1" x14ac:dyDescent="0.25">
      <c r="A103" s="16" t="s">
        <v>939</v>
      </c>
      <c r="B103" s="15" t="s">
        <v>969</v>
      </c>
      <c r="C103" s="120">
        <v>9540</v>
      </c>
      <c r="D103" s="54" t="s">
        <v>2461</v>
      </c>
      <c r="E103" s="16" t="s">
        <v>413</v>
      </c>
      <c r="F103" s="54" t="s">
        <v>1409</v>
      </c>
      <c r="G103" s="17" t="s">
        <v>354</v>
      </c>
      <c r="H103" s="55">
        <v>291635</v>
      </c>
      <c r="I103" s="55">
        <v>291936</v>
      </c>
      <c r="J103" s="55">
        <v>301</v>
      </c>
      <c r="K103" s="55">
        <v>292347</v>
      </c>
      <c r="L103" s="55">
        <v>411</v>
      </c>
      <c r="M103" s="55">
        <v>292622</v>
      </c>
      <c r="N103" s="55">
        <v>275</v>
      </c>
      <c r="O103" s="55">
        <v>292794</v>
      </c>
      <c r="P103" s="55">
        <v>172</v>
      </c>
      <c r="Q103" s="55">
        <v>292984</v>
      </c>
      <c r="R103" s="55">
        <v>190</v>
      </c>
      <c r="S103" s="90">
        <f t="shared" si="1"/>
        <v>1349</v>
      </c>
      <c r="T103" s="89">
        <v>46204</v>
      </c>
      <c r="U103" s="14"/>
      <c r="V103" s="105" t="s">
        <v>2375</v>
      </c>
      <c r="W103" s="105" t="str">
        <f>VLOOKUP(C103,'Status oficina'!$A$2:$C$208,3,FALSE)</f>
        <v>Activa</v>
      </c>
    </row>
    <row r="104" spans="1:23" ht="13.5" customHeight="1" x14ac:dyDescent="0.25">
      <c r="A104" s="14" t="s">
        <v>2082</v>
      </c>
      <c r="B104" s="14" t="s">
        <v>559</v>
      </c>
      <c r="C104" s="120">
        <v>9370</v>
      </c>
      <c r="D104" s="54" t="s">
        <v>2491</v>
      </c>
      <c r="E104" s="54" t="s">
        <v>413</v>
      </c>
      <c r="F104" s="54" t="s">
        <v>1160</v>
      </c>
      <c r="G104" s="54" t="s">
        <v>293</v>
      </c>
      <c r="H104" s="55">
        <v>114529</v>
      </c>
      <c r="I104" s="55">
        <v>114584</v>
      </c>
      <c r="J104" s="55">
        <v>55</v>
      </c>
      <c r="K104" s="55">
        <v>114666</v>
      </c>
      <c r="L104" s="55">
        <v>82</v>
      </c>
      <c r="M104" s="55">
        <v>114790</v>
      </c>
      <c r="N104" s="55">
        <v>124</v>
      </c>
      <c r="O104" s="55">
        <v>114802</v>
      </c>
      <c r="P104" s="55">
        <v>12</v>
      </c>
      <c r="Q104" s="55">
        <v>114831</v>
      </c>
      <c r="R104" s="55">
        <v>29</v>
      </c>
      <c r="S104" s="90">
        <f t="shared" si="1"/>
        <v>302</v>
      </c>
      <c r="T104" s="89">
        <v>46204</v>
      </c>
      <c r="U104" s="14" t="s">
        <v>2477</v>
      </c>
      <c r="V104" s="105" t="s">
        <v>2375</v>
      </c>
      <c r="W104" s="105" t="str">
        <f>VLOOKUP(C104,'Status oficina'!$A$2:$C$208,3,FALSE)</f>
        <v>Activa</v>
      </c>
    </row>
    <row r="105" spans="1:23" ht="13.5" customHeight="1" x14ac:dyDescent="0.25">
      <c r="A105" s="53" t="s">
        <v>2441</v>
      </c>
      <c r="B105" s="14" t="s">
        <v>712</v>
      </c>
      <c r="C105" s="19">
        <v>9263</v>
      </c>
      <c r="D105" s="14" t="s">
        <v>713</v>
      </c>
      <c r="E105" s="14" t="s">
        <v>413</v>
      </c>
      <c r="F105" s="14" t="s">
        <v>1240</v>
      </c>
      <c r="G105" s="14" t="s">
        <v>301</v>
      </c>
      <c r="H105" s="55">
        <v>318643</v>
      </c>
      <c r="I105" s="55">
        <v>318861</v>
      </c>
      <c r="J105" s="55">
        <v>218</v>
      </c>
      <c r="K105" s="55">
        <v>319502</v>
      </c>
      <c r="L105" s="55">
        <v>641</v>
      </c>
      <c r="M105" s="55">
        <v>320131</v>
      </c>
      <c r="N105" s="55">
        <v>629</v>
      </c>
      <c r="O105" s="55">
        <v>320718</v>
      </c>
      <c r="P105" s="55">
        <v>587</v>
      </c>
      <c r="Q105" s="55">
        <v>321344</v>
      </c>
      <c r="R105" s="55">
        <v>626</v>
      </c>
      <c r="S105" s="90">
        <f t="shared" si="1"/>
        <v>2701</v>
      </c>
      <c r="T105" s="89">
        <v>46204</v>
      </c>
      <c r="U105" s="14"/>
      <c r="V105" s="105" t="s">
        <v>2375</v>
      </c>
      <c r="W105" s="105" t="str">
        <f>VLOOKUP(C105,'Status oficina'!$A$2:$C$208,3,FALSE)</f>
        <v>Activa</v>
      </c>
    </row>
    <row r="106" spans="1:23" ht="13.5" customHeight="1" x14ac:dyDescent="0.25">
      <c r="A106" s="53" t="s">
        <v>2441</v>
      </c>
      <c r="B106" s="14" t="s">
        <v>707</v>
      </c>
      <c r="C106" s="19">
        <v>9907</v>
      </c>
      <c r="D106" s="14" t="s">
        <v>2436</v>
      </c>
      <c r="E106" s="14" t="s">
        <v>413</v>
      </c>
      <c r="F106" s="14" t="s">
        <v>1239</v>
      </c>
      <c r="G106" s="14" t="s">
        <v>303</v>
      </c>
      <c r="H106" s="55">
        <v>131191</v>
      </c>
      <c r="I106" s="55">
        <v>131230</v>
      </c>
      <c r="J106" s="55">
        <v>39</v>
      </c>
      <c r="K106" s="55">
        <v>131259</v>
      </c>
      <c r="L106" s="55">
        <v>29</v>
      </c>
      <c r="M106" s="55">
        <v>131314</v>
      </c>
      <c r="N106" s="55">
        <v>55</v>
      </c>
      <c r="O106" s="55">
        <v>131358</v>
      </c>
      <c r="P106" s="55">
        <v>44</v>
      </c>
      <c r="Q106" s="55">
        <v>131401</v>
      </c>
      <c r="R106" s="55">
        <v>43</v>
      </c>
      <c r="S106" s="90">
        <f t="shared" si="1"/>
        <v>210</v>
      </c>
      <c r="T106" s="89">
        <v>46204</v>
      </c>
      <c r="U106" s="14"/>
      <c r="V106" s="105" t="s">
        <v>2375</v>
      </c>
      <c r="W106" s="105" t="str">
        <f>VLOOKUP(C106,'Status oficina'!$A$2:$C$208,3,FALSE)</f>
        <v>Activa</v>
      </c>
    </row>
    <row r="107" spans="1:23" ht="13.5" customHeight="1" x14ac:dyDescent="0.25">
      <c r="A107" s="14" t="s">
        <v>868</v>
      </c>
      <c r="B107" s="14" t="s">
        <v>881</v>
      </c>
      <c r="C107" s="19">
        <v>9815</v>
      </c>
      <c r="D107" s="14" t="s">
        <v>882</v>
      </c>
      <c r="E107" s="14" t="s">
        <v>413</v>
      </c>
      <c r="F107" s="14" t="s">
        <v>1346</v>
      </c>
      <c r="G107" s="14" t="s">
        <v>65</v>
      </c>
      <c r="H107" s="55">
        <v>161459</v>
      </c>
      <c r="I107" s="55">
        <v>161501</v>
      </c>
      <c r="J107" s="55">
        <v>42</v>
      </c>
      <c r="K107" s="55">
        <v>161568</v>
      </c>
      <c r="L107" s="55">
        <v>67</v>
      </c>
      <c r="M107" s="55">
        <v>161640</v>
      </c>
      <c r="N107" s="55">
        <v>72</v>
      </c>
      <c r="O107" s="55">
        <v>161694</v>
      </c>
      <c r="P107" s="55">
        <v>54</v>
      </c>
      <c r="Q107" s="55">
        <v>161767</v>
      </c>
      <c r="R107" s="55">
        <v>73</v>
      </c>
      <c r="S107" s="90">
        <f t="shared" si="1"/>
        <v>308</v>
      </c>
      <c r="T107" s="89">
        <v>46204</v>
      </c>
      <c r="U107" s="14"/>
      <c r="V107" s="105" t="s">
        <v>2375</v>
      </c>
      <c r="W107" s="105" t="str">
        <f>VLOOKUP(C107,'Status oficina'!$A$2:$C$208,3,FALSE)</f>
        <v>Activa</v>
      </c>
    </row>
    <row r="108" spans="1:23" ht="13.5" customHeight="1" x14ac:dyDescent="0.25">
      <c r="A108" s="14" t="s">
        <v>2082</v>
      </c>
      <c r="B108" s="14" t="s">
        <v>475</v>
      </c>
      <c r="C108" s="19">
        <v>9425</v>
      </c>
      <c r="D108" s="54" t="s">
        <v>1878</v>
      </c>
      <c r="E108" s="14" t="s">
        <v>413</v>
      </c>
      <c r="F108" s="14" t="s">
        <v>479</v>
      </c>
      <c r="G108" s="14" t="s">
        <v>244</v>
      </c>
      <c r="H108" s="55">
        <v>173435</v>
      </c>
      <c r="I108" s="55">
        <v>173537</v>
      </c>
      <c r="J108" s="55">
        <v>102</v>
      </c>
      <c r="K108" s="55">
        <v>174034</v>
      </c>
      <c r="L108" s="55">
        <v>497</v>
      </c>
      <c r="M108" s="55">
        <v>174198</v>
      </c>
      <c r="N108" s="55">
        <v>164</v>
      </c>
      <c r="O108" s="55">
        <v>174505</v>
      </c>
      <c r="P108" s="55">
        <v>307</v>
      </c>
      <c r="Q108" s="55">
        <v>174861</v>
      </c>
      <c r="R108" s="55">
        <v>356</v>
      </c>
      <c r="S108" s="90">
        <f t="shared" si="1"/>
        <v>1426</v>
      </c>
      <c r="T108" s="89">
        <v>46204</v>
      </c>
      <c r="U108" s="54"/>
      <c r="V108" s="105" t="s">
        <v>2375</v>
      </c>
      <c r="W108" s="105" t="str">
        <f>VLOOKUP(C108,'Status oficina'!$A$2:$C$208,3,FALSE)</f>
        <v>Activa</v>
      </c>
    </row>
    <row r="109" spans="1:23" ht="13.5" customHeight="1" x14ac:dyDescent="0.25">
      <c r="A109" s="14" t="s">
        <v>939</v>
      </c>
      <c r="B109" s="14" t="s">
        <v>943</v>
      </c>
      <c r="C109" s="19">
        <v>9580</v>
      </c>
      <c r="D109" s="14" t="s">
        <v>944</v>
      </c>
      <c r="E109" s="14" t="s">
        <v>413</v>
      </c>
      <c r="F109" s="14" t="s">
        <v>1393</v>
      </c>
      <c r="G109" s="14" t="s">
        <v>67</v>
      </c>
      <c r="H109" s="55">
        <v>300977</v>
      </c>
      <c r="I109" s="55">
        <v>300977</v>
      </c>
      <c r="J109" s="55">
        <v>0</v>
      </c>
      <c r="K109" s="55">
        <v>300977</v>
      </c>
      <c r="L109" s="55">
        <v>0</v>
      </c>
      <c r="M109" s="55">
        <v>300977</v>
      </c>
      <c r="N109" s="55">
        <v>0</v>
      </c>
      <c r="O109" s="55">
        <v>300977</v>
      </c>
      <c r="P109" s="55">
        <v>0</v>
      </c>
      <c r="Q109" s="55">
        <v>300977</v>
      </c>
      <c r="R109" s="55">
        <v>0</v>
      </c>
      <c r="S109" s="90">
        <f t="shared" si="1"/>
        <v>0</v>
      </c>
      <c r="T109" s="89">
        <v>46204</v>
      </c>
      <c r="U109" s="14"/>
      <c r="V109" s="105" t="s">
        <v>2375</v>
      </c>
      <c r="W109" s="105" t="str">
        <f>VLOOKUP(C109,'Status oficina'!$A$2:$C$208,3,FALSE)</f>
        <v>Activa</v>
      </c>
    </row>
    <row r="110" spans="1:23" ht="13.5" customHeight="1" x14ac:dyDescent="0.25">
      <c r="A110" s="14" t="s">
        <v>939</v>
      </c>
      <c r="B110" s="14" t="s">
        <v>949</v>
      </c>
      <c r="C110" s="19">
        <v>9560</v>
      </c>
      <c r="D110" s="14" t="s">
        <v>952</v>
      </c>
      <c r="E110" s="14" t="s">
        <v>413</v>
      </c>
      <c r="F110" s="14" t="s">
        <v>1397</v>
      </c>
      <c r="G110" s="14" t="s">
        <v>87</v>
      </c>
      <c r="H110" s="55">
        <v>231861</v>
      </c>
      <c r="I110" s="55">
        <v>231958</v>
      </c>
      <c r="J110" s="55">
        <v>97</v>
      </c>
      <c r="K110" s="55">
        <v>232107</v>
      </c>
      <c r="L110" s="55">
        <v>149</v>
      </c>
      <c r="M110" s="55">
        <v>232265</v>
      </c>
      <c r="N110" s="55">
        <v>158</v>
      </c>
      <c r="O110" s="55">
        <v>232342</v>
      </c>
      <c r="P110" s="55">
        <v>77</v>
      </c>
      <c r="Q110" s="55">
        <v>232461</v>
      </c>
      <c r="R110" s="55">
        <v>119</v>
      </c>
      <c r="S110" s="90">
        <f t="shared" si="1"/>
        <v>600</v>
      </c>
      <c r="T110" s="89">
        <v>46204</v>
      </c>
      <c r="U110" s="14"/>
      <c r="V110" s="105" t="s">
        <v>2375</v>
      </c>
      <c r="W110" s="105" t="str">
        <f>VLOOKUP(C110,'Status oficina'!$A$2:$C$208,3,FALSE)</f>
        <v>Activa</v>
      </c>
    </row>
    <row r="111" spans="1:23" ht="13.5" customHeight="1" x14ac:dyDescent="0.25">
      <c r="A111" s="14" t="s">
        <v>2082</v>
      </c>
      <c r="B111" s="14" t="s">
        <v>462</v>
      </c>
      <c r="C111" s="19">
        <v>9471</v>
      </c>
      <c r="D111" s="14" t="s">
        <v>2116</v>
      </c>
      <c r="E111" s="14" t="s">
        <v>413</v>
      </c>
      <c r="F111" s="14" t="s">
        <v>1094</v>
      </c>
      <c r="G111" s="14" t="s">
        <v>256</v>
      </c>
      <c r="H111" s="55">
        <v>126775</v>
      </c>
      <c r="I111" s="55">
        <v>126775</v>
      </c>
      <c r="J111" s="55">
        <v>0</v>
      </c>
      <c r="K111" s="55">
        <v>126775</v>
      </c>
      <c r="L111" s="55">
        <v>0</v>
      </c>
      <c r="M111" s="55">
        <v>126775</v>
      </c>
      <c r="N111" s="55">
        <v>0</v>
      </c>
      <c r="O111" s="55">
        <v>126775</v>
      </c>
      <c r="P111" s="55">
        <v>0</v>
      </c>
      <c r="Q111" s="55">
        <v>126775</v>
      </c>
      <c r="R111" s="55">
        <v>0</v>
      </c>
      <c r="S111" s="90">
        <f t="shared" si="1"/>
        <v>0</v>
      </c>
      <c r="T111" s="89">
        <v>46204</v>
      </c>
      <c r="U111" s="14" t="s">
        <v>2456</v>
      </c>
      <c r="V111" s="108" t="s">
        <v>2375</v>
      </c>
      <c r="W111" s="105" t="str">
        <f>VLOOKUP(C111,'Status oficina'!$A$2:$C$208,3,FALSE)</f>
        <v>Cierre temporal</v>
      </c>
    </row>
    <row r="112" spans="1:23" ht="13.5" customHeight="1" x14ac:dyDescent="0.25">
      <c r="A112" s="14" t="s">
        <v>2442</v>
      </c>
      <c r="B112" s="14" t="s">
        <v>852</v>
      </c>
      <c r="C112" s="120">
        <v>9289</v>
      </c>
      <c r="D112" s="14" t="s">
        <v>854</v>
      </c>
      <c r="E112" s="14" t="s">
        <v>413</v>
      </c>
      <c r="F112" s="14" t="s">
        <v>2007</v>
      </c>
      <c r="G112" s="14" t="s">
        <v>252</v>
      </c>
      <c r="H112" s="55">
        <v>108014</v>
      </c>
      <c r="I112" s="55">
        <v>108038</v>
      </c>
      <c r="J112" s="55">
        <v>24</v>
      </c>
      <c r="K112" s="55">
        <v>108072</v>
      </c>
      <c r="L112" s="55">
        <v>34</v>
      </c>
      <c r="M112" s="55">
        <v>108138</v>
      </c>
      <c r="N112" s="55">
        <v>66</v>
      </c>
      <c r="O112" s="55">
        <v>108234</v>
      </c>
      <c r="P112" s="55">
        <v>96</v>
      </c>
      <c r="Q112" s="55">
        <v>108299</v>
      </c>
      <c r="R112" s="55">
        <v>65</v>
      </c>
      <c r="S112" s="90">
        <f t="shared" si="1"/>
        <v>285</v>
      </c>
      <c r="T112" s="89">
        <v>46204</v>
      </c>
      <c r="U112" s="14"/>
      <c r="V112" s="105" t="s">
        <v>2375</v>
      </c>
      <c r="W112" s="105" t="str">
        <f>VLOOKUP(C112,'Status oficina'!$A$2:$C$208,3,FALSE)</f>
        <v>Activa</v>
      </c>
    </row>
    <row r="113" spans="1:23" ht="13.5" customHeight="1" x14ac:dyDescent="0.25">
      <c r="A113" s="14" t="s">
        <v>2082</v>
      </c>
      <c r="B113" s="14" t="s">
        <v>600</v>
      </c>
      <c r="C113" s="19">
        <v>9833</v>
      </c>
      <c r="D113" s="49" t="s">
        <v>603</v>
      </c>
      <c r="E113" s="132" t="s">
        <v>417</v>
      </c>
      <c r="F113" s="49" t="s">
        <v>1183</v>
      </c>
      <c r="H113" s="55">
        <v>572116</v>
      </c>
      <c r="I113" s="55">
        <v>572116</v>
      </c>
      <c r="J113" s="55">
        <v>0</v>
      </c>
      <c r="K113" s="55">
        <v>572116</v>
      </c>
      <c r="L113" s="55">
        <v>0</v>
      </c>
      <c r="M113" s="55">
        <v>572116</v>
      </c>
      <c r="N113" s="55">
        <v>0</v>
      </c>
      <c r="O113" s="55">
        <v>572116</v>
      </c>
      <c r="P113" s="55">
        <v>0</v>
      </c>
      <c r="Q113" s="55">
        <v>572116</v>
      </c>
      <c r="R113" s="55">
        <v>0</v>
      </c>
      <c r="S113" s="90">
        <f t="shared" si="1"/>
        <v>0</v>
      </c>
      <c r="T113" s="89">
        <v>46204</v>
      </c>
      <c r="U113" s="14" t="s">
        <v>2498</v>
      </c>
      <c r="V113" s="105" t="s">
        <v>2375</v>
      </c>
      <c r="W113" s="105" t="str">
        <f>VLOOKUP(C113,'Status oficina'!$A$2:$C$208,3,FALSE)</f>
        <v>Activa</v>
      </c>
    </row>
    <row r="114" spans="1:23" ht="13.5" customHeight="1" x14ac:dyDescent="0.25">
      <c r="A114" s="14" t="s">
        <v>939</v>
      </c>
      <c r="B114" s="14" t="s">
        <v>1031</v>
      </c>
      <c r="C114" s="120">
        <v>9612</v>
      </c>
      <c r="D114" s="14" t="s">
        <v>1033</v>
      </c>
      <c r="E114" s="14" t="s">
        <v>413</v>
      </c>
      <c r="F114" s="14" t="s">
        <v>1434</v>
      </c>
      <c r="G114" s="14"/>
      <c r="H114" s="55">
        <v>324296</v>
      </c>
      <c r="I114" s="55">
        <v>324296</v>
      </c>
      <c r="J114" s="55">
        <v>0</v>
      </c>
      <c r="K114" s="55">
        <v>324296</v>
      </c>
      <c r="L114" s="55">
        <v>0</v>
      </c>
      <c r="M114" s="55">
        <v>324296</v>
      </c>
      <c r="N114" s="55">
        <v>0</v>
      </c>
      <c r="O114" s="55">
        <v>324296</v>
      </c>
      <c r="P114" s="55">
        <v>0</v>
      </c>
      <c r="Q114" s="55">
        <v>324296</v>
      </c>
      <c r="R114" s="55">
        <v>0</v>
      </c>
      <c r="S114" s="90">
        <f t="shared" si="1"/>
        <v>0</v>
      </c>
      <c r="T114" s="89">
        <v>46204</v>
      </c>
      <c r="U114" s="14" t="s">
        <v>2462</v>
      </c>
      <c r="V114" s="105" t="s">
        <v>2374</v>
      </c>
      <c r="W114" s="105" t="s">
        <v>2228</v>
      </c>
    </row>
    <row r="115" spans="1:23" ht="13.5" customHeight="1" x14ac:dyDescent="0.25">
      <c r="A115" s="53" t="s">
        <v>2441</v>
      </c>
      <c r="B115" s="14" t="s">
        <v>2394</v>
      </c>
      <c r="C115" s="120">
        <v>9217</v>
      </c>
      <c r="D115" s="14" t="s">
        <v>2167</v>
      </c>
      <c r="E115" s="14" t="s">
        <v>413</v>
      </c>
      <c r="F115" s="14" t="s">
        <v>2119</v>
      </c>
      <c r="G115" s="14" t="s">
        <v>1490</v>
      </c>
      <c r="H115" s="55">
        <v>104525</v>
      </c>
      <c r="I115" s="55">
        <v>104580</v>
      </c>
      <c r="J115" s="55">
        <v>55</v>
      </c>
      <c r="K115" s="55">
        <v>104659</v>
      </c>
      <c r="L115" s="55">
        <v>79</v>
      </c>
      <c r="M115" s="55">
        <v>104789</v>
      </c>
      <c r="N115" s="55">
        <v>130</v>
      </c>
      <c r="O115" s="55">
        <v>104865</v>
      </c>
      <c r="P115" s="55">
        <v>76</v>
      </c>
      <c r="Q115" s="55">
        <v>104960</v>
      </c>
      <c r="R115" s="55">
        <v>95</v>
      </c>
      <c r="S115" s="90">
        <f t="shared" si="1"/>
        <v>435</v>
      </c>
      <c r="T115" s="89">
        <v>46204</v>
      </c>
      <c r="U115" s="14"/>
      <c r="V115" s="105" t="s">
        <v>2375</v>
      </c>
      <c r="W115" s="105" t="str">
        <f>VLOOKUP(C115,'Status oficina'!$A$2:$C$208,3,FALSE)</f>
        <v>Activa</v>
      </c>
    </row>
    <row r="116" spans="1:23" ht="13.5" customHeight="1" x14ac:dyDescent="0.25">
      <c r="A116" s="53" t="s">
        <v>2441</v>
      </c>
      <c r="B116" s="14" t="s">
        <v>705</v>
      </c>
      <c r="C116" s="19">
        <v>9261</v>
      </c>
      <c r="D116" s="14" t="s">
        <v>2189</v>
      </c>
      <c r="E116" s="14" t="s">
        <v>413</v>
      </c>
      <c r="F116" s="14" t="s">
        <v>1063</v>
      </c>
      <c r="G116" s="14" t="s">
        <v>302</v>
      </c>
      <c r="H116" s="55">
        <v>104548</v>
      </c>
      <c r="I116" s="55">
        <v>104611</v>
      </c>
      <c r="J116" s="55">
        <v>63</v>
      </c>
      <c r="K116" s="55">
        <v>104805</v>
      </c>
      <c r="L116" s="55">
        <v>194</v>
      </c>
      <c r="M116" s="55">
        <v>104883</v>
      </c>
      <c r="N116" s="55">
        <v>78</v>
      </c>
      <c r="O116" s="55">
        <v>105111</v>
      </c>
      <c r="P116" s="55">
        <v>228</v>
      </c>
      <c r="Q116" s="55">
        <v>105318</v>
      </c>
      <c r="R116" s="55">
        <v>207</v>
      </c>
      <c r="S116" s="90">
        <f t="shared" si="1"/>
        <v>770</v>
      </c>
      <c r="T116" s="89">
        <v>46204</v>
      </c>
      <c r="U116" s="14"/>
      <c r="V116" s="105" t="s">
        <v>2375</v>
      </c>
      <c r="W116" s="105" t="str">
        <f>VLOOKUP(C116,'Status oficina'!$A$2:$C$208,3,FALSE)</f>
        <v>Activa</v>
      </c>
    </row>
    <row r="117" spans="1:23" ht="13.5" customHeight="1" x14ac:dyDescent="0.25">
      <c r="A117" s="15" t="s">
        <v>939</v>
      </c>
      <c r="B117" s="15" t="s">
        <v>949</v>
      </c>
      <c r="C117" s="19">
        <v>9560</v>
      </c>
      <c r="D117" s="14" t="s">
        <v>953</v>
      </c>
      <c r="E117" s="15" t="s">
        <v>413</v>
      </c>
      <c r="F117" s="14" t="s">
        <v>1425</v>
      </c>
      <c r="G117" s="1"/>
      <c r="H117" s="55">
        <v>227885</v>
      </c>
      <c r="I117" s="55">
        <v>227885</v>
      </c>
      <c r="J117" s="55">
        <v>0</v>
      </c>
      <c r="K117" s="55">
        <v>227885</v>
      </c>
      <c r="L117" s="55">
        <v>0</v>
      </c>
      <c r="M117" s="55">
        <v>227885</v>
      </c>
      <c r="N117" s="55">
        <v>0</v>
      </c>
      <c r="O117" s="55">
        <v>227885</v>
      </c>
      <c r="P117" s="55">
        <v>0</v>
      </c>
      <c r="Q117" s="55">
        <v>227885</v>
      </c>
      <c r="R117" s="55">
        <v>0</v>
      </c>
      <c r="S117" s="90">
        <f t="shared" si="1"/>
        <v>0</v>
      </c>
      <c r="T117" s="89">
        <v>46204</v>
      </c>
      <c r="U117" s="118" t="s">
        <v>2420</v>
      </c>
      <c r="V117" s="105" t="s">
        <v>2374</v>
      </c>
      <c r="W117" s="105" t="str">
        <f>VLOOKUP(C117,'Status oficina'!$A$2:$C$208,3,FALSE)</f>
        <v>Activa</v>
      </c>
    </row>
    <row r="118" spans="1:23" ht="13.5" customHeight="1" x14ac:dyDescent="0.25">
      <c r="A118" s="14" t="s">
        <v>2442</v>
      </c>
      <c r="B118" s="14" t="s">
        <v>784</v>
      </c>
      <c r="C118" s="19">
        <v>9911</v>
      </c>
      <c r="D118" s="14" t="s">
        <v>786</v>
      </c>
      <c r="E118" s="14" t="s">
        <v>413</v>
      </c>
      <c r="F118" s="14" t="s">
        <v>1286</v>
      </c>
      <c r="G118" s="14" t="s">
        <v>321</v>
      </c>
      <c r="H118" s="55">
        <v>287736</v>
      </c>
      <c r="I118" s="55">
        <v>287736</v>
      </c>
      <c r="J118" s="55">
        <v>0</v>
      </c>
      <c r="K118" s="55">
        <v>287736</v>
      </c>
      <c r="L118" s="55">
        <v>0</v>
      </c>
      <c r="M118" s="55">
        <v>287736</v>
      </c>
      <c r="N118" s="55">
        <v>0</v>
      </c>
      <c r="O118" s="55">
        <v>287736</v>
      </c>
      <c r="P118" s="55">
        <v>0</v>
      </c>
      <c r="Q118" s="55">
        <v>287736</v>
      </c>
      <c r="R118" s="55">
        <v>0</v>
      </c>
      <c r="S118" s="90">
        <f t="shared" si="1"/>
        <v>0</v>
      </c>
      <c r="T118" s="89">
        <v>46204</v>
      </c>
      <c r="U118" s="14" t="s">
        <v>2395</v>
      </c>
      <c r="V118" s="105" t="s">
        <v>2374</v>
      </c>
      <c r="W118" s="105" t="str">
        <f>VLOOKUP(C118,'Status oficina'!$A$2:$C$208,3,FALSE)</f>
        <v>Activa</v>
      </c>
    </row>
    <row r="119" spans="1:23" ht="13.5" customHeight="1" x14ac:dyDescent="0.25">
      <c r="A119" s="14" t="s">
        <v>2082</v>
      </c>
      <c r="B119" s="14" t="s">
        <v>501</v>
      </c>
      <c r="C119" s="120">
        <v>9461</v>
      </c>
      <c r="D119" s="14" t="s">
        <v>503</v>
      </c>
      <c r="E119" s="14" t="s">
        <v>413</v>
      </c>
      <c r="F119" s="14" t="s">
        <v>1123</v>
      </c>
      <c r="G119" s="14" t="s">
        <v>258</v>
      </c>
      <c r="H119" s="55">
        <v>68916</v>
      </c>
      <c r="I119" s="55">
        <v>68916</v>
      </c>
      <c r="J119" s="55">
        <v>0</v>
      </c>
      <c r="K119" s="55">
        <v>68916</v>
      </c>
      <c r="L119" s="55">
        <v>0</v>
      </c>
      <c r="M119" s="55">
        <v>68916</v>
      </c>
      <c r="N119" s="55">
        <v>0</v>
      </c>
      <c r="O119" s="55">
        <v>68916</v>
      </c>
      <c r="P119" s="55">
        <v>0</v>
      </c>
      <c r="Q119" s="55">
        <v>68916</v>
      </c>
      <c r="R119" s="55">
        <v>0</v>
      </c>
      <c r="S119" s="90">
        <f t="shared" si="1"/>
        <v>0</v>
      </c>
      <c r="T119" s="89">
        <v>46204</v>
      </c>
      <c r="U119" s="14"/>
      <c r="V119" s="105" t="s">
        <v>2375</v>
      </c>
      <c r="W119" s="105" t="str">
        <f>VLOOKUP(C119,'Status oficina'!$A$2:$C$208,3,FALSE)</f>
        <v>Activa</v>
      </c>
    </row>
    <row r="120" spans="1:23" ht="13.5" customHeight="1" x14ac:dyDescent="0.25">
      <c r="A120" s="14" t="s">
        <v>939</v>
      </c>
      <c r="B120" s="14" t="s">
        <v>1022</v>
      </c>
      <c r="C120" s="120">
        <v>9615</v>
      </c>
      <c r="D120" s="14" t="s">
        <v>2120</v>
      </c>
      <c r="E120" s="14" t="s">
        <v>413</v>
      </c>
      <c r="F120" s="14" t="s">
        <v>1443</v>
      </c>
      <c r="G120" s="14" t="s">
        <v>270</v>
      </c>
      <c r="H120" s="55">
        <v>141131</v>
      </c>
      <c r="I120" s="55">
        <v>141190</v>
      </c>
      <c r="J120" s="55">
        <v>59</v>
      </c>
      <c r="K120" s="55">
        <v>141405</v>
      </c>
      <c r="L120" s="55">
        <v>215</v>
      </c>
      <c r="M120" s="55">
        <v>141523</v>
      </c>
      <c r="N120" s="55">
        <v>118</v>
      </c>
      <c r="O120" s="55">
        <v>141577</v>
      </c>
      <c r="P120" s="55">
        <v>54</v>
      </c>
      <c r="Q120" s="55">
        <v>141715</v>
      </c>
      <c r="R120" s="55">
        <v>138</v>
      </c>
      <c r="S120" s="90">
        <f t="shared" si="1"/>
        <v>584</v>
      </c>
      <c r="T120" s="89">
        <v>46204</v>
      </c>
      <c r="U120" s="14"/>
      <c r="V120" s="105" t="s">
        <v>2375</v>
      </c>
      <c r="W120" s="105" t="str">
        <f>VLOOKUP(C120,'Status oficina'!$A$2:$C$208,3,FALSE)</f>
        <v>Activa</v>
      </c>
    </row>
    <row r="121" spans="1:23" ht="13.5" customHeight="1" x14ac:dyDescent="0.25">
      <c r="A121" s="14" t="s">
        <v>939</v>
      </c>
      <c r="B121" s="14" t="s">
        <v>980</v>
      </c>
      <c r="C121" s="120">
        <v>9655</v>
      </c>
      <c r="D121" s="14" t="s">
        <v>983</v>
      </c>
      <c r="E121" s="14" t="s">
        <v>413</v>
      </c>
      <c r="F121" s="14" t="s">
        <v>1420</v>
      </c>
      <c r="G121" s="14" t="s">
        <v>2446</v>
      </c>
      <c r="H121" s="55">
        <v>255248</v>
      </c>
      <c r="I121" s="55">
        <v>255431</v>
      </c>
      <c r="J121" s="55">
        <v>183</v>
      </c>
      <c r="K121" s="55">
        <v>255960</v>
      </c>
      <c r="L121" s="55">
        <v>529</v>
      </c>
      <c r="M121" s="55">
        <v>256403</v>
      </c>
      <c r="N121" s="55">
        <v>443</v>
      </c>
      <c r="O121" s="55">
        <v>256691</v>
      </c>
      <c r="P121" s="55">
        <v>288</v>
      </c>
      <c r="Q121" s="55">
        <v>257064</v>
      </c>
      <c r="R121" s="55">
        <v>373</v>
      </c>
      <c r="S121" s="90">
        <f t="shared" si="1"/>
        <v>1816</v>
      </c>
      <c r="T121" s="89">
        <v>46204</v>
      </c>
      <c r="U121" s="14" t="s">
        <v>2447</v>
      </c>
      <c r="V121" s="108" t="s">
        <v>2375</v>
      </c>
      <c r="W121" s="105" t="str">
        <f>VLOOKUP(C121,'Status oficina'!$A$2:$C$208,3,FALSE)</f>
        <v>Activa</v>
      </c>
    </row>
    <row r="122" spans="1:23" ht="13.5" customHeight="1" x14ac:dyDescent="0.25">
      <c r="A122" s="14" t="s">
        <v>2082</v>
      </c>
      <c r="B122" s="14" t="s">
        <v>475</v>
      </c>
      <c r="C122" s="19">
        <v>9425</v>
      </c>
      <c r="D122" s="14" t="s">
        <v>478</v>
      </c>
      <c r="E122" s="14" t="s">
        <v>413</v>
      </c>
      <c r="F122" s="14" t="s">
        <v>1105</v>
      </c>
      <c r="G122" s="14"/>
      <c r="H122" s="55">
        <v>373057</v>
      </c>
      <c r="I122" s="55">
        <v>373057</v>
      </c>
      <c r="J122" s="55">
        <v>0</v>
      </c>
      <c r="K122" s="55">
        <v>373057</v>
      </c>
      <c r="L122" s="55">
        <v>0</v>
      </c>
      <c r="M122" s="55">
        <v>373057</v>
      </c>
      <c r="N122" s="55">
        <v>0</v>
      </c>
      <c r="O122" s="55">
        <v>373057</v>
      </c>
      <c r="P122" s="55">
        <v>0</v>
      </c>
      <c r="Q122" s="55">
        <v>373057</v>
      </c>
      <c r="R122" s="55">
        <v>0</v>
      </c>
      <c r="S122" s="90">
        <f t="shared" si="1"/>
        <v>0</v>
      </c>
      <c r="T122" s="89">
        <v>46204</v>
      </c>
      <c r="U122" s="14" t="s">
        <v>2127</v>
      </c>
      <c r="V122" s="105" t="s">
        <v>2374</v>
      </c>
      <c r="W122" s="105" t="str">
        <f>VLOOKUP(C122,'Status oficina'!$A$2:$C$208,3,FALSE)</f>
        <v>Activa</v>
      </c>
    </row>
    <row r="123" spans="1:23" ht="13.5" customHeight="1" x14ac:dyDescent="0.25">
      <c r="A123" s="14" t="s">
        <v>939</v>
      </c>
      <c r="B123" s="14" t="s">
        <v>1046</v>
      </c>
      <c r="C123" s="120">
        <v>9675</v>
      </c>
      <c r="D123" s="14" t="s">
        <v>1047</v>
      </c>
      <c r="E123" s="14" t="s">
        <v>413</v>
      </c>
      <c r="F123" s="14" t="s">
        <v>1459</v>
      </c>
      <c r="G123" s="14" t="s">
        <v>107</v>
      </c>
      <c r="H123" s="55">
        <v>124109</v>
      </c>
      <c r="I123" s="55">
        <v>124109</v>
      </c>
      <c r="J123" s="55">
        <v>0</v>
      </c>
      <c r="K123" s="55">
        <v>124109</v>
      </c>
      <c r="L123" s="55">
        <v>0</v>
      </c>
      <c r="M123" s="55">
        <v>124109</v>
      </c>
      <c r="N123" s="55">
        <v>0</v>
      </c>
      <c r="O123" s="55">
        <v>124109</v>
      </c>
      <c r="P123" s="55">
        <v>0</v>
      </c>
      <c r="Q123" s="55">
        <v>124109</v>
      </c>
      <c r="R123" s="55">
        <v>0</v>
      </c>
      <c r="S123" s="90">
        <f t="shared" si="1"/>
        <v>0</v>
      </c>
      <c r="T123" s="89">
        <v>46204</v>
      </c>
      <c r="U123" s="14" t="s">
        <v>2396</v>
      </c>
      <c r="V123" s="108" t="s">
        <v>2374</v>
      </c>
      <c r="W123" s="105" t="str">
        <f>VLOOKUP(C123,'Status oficina'!$A$2:$C$208,3,FALSE)</f>
        <v>Activa</v>
      </c>
    </row>
    <row r="124" spans="1:23" ht="13.5" customHeight="1" x14ac:dyDescent="0.25">
      <c r="A124" s="14" t="s">
        <v>2442</v>
      </c>
      <c r="B124" s="14" t="s">
        <v>775</v>
      </c>
      <c r="C124" s="19">
        <v>9908</v>
      </c>
      <c r="D124" s="14" t="s">
        <v>776</v>
      </c>
      <c r="E124" s="14" t="s">
        <v>413</v>
      </c>
      <c r="F124" s="14" t="s">
        <v>1974</v>
      </c>
      <c r="G124" s="14" t="s">
        <v>319</v>
      </c>
      <c r="H124" s="55">
        <v>38367</v>
      </c>
      <c r="I124" s="55">
        <v>38367</v>
      </c>
      <c r="J124" s="55">
        <v>0</v>
      </c>
      <c r="K124" s="55">
        <v>38367</v>
      </c>
      <c r="L124" s="55">
        <v>0</v>
      </c>
      <c r="M124" s="55">
        <v>38367</v>
      </c>
      <c r="N124" s="55">
        <v>0</v>
      </c>
      <c r="O124" s="55">
        <v>38367</v>
      </c>
      <c r="P124" s="55">
        <v>0</v>
      </c>
      <c r="Q124" s="55">
        <v>38367</v>
      </c>
      <c r="R124" s="55">
        <v>0</v>
      </c>
      <c r="S124" s="90">
        <f t="shared" si="1"/>
        <v>0</v>
      </c>
      <c r="T124" s="89">
        <v>46204</v>
      </c>
      <c r="U124" s="13"/>
      <c r="V124" s="105" t="s">
        <v>2231</v>
      </c>
      <c r="W124" s="105" t="s">
        <v>2231</v>
      </c>
    </row>
    <row r="125" spans="1:23" ht="13.5" customHeight="1" x14ac:dyDescent="0.25">
      <c r="A125" s="14" t="s">
        <v>2442</v>
      </c>
      <c r="B125" s="14" t="s">
        <v>2382</v>
      </c>
      <c r="C125" s="19">
        <v>9229</v>
      </c>
      <c r="D125" s="14" t="s">
        <v>841</v>
      </c>
      <c r="E125" s="14" t="s">
        <v>413</v>
      </c>
      <c r="F125" s="14" t="s">
        <v>1451</v>
      </c>
      <c r="G125" s="14" t="s">
        <v>1536</v>
      </c>
      <c r="H125" s="55">
        <v>226137</v>
      </c>
      <c r="I125" s="55">
        <v>226402</v>
      </c>
      <c r="J125" s="55">
        <v>265</v>
      </c>
      <c r="K125" s="55">
        <v>227055</v>
      </c>
      <c r="L125" s="55">
        <v>653</v>
      </c>
      <c r="M125" s="55">
        <v>227691</v>
      </c>
      <c r="N125" s="55">
        <v>636</v>
      </c>
      <c r="O125" s="55">
        <v>228292</v>
      </c>
      <c r="P125" s="55">
        <v>601</v>
      </c>
      <c r="Q125" s="55">
        <v>229029</v>
      </c>
      <c r="R125" s="55">
        <v>737</v>
      </c>
      <c r="S125" s="90">
        <f t="shared" si="1"/>
        <v>2892</v>
      </c>
      <c r="T125" s="89">
        <v>46204</v>
      </c>
      <c r="U125" s="14"/>
      <c r="V125" s="105" t="s">
        <v>2375</v>
      </c>
      <c r="W125" s="105" t="s">
        <v>2228</v>
      </c>
    </row>
    <row r="126" spans="1:23" ht="13.5" customHeight="1" x14ac:dyDescent="0.25">
      <c r="A126" s="14" t="s">
        <v>939</v>
      </c>
      <c r="B126" s="14" t="s">
        <v>1020</v>
      </c>
      <c r="C126" s="22">
        <v>9530</v>
      </c>
      <c r="D126" s="14" t="s">
        <v>2097</v>
      </c>
      <c r="E126" s="15" t="s">
        <v>413</v>
      </c>
      <c r="F126" s="14" t="s">
        <v>1437</v>
      </c>
      <c r="G126" s="1" t="s">
        <v>350</v>
      </c>
      <c r="H126" s="55">
        <v>88153</v>
      </c>
      <c r="I126" s="55">
        <v>88358</v>
      </c>
      <c r="J126" s="55">
        <v>205</v>
      </c>
      <c r="K126" s="55">
        <v>88713</v>
      </c>
      <c r="L126" s="55">
        <v>355</v>
      </c>
      <c r="M126" s="55">
        <v>89189</v>
      </c>
      <c r="N126" s="55">
        <v>476</v>
      </c>
      <c r="O126" s="55">
        <v>89189</v>
      </c>
      <c r="P126" s="55">
        <v>0</v>
      </c>
      <c r="Q126" s="55">
        <v>89719</v>
      </c>
      <c r="R126" s="55">
        <v>530</v>
      </c>
      <c r="S126" s="90">
        <f t="shared" si="1"/>
        <v>1566</v>
      </c>
      <c r="T126" s="89">
        <v>46204</v>
      </c>
      <c r="U126" s="14"/>
      <c r="V126" s="105" t="s">
        <v>2375</v>
      </c>
      <c r="W126" s="105" t="str">
        <f>VLOOKUP(C126,'Status oficina'!$A$2:$C$208,3,FALSE)</f>
        <v>Activa</v>
      </c>
    </row>
    <row r="127" spans="1:23" ht="13.5" customHeight="1" x14ac:dyDescent="0.25">
      <c r="A127" s="14" t="s">
        <v>2082</v>
      </c>
      <c r="B127" s="14" t="s">
        <v>513</v>
      </c>
      <c r="C127" s="22">
        <v>9429</v>
      </c>
      <c r="D127" s="14" t="s">
        <v>514</v>
      </c>
      <c r="E127" s="14" t="s">
        <v>413</v>
      </c>
      <c r="F127" s="14" t="s">
        <v>1133</v>
      </c>
      <c r="G127" s="14" t="s">
        <v>267</v>
      </c>
      <c r="H127" s="55">
        <v>121282</v>
      </c>
      <c r="I127" s="55">
        <v>121282</v>
      </c>
      <c r="J127" s="55">
        <v>0</v>
      </c>
      <c r="K127" s="55">
        <v>121282</v>
      </c>
      <c r="L127" s="55">
        <v>0</v>
      </c>
      <c r="M127" s="55">
        <v>121282</v>
      </c>
      <c r="N127" s="55">
        <v>0</v>
      </c>
      <c r="O127" s="55">
        <v>121282</v>
      </c>
      <c r="P127" s="55">
        <v>0</v>
      </c>
      <c r="Q127" s="55">
        <v>121282</v>
      </c>
      <c r="R127" s="55">
        <v>0</v>
      </c>
      <c r="S127" s="90">
        <f t="shared" si="1"/>
        <v>0</v>
      </c>
      <c r="T127" s="89">
        <v>46204</v>
      </c>
      <c r="U127" s="14" t="s">
        <v>2393</v>
      </c>
      <c r="V127" s="105" t="s">
        <v>2374</v>
      </c>
      <c r="W127" s="105" t="s">
        <v>2231</v>
      </c>
    </row>
    <row r="128" spans="1:23" ht="13.5" customHeight="1" x14ac:dyDescent="0.25">
      <c r="A128" s="14" t="s">
        <v>939</v>
      </c>
      <c r="B128" s="14" t="s">
        <v>1003</v>
      </c>
      <c r="C128" s="120">
        <v>9536</v>
      </c>
      <c r="D128" s="54" t="s">
        <v>1006</v>
      </c>
      <c r="E128" s="54" t="s">
        <v>413</v>
      </c>
      <c r="F128" s="54" t="s">
        <v>1007</v>
      </c>
      <c r="G128" s="54" t="s">
        <v>398</v>
      </c>
      <c r="H128" s="55">
        <v>75170</v>
      </c>
      <c r="I128" s="55">
        <v>75215</v>
      </c>
      <c r="J128" s="55">
        <v>45</v>
      </c>
      <c r="K128" s="55">
        <v>75326</v>
      </c>
      <c r="L128" s="55">
        <v>111</v>
      </c>
      <c r="M128" s="55">
        <v>75411</v>
      </c>
      <c r="N128" s="55">
        <v>85</v>
      </c>
      <c r="O128" s="55">
        <v>75464</v>
      </c>
      <c r="P128" s="55">
        <v>53</v>
      </c>
      <c r="Q128" s="55">
        <v>75529</v>
      </c>
      <c r="R128" s="55">
        <v>65</v>
      </c>
      <c r="S128" s="90">
        <f t="shared" si="1"/>
        <v>359</v>
      </c>
      <c r="T128" s="89">
        <v>46204</v>
      </c>
      <c r="U128" s="14"/>
      <c r="V128" s="105" t="s">
        <v>2375</v>
      </c>
      <c r="W128" s="105" t="str">
        <f>VLOOKUP(C128,'Status oficina'!$A$2:$C$208,3,FALSE)</f>
        <v>Activa</v>
      </c>
    </row>
    <row r="129" spans="1:23" ht="13.5" customHeight="1" x14ac:dyDescent="0.25">
      <c r="A129" s="53" t="s">
        <v>2441</v>
      </c>
      <c r="B129" s="14" t="s">
        <v>2394</v>
      </c>
      <c r="C129" s="120">
        <v>9217</v>
      </c>
      <c r="D129" s="14" t="s">
        <v>1805</v>
      </c>
      <c r="E129" s="14" t="s">
        <v>413</v>
      </c>
      <c r="F129" s="14" t="s">
        <v>2170</v>
      </c>
      <c r="G129" s="14" t="s">
        <v>1487</v>
      </c>
      <c r="H129" s="55">
        <v>30478</v>
      </c>
      <c r="I129" s="55">
        <v>30694</v>
      </c>
      <c r="J129" s="55">
        <v>216</v>
      </c>
      <c r="K129" s="55">
        <v>31124</v>
      </c>
      <c r="L129" s="55">
        <v>430</v>
      </c>
      <c r="M129" s="55">
        <v>31454</v>
      </c>
      <c r="N129" s="55">
        <v>330</v>
      </c>
      <c r="O129" s="55">
        <v>31669</v>
      </c>
      <c r="P129" s="55">
        <v>215</v>
      </c>
      <c r="Q129" s="55">
        <v>32003</v>
      </c>
      <c r="R129" s="55">
        <v>334</v>
      </c>
      <c r="S129" s="90">
        <f t="shared" si="1"/>
        <v>1525</v>
      </c>
      <c r="T129" s="89">
        <v>46204</v>
      </c>
      <c r="U129" s="14"/>
      <c r="V129" s="105" t="s">
        <v>2375</v>
      </c>
      <c r="W129" s="105" t="str">
        <f>VLOOKUP(C129,'Status oficina'!$A$2:$C$208,3,FALSE)</f>
        <v>Activa</v>
      </c>
    </row>
    <row r="130" spans="1:23" ht="13.5" customHeight="1" x14ac:dyDescent="0.25">
      <c r="A130" s="14" t="s">
        <v>2082</v>
      </c>
      <c r="B130" s="14" t="s">
        <v>600</v>
      </c>
      <c r="C130" s="19">
        <v>9833</v>
      </c>
      <c r="D130" s="54" t="s">
        <v>604</v>
      </c>
      <c r="E130" s="54" t="s">
        <v>417</v>
      </c>
      <c r="F130" s="54" t="s">
        <v>1060</v>
      </c>
      <c r="G130" s="54" t="s">
        <v>304</v>
      </c>
      <c r="H130" s="55">
        <v>1030408</v>
      </c>
      <c r="I130" s="55">
        <v>1032847</v>
      </c>
      <c r="J130" s="55">
        <v>2439</v>
      </c>
      <c r="K130" s="55">
        <v>1037845</v>
      </c>
      <c r="L130" s="55">
        <v>4998</v>
      </c>
      <c r="M130" s="55">
        <v>1042313</v>
      </c>
      <c r="N130" s="55">
        <v>4468</v>
      </c>
      <c r="O130" s="55">
        <v>1045112</v>
      </c>
      <c r="P130" s="55">
        <v>2799</v>
      </c>
      <c r="Q130" s="55">
        <v>1048755</v>
      </c>
      <c r="R130" s="55">
        <v>3643</v>
      </c>
      <c r="S130" s="90">
        <f t="shared" si="1"/>
        <v>18347</v>
      </c>
      <c r="T130" s="89">
        <v>46204</v>
      </c>
      <c r="U130" s="14"/>
      <c r="V130" s="105" t="s">
        <v>2375</v>
      </c>
      <c r="W130" s="105" t="str">
        <f>VLOOKUP(C130,'Status oficina'!$A$2:$C$208,3,FALSE)</f>
        <v>Activa</v>
      </c>
    </row>
    <row r="131" spans="1:23" ht="13.5" customHeight="1" x14ac:dyDescent="0.25">
      <c r="A131" s="14" t="s">
        <v>2442</v>
      </c>
      <c r="B131" s="14" t="s">
        <v>780</v>
      </c>
      <c r="C131" s="19">
        <v>9282</v>
      </c>
      <c r="D131" s="14" t="s">
        <v>782</v>
      </c>
      <c r="E131" s="14" t="s">
        <v>417</v>
      </c>
      <c r="F131" s="14" t="s">
        <v>1222</v>
      </c>
      <c r="G131" s="14" t="s">
        <v>206</v>
      </c>
      <c r="H131" s="55">
        <v>464916</v>
      </c>
      <c r="I131" s="55">
        <v>465620</v>
      </c>
      <c r="J131" s="55">
        <v>704</v>
      </c>
      <c r="K131" s="55">
        <v>467423</v>
      </c>
      <c r="L131" s="55">
        <v>1803</v>
      </c>
      <c r="M131" s="55">
        <v>468959</v>
      </c>
      <c r="N131" s="55">
        <v>1536</v>
      </c>
      <c r="O131" s="55">
        <v>470313</v>
      </c>
      <c r="P131" s="55">
        <v>1354</v>
      </c>
      <c r="Q131" s="55">
        <v>471917</v>
      </c>
      <c r="R131" s="55">
        <v>1604</v>
      </c>
      <c r="S131" s="90">
        <f t="shared" ref="S131:S194" si="2">R131+P131+N131+L131+J131</f>
        <v>7001</v>
      </c>
      <c r="T131" s="89">
        <v>46204</v>
      </c>
      <c r="U131" s="14"/>
      <c r="V131" s="105" t="s">
        <v>2375</v>
      </c>
      <c r="W131" s="105" t="str">
        <f>VLOOKUP(C131,'Status oficina'!$A$2:$C$208,3,FALSE)</f>
        <v>Activa</v>
      </c>
    </row>
    <row r="132" spans="1:23" ht="13.5" customHeight="1" x14ac:dyDescent="0.25">
      <c r="A132" s="53" t="s">
        <v>2441</v>
      </c>
      <c r="B132" s="14" t="s">
        <v>691</v>
      </c>
      <c r="C132" s="120">
        <v>9213</v>
      </c>
      <c r="D132" s="14" t="s">
        <v>692</v>
      </c>
      <c r="E132" s="14" t="s">
        <v>417</v>
      </c>
      <c r="F132" s="14" t="s">
        <v>1229</v>
      </c>
      <c r="G132" s="14" t="s">
        <v>85</v>
      </c>
      <c r="H132" s="55">
        <v>709795</v>
      </c>
      <c r="I132" s="55">
        <v>710620</v>
      </c>
      <c r="J132" s="55">
        <v>825</v>
      </c>
      <c r="K132" s="55">
        <v>712021</v>
      </c>
      <c r="L132" s="55">
        <v>1401</v>
      </c>
      <c r="M132" s="55">
        <v>713312</v>
      </c>
      <c r="N132" s="55">
        <v>1291</v>
      </c>
      <c r="O132" s="55">
        <v>714385</v>
      </c>
      <c r="P132" s="55">
        <v>1073</v>
      </c>
      <c r="Q132" s="55">
        <v>715694</v>
      </c>
      <c r="R132" s="55">
        <v>1309</v>
      </c>
      <c r="S132" s="90">
        <f t="shared" si="2"/>
        <v>5899</v>
      </c>
      <c r="T132" s="89">
        <v>46204</v>
      </c>
      <c r="U132" s="14"/>
      <c r="V132" s="105" t="s">
        <v>2375</v>
      </c>
      <c r="W132" s="105" t="str">
        <f>VLOOKUP(C132,'Status oficina'!$A$2:$C$208,3,FALSE)</f>
        <v>Activa</v>
      </c>
    </row>
    <row r="133" spans="1:23" ht="13.5" customHeight="1" x14ac:dyDescent="0.25">
      <c r="A133" s="14" t="s">
        <v>2442</v>
      </c>
      <c r="B133" s="14" t="s">
        <v>661</v>
      </c>
      <c r="C133" s="19">
        <v>9234</v>
      </c>
      <c r="D133" s="14" t="s">
        <v>663</v>
      </c>
      <c r="E133" s="14" t="s">
        <v>417</v>
      </c>
      <c r="F133" s="14" t="s">
        <v>1212</v>
      </c>
      <c r="G133" s="14" t="s">
        <v>275</v>
      </c>
      <c r="H133" s="55">
        <v>653515</v>
      </c>
      <c r="I133" s="55">
        <v>653515</v>
      </c>
      <c r="J133" s="55">
        <v>0</v>
      </c>
      <c r="K133" s="55">
        <v>653515</v>
      </c>
      <c r="L133" s="55">
        <v>0</v>
      </c>
      <c r="M133" s="55">
        <v>653515</v>
      </c>
      <c r="N133" s="55">
        <v>0</v>
      </c>
      <c r="O133" s="55">
        <v>653515</v>
      </c>
      <c r="P133" s="55">
        <v>0</v>
      </c>
      <c r="Q133" s="55">
        <v>653515</v>
      </c>
      <c r="R133" s="55">
        <v>0</v>
      </c>
      <c r="S133" s="90">
        <f t="shared" si="2"/>
        <v>0</v>
      </c>
      <c r="T133" s="89">
        <v>46204</v>
      </c>
      <c r="U133" s="14"/>
      <c r="V133" s="105" t="s">
        <v>2476</v>
      </c>
      <c r="W133" s="105" t="str">
        <f>VLOOKUP(C133,'Status oficina'!$A$2:$C$208,3,FALSE)</f>
        <v>Cierre temporal</v>
      </c>
    </row>
    <row r="134" spans="1:23" ht="13.5" customHeight="1" x14ac:dyDescent="0.25">
      <c r="A134" s="14" t="s">
        <v>2442</v>
      </c>
      <c r="B134" s="14" t="s">
        <v>677</v>
      </c>
      <c r="C134" s="120">
        <v>9259</v>
      </c>
      <c r="D134" s="14" t="s">
        <v>678</v>
      </c>
      <c r="E134" s="14" t="s">
        <v>417</v>
      </c>
      <c r="F134" s="14" t="s">
        <v>1221</v>
      </c>
      <c r="G134" s="14" t="s">
        <v>33</v>
      </c>
      <c r="H134" s="55">
        <v>835948</v>
      </c>
      <c r="I134" s="55">
        <v>836388</v>
      </c>
      <c r="J134" s="55">
        <v>440</v>
      </c>
      <c r="K134" s="55">
        <v>837546</v>
      </c>
      <c r="L134" s="55">
        <v>1158</v>
      </c>
      <c r="M134" s="55">
        <v>838652</v>
      </c>
      <c r="N134" s="55">
        <v>1106</v>
      </c>
      <c r="O134" s="55">
        <v>839465</v>
      </c>
      <c r="P134" s="55">
        <v>813</v>
      </c>
      <c r="Q134" s="55">
        <v>840748</v>
      </c>
      <c r="R134" s="55">
        <v>1283</v>
      </c>
      <c r="S134" s="90">
        <f t="shared" si="2"/>
        <v>4800</v>
      </c>
      <c r="T134" s="89">
        <v>46204</v>
      </c>
      <c r="U134" s="14"/>
      <c r="V134" s="105" t="s">
        <v>2375</v>
      </c>
      <c r="W134" s="105" t="str">
        <f>VLOOKUP(C134,'Status oficina'!$A$2:$C$208,3,FALSE)</f>
        <v>Activa</v>
      </c>
    </row>
    <row r="135" spans="1:23" ht="13.5" customHeight="1" x14ac:dyDescent="0.25">
      <c r="A135" s="14" t="s">
        <v>2082</v>
      </c>
      <c r="B135" s="14" t="s">
        <v>611</v>
      </c>
      <c r="C135" s="19">
        <v>9445</v>
      </c>
      <c r="D135" s="14" t="s">
        <v>612</v>
      </c>
      <c r="E135" s="14" t="s">
        <v>417</v>
      </c>
      <c r="F135" s="14" t="s">
        <v>1184</v>
      </c>
      <c r="G135" s="14" t="s">
        <v>106</v>
      </c>
      <c r="H135" s="55">
        <v>359792</v>
      </c>
      <c r="I135" s="55">
        <v>359792</v>
      </c>
      <c r="J135" s="55">
        <v>0</v>
      </c>
      <c r="K135" s="55">
        <v>359792</v>
      </c>
      <c r="L135" s="55">
        <v>0</v>
      </c>
      <c r="M135" s="55">
        <v>359792</v>
      </c>
      <c r="N135" s="55">
        <v>0</v>
      </c>
      <c r="O135" s="55">
        <v>359792</v>
      </c>
      <c r="P135" s="55">
        <v>0</v>
      </c>
      <c r="Q135" s="55">
        <v>359792</v>
      </c>
      <c r="R135" s="55">
        <v>0</v>
      </c>
      <c r="S135" s="90">
        <f t="shared" si="2"/>
        <v>0</v>
      </c>
      <c r="T135" s="89">
        <v>46204</v>
      </c>
      <c r="U135" s="14"/>
      <c r="V135" s="105" t="s">
        <v>2231</v>
      </c>
      <c r="W135" s="105" t="str">
        <f>VLOOKUP(C135,'Status oficina'!$A$2:$C$208,3,FALSE)</f>
        <v>Cierre temporal</v>
      </c>
    </row>
    <row r="136" spans="1:23" ht="13.5" customHeight="1" x14ac:dyDescent="0.25">
      <c r="A136" s="53" t="s">
        <v>2441</v>
      </c>
      <c r="B136" s="14" t="s">
        <v>639</v>
      </c>
      <c r="C136" s="19">
        <v>9214</v>
      </c>
      <c r="D136" s="14" t="s">
        <v>640</v>
      </c>
      <c r="E136" s="14" t="s">
        <v>417</v>
      </c>
      <c r="F136" s="10" t="s">
        <v>1199</v>
      </c>
      <c r="G136" s="14" t="s">
        <v>41</v>
      </c>
      <c r="H136" s="55">
        <v>660404</v>
      </c>
      <c r="I136" s="55">
        <v>660404</v>
      </c>
      <c r="J136" s="55">
        <v>0</v>
      </c>
      <c r="K136" s="55">
        <v>660404</v>
      </c>
      <c r="L136" s="55">
        <v>0</v>
      </c>
      <c r="M136" s="55">
        <v>660404</v>
      </c>
      <c r="N136" s="55">
        <v>0</v>
      </c>
      <c r="O136" s="55">
        <v>660404</v>
      </c>
      <c r="P136" s="55">
        <v>0</v>
      </c>
      <c r="Q136" s="55">
        <v>660404</v>
      </c>
      <c r="R136" s="55">
        <v>0</v>
      </c>
      <c r="S136" s="90">
        <f t="shared" si="2"/>
        <v>0</v>
      </c>
      <c r="T136" s="89">
        <v>46204</v>
      </c>
      <c r="U136" s="14"/>
      <c r="V136" s="105" t="s">
        <v>2231</v>
      </c>
      <c r="W136" s="105" t="s">
        <v>2231</v>
      </c>
    </row>
    <row r="137" spans="1:23" ht="13.5" customHeight="1" x14ac:dyDescent="0.25">
      <c r="A137" s="53" t="s">
        <v>868</v>
      </c>
      <c r="B137" s="53" t="s">
        <v>432</v>
      </c>
      <c r="C137" s="120">
        <v>9822</v>
      </c>
      <c r="D137" s="14" t="s">
        <v>440</v>
      </c>
      <c r="E137" s="14" t="s">
        <v>417</v>
      </c>
      <c r="F137" s="14" t="s">
        <v>1080</v>
      </c>
      <c r="G137" s="14" t="s">
        <v>384</v>
      </c>
      <c r="H137" s="55">
        <v>821348</v>
      </c>
      <c r="I137" s="55">
        <v>822503</v>
      </c>
      <c r="J137" s="55">
        <v>1155</v>
      </c>
      <c r="K137" s="55">
        <v>825320</v>
      </c>
      <c r="L137" s="55">
        <v>2817</v>
      </c>
      <c r="M137" s="55">
        <v>827454</v>
      </c>
      <c r="N137" s="55">
        <v>2134</v>
      </c>
      <c r="O137" s="55">
        <v>829225</v>
      </c>
      <c r="P137" s="55">
        <v>1771</v>
      </c>
      <c r="Q137" s="55">
        <v>831480</v>
      </c>
      <c r="R137" s="55">
        <v>2255</v>
      </c>
      <c r="S137" s="90">
        <f t="shared" si="2"/>
        <v>10132</v>
      </c>
      <c r="T137" s="89">
        <v>46204</v>
      </c>
      <c r="U137" s="14"/>
      <c r="V137" s="105" t="s">
        <v>2375</v>
      </c>
      <c r="W137" s="105" t="str">
        <f>VLOOKUP(C137,'Status oficina'!$A$2:$C$208,3,FALSE)</f>
        <v>Activa</v>
      </c>
    </row>
    <row r="138" spans="1:23" ht="13.5" customHeight="1" x14ac:dyDescent="0.25">
      <c r="A138" s="53" t="s">
        <v>2441</v>
      </c>
      <c r="B138" s="14" t="s">
        <v>645</v>
      </c>
      <c r="C138" s="19">
        <v>9272</v>
      </c>
      <c r="D138" s="14" t="s">
        <v>647</v>
      </c>
      <c r="E138" s="14" t="s">
        <v>417</v>
      </c>
      <c r="F138" s="14" t="s">
        <v>1204</v>
      </c>
      <c r="G138" s="14" t="s">
        <v>200</v>
      </c>
      <c r="H138" s="55">
        <v>714074</v>
      </c>
      <c r="I138" s="55">
        <v>714135</v>
      </c>
      <c r="J138" s="55">
        <v>61</v>
      </c>
      <c r="K138" s="55">
        <v>714367</v>
      </c>
      <c r="L138" s="55">
        <v>232</v>
      </c>
      <c r="M138" s="55">
        <v>714396</v>
      </c>
      <c r="N138" s="55">
        <v>29</v>
      </c>
      <c r="O138" s="55">
        <v>714422</v>
      </c>
      <c r="P138" s="55">
        <v>26</v>
      </c>
      <c r="Q138" s="55">
        <v>714423</v>
      </c>
      <c r="R138" s="55">
        <v>1</v>
      </c>
      <c r="S138" s="90">
        <f t="shared" si="2"/>
        <v>349</v>
      </c>
      <c r="T138" s="89">
        <v>46204</v>
      </c>
      <c r="U138" s="14"/>
      <c r="V138" s="105" t="s">
        <v>2375</v>
      </c>
      <c r="W138" s="105" t="str">
        <f>VLOOKUP(C138,'Status oficina'!$A$2:$C$208,3,FALSE)</f>
        <v>Activa</v>
      </c>
    </row>
    <row r="139" spans="1:23" ht="13.5" customHeight="1" x14ac:dyDescent="0.25">
      <c r="A139" s="14" t="s">
        <v>2442</v>
      </c>
      <c r="B139" s="14" t="s">
        <v>700</v>
      </c>
      <c r="C139" s="120">
        <v>9936</v>
      </c>
      <c r="D139" s="14" t="s">
        <v>701</v>
      </c>
      <c r="E139" s="14" t="s">
        <v>417</v>
      </c>
      <c r="F139" s="14" t="s">
        <v>1235</v>
      </c>
      <c r="G139" s="14" t="s">
        <v>169</v>
      </c>
      <c r="H139" s="55">
        <v>76120</v>
      </c>
      <c r="I139" s="55">
        <v>76143</v>
      </c>
      <c r="J139" s="55">
        <v>23</v>
      </c>
      <c r="K139" s="55">
        <v>76206</v>
      </c>
      <c r="L139" s="55">
        <v>63</v>
      </c>
      <c r="M139" s="55">
        <v>76393</v>
      </c>
      <c r="N139" s="55">
        <v>187</v>
      </c>
      <c r="O139" s="55">
        <v>76474</v>
      </c>
      <c r="P139" s="55">
        <v>81</v>
      </c>
      <c r="Q139" s="55">
        <v>76613</v>
      </c>
      <c r="R139" s="55">
        <v>139</v>
      </c>
      <c r="S139" s="90">
        <f t="shared" si="2"/>
        <v>493</v>
      </c>
      <c r="T139" s="89">
        <v>46204</v>
      </c>
      <c r="U139" s="14"/>
      <c r="V139" s="108" t="s">
        <v>2375</v>
      </c>
      <c r="W139" s="105" t="str">
        <f>VLOOKUP(C139,'Status oficina'!$A$2:$C$208,3,FALSE)</f>
        <v>Activa</v>
      </c>
    </row>
    <row r="140" spans="1:23" ht="13.5" customHeight="1" x14ac:dyDescent="0.25">
      <c r="A140" s="53" t="s">
        <v>868</v>
      </c>
      <c r="B140" s="53" t="s">
        <v>426</v>
      </c>
      <c r="C140" s="120">
        <v>9836</v>
      </c>
      <c r="D140" s="14" t="s">
        <v>427</v>
      </c>
      <c r="E140" s="14" t="s">
        <v>417</v>
      </c>
      <c r="F140" s="14" t="s">
        <v>1071</v>
      </c>
      <c r="G140" s="14" t="s">
        <v>47</v>
      </c>
      <c r="H140" s="55">
        <v>164406</v>
      </c>
      <c r="I140" s="55">
        <v>164406</v>
      </c>
      <c r="J140" s="55">
        <f>I140-H140</f>
        <v>0</v>
      </c>
      <c r="K140" s="55">
        <v>164406</v>
      </c>
      <c r="L140" s="55">
        <v>0</v>
      </c>
      <c r="M140" s="55">
        <v>164912</v>
      </c>
      <c r="N140" s="55">
        <v>506</v>
      </c>
      <c r="O140" s="55">
        <v>165924</v>
      </c>
      <c r="P140" s="55">
        <v>1012</v>
      </c>
      <c r="Q140" s="55">
        <v>167214</v>
      </c>
      <c r="R140" s="55">
        <v>1290</v>
      </c>
      <c r="S140" s="90">
        <f t="shared" si="2"/>
        <v>2808</v>
      </c>
      <c r="T140" s="89">
        <v>46204</v>
      </c>
      <c r="U140" s="14"/>
      <c r="V140" s="105" t="s">
        <v>2375</v>
      </c>
      <c r="W140" s="105" t="str">
        <f>VLOOKUP(C140,'Status oficina'!$A$2:$C$208,3,FALSE)</f>
        <v>Activa</v>
      </c>
    </row>
    <row r="141" spans="1:23" ht="13.5" customHeight="1" x14ac:dyDescent="0.25">
      <c r="A141" s="14" t="s">
        <v>2442</v>
      </c>
      <c r="B141" s="14" t="s">
        <v>667</v>
      </c>
      <c r="C141" s="19">
        <v>9224</v>
      </c>
      <c r="D141" s="14" t="s">
        <v>668</v>
      </c>
      <c r="E141" s="14" t="s">
        <v>417</v>
      </c>
      <c r="F141" s="14" t="s">
        <v>1214</v>
      </c>
      <c r="G141" s="14" t="s">
        <v>29</v>
      </c>
      <c r="H141" s="55">
        <v>519986</v>
      </c>
      <c r="I141" s="55">
        <v>519987</v>
      </c>
      <c r="J141" s="55">
        <v>1</v>
      </c>
      <c r="K141" s="55">
        <v>519990</v>
      </c>
      <c r="L141" s="55">
        <v>3</v>
      </c>
      <c r="M141" s="55">
        <v>519992</v>
      </c>
      <c r="N141" s="55">
        <v>2</v>
      </c>
      <c r="O141" s="55">
        <v>519993</v>
      </c>
      <c r="P141" s="55">
        <v>1</v>
      </c>
      <c r="Q141" s="55">
        <v>519997</v>
      </c>
      <c r="R141" s="55">
        <v>4</v>
      </c>
      <c r="S141" s="90">
        <f t="shared" si="2"/>
        <v>11</v>
      </c>
      <c r="T141" s="89">
        <v>46204</v>
      </c>
      <c r="U141" s="14"/>
      <c r="V141" s="105" t="s">
        <v>2375</v>
      </c>
      <c r="W141" s="105" t="str">
        <f>VLOOKUP(C141,'Status oficina'!$A$2:$C$208,3,FALSE)</f>
        <v>Activa</v>
      </c>
    </row>
    <row r="142" spans="1:23" ht="13.5" customHeight="1" x14ac:dyDescent="0.25">
      <c r="A142" s="53" t="s">
        <v>2441</v>
      </c>
      <c r="B142" s="14" t="s">
        <v>698</v>
      </c>
      <c r="C142" s="120">
        <v>9232</v>
      </c>
      <c r="D142" s="14" t="s">
        <v>699</v>
      </c>
      <c r="E142" s="14" t="s">
        <v>417</v>
      </c>
      <c r="F142" s="14" t="s">
        <v>1233</v>
      </c>
      <c r="G142" s="14" t="s">
        <v>60</v>
      </c>
      <c r="H142" s="55">
        <v>889914</v>
      </c>
      <c r="I142" s="55">
        <v>890465</v>
      </c>
      <c r="J142" s="55">
        <v>551</v>
      </c>
      <c r="K142" s="55">
        <v>891749</v>
      </c>
      <c r="L142" s="55">
        <v>1284</v>
      </c>
      <c r="M142" s="55">
        <v>892983</v>
      </c>
      <c r="N142" s="55">
        <v>1234</v>
      </c>
      <c r="O142" s="55">
        <v>893775</v>
      </c>
      <c r="P142" s="55">
        <v>792</v>
      </c>
      <c r="Q142" s="55">
        <v>894923</v>
      </c>
      <c r="R142" s="55">
        <v>1148</v>
      </c>
      <c r="S142" s="90">
        <f t="shared" si="2"/>
        <v>5009</v>
      </c>
      <c r="T142" s="89">
        <v>46204</v>
      </c>
      <c r="U142" s="14"/>
      <c r="V142" s="105" t="s">
        <v>2375</v>
      </c>
      <c r="W142" s="105" t="str">
        <f>VLOOKUP(C142,'Status oficina'!$A$2:$C$208,3,FALSE)</f>
        <v>Activa</v>
      </c>
    </row>
    <row r="143" spans="1:23" ht="13.5" customHeight="1" x14ac:dyDescent="0.25">
      <c r="A143" s="14" t="s">
        <v>2082</v>
      </c>
      <c r="B143" s="14" t="s">
        <v>494</v>
      </c>
      <c r="C143" s="122">
        <v>9469</v>
      </c>
      <c r="D143" s="14" t="s">
        <v>495</v>
      </c>
      <c r="E143" s="14" t="s">
        <v>417</v>
      </c>
      <c r="F143" s="14" t="s">
        <v>1117</v>
      </c>
      <c r="G143" s="14" t="s">
        <v>213</v>
      </c>
      <c r="H143" s="55">
        <v>413411</v>
      </c>
      <c r="I143" s="55">
        <v>413411</v>
      </c>
      <c r="J143" s="55">
        <v>0</v>
      </c>
      <c r="K143" s="55">
        <v>413411</v>
      </c>
      <c r="L143" s="55">
        <v>0</v>
      </c>
      <c r="M143" s="55">
        <v>413411</v>
      </c>
      <c r="N143" s="55">
        <v>0</v>
      </c>
      <c r="O143" s="55">
        <v>413411</v>
      </c>
      <c r="P143" s="55">
        <v>0</v>
      </c>
      <c r="Q143" s="55">
        <v>413411</v>
      </c>
      <c r="R143" s="55">
        <v>0</v>
      </c>
      <c r="S143" s="90">
        <f t="shared" si="2"/>
        <v>0</v>
      </c>
      <c r="T143" s="89">
        <v>46204</v>
      </c>
      <c r="U143" s="14" t="s">
        <v>2445</v>
      </c>
      <c r="V143" s="105" t="s">
        <v>2449</v>
      </c>
      <c r="W143" s="105" t="str">
        <f>VLOOKUP(C143,'Status oficina'!$A$2:$C$208,3,FALSE)</f>
        <v>Cierre definitivo</v>
      </c>
    </row>
    <row r="144" spans="1:23" ht="13.5" customHeight="1" x14ac:dyDescent="0.25">
      <c r="A144" s="14" t="s">
        <v>2082</v>
      </c>
      <c r="B144" s="14" t="s">
        <v>494</v>
      </c>
      <c r="C144" s="122">
        <v>9469</v>
      </c>
      <c r="D144" s="14" t="s">
        <v>2118</v>
      </c>
      <c r="E144" s="14" t="s">
        <v>413</v>
      </c>
      <c r="F144" s="14" t="s">
        <v>1116</v>
      </c>
      <c r="G144" s="14" t="s">
        <v>133</v>
      </c>
      <c r="H144" s="55">
        <v>135454</v>
      </c>
      <c r="I144" s="55">
        <v>135454</v>
      </c>
      <c r="J144" s="55">
        <v>0</v>
      </c>
      <c r="K144" s="55">
        <v>135454</v>
      </c>
      <c r="L144" s="55">
        <v>0</v>
      </c>
      <c r="M144" s="55">
        <v>135454</v>
      </c>
      <c r="N144" s="55">
        <v>0</v>
      </c>
      <c r="O144" s="55">
        <v>135454</v>
      </c>
      <c r="P144" s="55">
        <v>0</v>
      </c>
      <c r="Q144" s="55">
        <v>135454</v>
      </c>
      <c r="R144" s="55">
        <v>0</v>
      </c>
      <c r="S144" s="90">
        <f t="shared" si="2"/>
        <v>0</v>
      </c>
      <c r="T144" s="89">
        <v>46204</v>
      </c>
      <c r="U144" s="14" t="s">
        <v>2445</v>
      </c>
      <c r="V144" s="105" t="s">
        <v>2449</v>
      </c>
      <c r="W144" s="105" t="str">
        <f>VLOOKUP(C144,'Status oficina'!$A$2:$C$208,3,FALSE)</f>
        <v>Cierre definitivo</v>
      </c>
    </row>
    <row r="145" spans="1:23" ht="13.5" customHeight="1" x14ac:dyDescent="0.25">
      <c r="A145" s="14" t="s">
        <v>939</v>
      </c>
      <c r="B145" s="14" t="s">
        <v>1020</v>
      </c>
      <c r="C145" s="123">
        <v>9530</v>
      </c>
      <c r="D145" s="14" t="s">
        <v>1021</v>
      </c>
      <c r="E145" s="14" t="s">
        <v>417</v>
      </c>
      <c r="F145" s="14" t="s">
        <v>1439</v>
      </c>
      <c r="G145" s="14" t="s">
        <v>212</v>
      </c>
      <c r="H145" s="55">
        <v>913662</v>
      </c>
      <c r="I145" s="55">
        <v>915182</v>
      </c>
      <c r="J145" s="55">
        <v>1520</v>
      </c>
      <c r="K145" s="55">
        <v>917665</v>
      </c>
      <c r="L145" s="55">
        <v>2483</v>
      </c>
      <c r="M145" s="55">
        <v>919763</v>
      </c>
      <c r="N145" s="55">
        <v>2098</v>
      </c>
      <c r="O145" s="55">
        <v>921416</v>
      </c>
      <c r="P145" s="55">
        <v>1653</v>
      </c>
      <c r="Q145" s="55">
        <v>923593</v>
      </c>
      <c r="R145" s="55">
        <v>2177</v>
      </c>
      <c r="S145" s="90">
        <f t="shared" si="2"/>
        <v>9931</v>
      </c>
      <c r="T145" s="89">
        <v>46204</v>
      </c>
      <c r="U145" s="14"/>
      <c r="V145" s="105" t="s">
        <v>2375</v>
      </c>
      <c r="W145" s="105" t="str">
        <f>VLOOKUP(C145,'Status oficina'!$A$2:$C$208,3,FALSE)</f>
        <v>Activa</v>
      </c>
    </row>
    <row r="146" spans="1:23" ht="13.5" customHeight="1" x14ac:dyDescent="0.25">
      <c r="A146" s="14" t="s">
        <v>2442</v>
      </c>
      <c r="B146" s="14" t="s">
        <v>661</v>
      </c>
      <c r="C146" s="19">
        <v>9234</v>
      </c>
      <c r="D146" s="14" t="s">
        <v>662</v>
      </c>
      <c r="E146" s="14" t="s">
        <v>417</v>
      </c>
      <c r="F146" s="14" t="s">
        <v>1211</v>
      </c>
      <c r="G146" s="14" t="s">
        <v>61</v>
      </c>
      <c r="H146" s="55">
        <v>294167</v>
      </c>
      <c r="I146" s="55">
        <v>294167</v>
      </c>
      <c r="J146" s="55">
        <v>0</v>
      </c>
      <c r="K146" s="55">
        <v>294167</v>
      </c>
      <c r="L146" s="55">
        <v>0</v>
      </c>
      <c r="M146" s="55">
        <v>294167</v>
      </c>
      <c r="N146" s="55">
        <v>0</v>
      </c>
      <c r="O146" s="55">
        <v>294167</v>
      </c>
      <c r="P146" s="55">
        <v>0</v>
      </c>
      <c r="Q146" s="55">
        <v>294167</v>
      </c>
      <c r="R146" s="55">
        <v>0</v>
      </c>
      <c r="S146" s="90">
        <f t="shared" si="2"/>
        <v>0</v>
      </c>
      <c r="T146" s="89">
        <v>46204</v>
      </c>
      <c r="U146" s="14"/>
      <c r="V146" s="105" t="s">
        <v>2231</v>
      </c>
      <c r="W146" s="105" t="str">
        <f>VLOOKUP(C146,'Status oficina'!$A$2:$C$208,3,FALSE)</f>
        <v>Cierre temporal</v>
      </c>
    </row>
    <row r="147" spans="1:23" ht="13.5" customHeight="1" x14ac:dyDescent="0.25">
      <c r="A147" s="53" t="s">
        <v>868</v>
      </c>
      <c r="B147" s="53" t="s">
        <v>431</v>
      </c>
      <c r="C147" s="122">
        <v>9892</v>
      </c>
      <c r="D147" s="14" t="s">
        <v>438</v>
      </c>
      <c r="E147" s="14" t="s">
        <v>417</v>
      </c>
      <c r="F147" s="14" t="s">
        <v>1078</v>
      </c>
      <c r="G147" s="14" t="s">
        <v>387</v>
      </c>
      <c r="H147" s="55">
        <v>850154</v>
      </c>
      <c r="I147" s="55">
        <v>850791</v>
      </c>
      <c r="J147" s="55">
        <v>637</v>
      </c>
      <c r="K147" s="55">
        <v>851961</v>
      </c>
      <c r="L147" s="55">
        <v>1170</v>
      </c>
      <c r="M147" s="55">
        <v>853013</v>
      </c>
      <c r="N147" s="55">
        <v>1052</v>
      </c>
      <c r="O147" s="55">
        <v>853937</v>
      </c>
      <c r="P147" s="55">
        <v>924</v>
      </c>
      <c r="Q147" s="55">
        <v>854977</v>
      </c>
      <c r="R147" s="55">
        <v>1040</v>
      </c>
      <c r="S147" s="90">
        <f t="shared" si="2"/>
        <v>4823</v>
      </c>
      <c r="T147" s="89">
        <v>46204</v>
      </c>
      <c r="U147" s="14"/>
      <c r="V147" s="105" t="s">
        <v>2375</v>
      </c>
      <c r="W147" s="105" t="str">
        <f>VLOOKUP(C147,'Status oficina'!$A$2:$C$208,3,FALSE)</f>
        <v>Activa</v>
      </c>
    </row>
    <row r="148" spans="1:23" ht="13.5" customHeight="1" x14ac:dyDescent="0.25">
      <c r="A148" s="14" t="s">
        <v>2082</v>
      </c>
      <c r="B148" s="14" t="s">
        <v>509</v>
      </c>
      <c r="C148" s="22">
        <v>9467</v>
      </c>
      <c r="D148" s="14" t="s">
        <v>2492</v>
      </c>
      <c r="E148" s="15" t="s">
        <v>417</v>
      </c>
      <c r="F148" s="14" t="s">
        <v>1129</v>
      </c>
      <c r="G148" s="1" t="s">
        <v>348</v>
      </c>
      <c r="H148" s="55">
        <v>505299</v>
      </c>
      <c r="I148" s="55">
        <v>505797</v>
      </c>
      <c r="J148" s="55">
        <v>498</v>
      </c>
      <c r="K148" s="55">
        <v>507361</v>
      </c>
      <c r="L148" s="55">
        <v>1564</v>
      </c>
      <c r="M148" s="55">
        <v>508781</v>
      </c>
      <c r="N148" s="55">
        <v>1420</v>
      </c>
      <c r="O148" s="55">
        <v>510070</v>
      </c>
      <c r="P148" s="55">
        <v>1289</v>
      </c>
      <c r="Q148" s="55">
        <v>511690</v>
      </c>
      <c r="R148" s="55">
        <v>1620</v>
      </c>
      <c r="S148" s="90">
        <f t="shared" si="2"/>
        <v>6391</v>
      </c>
      <c r="T148" s="89">
        <v>46204</v>
      </c>
      <c r="U148" s="14"/>
      <c r="V148" s="105" t="s">
        <v>2375</v>
      </c>
      <c r="W148" s="105" t="str">
        <f>VLOOKUP(C148,'Status oficina'!$A$2:$C$208,3,FALSE)</f>
        <v>Activa</v>
      </c>
    </row>
    <row r="149" spans="1:23" ht="13.5" customHeight="1" x14ac:dyDescent="0.25">
      <c r="A149" s="53" t="s">
        <v>2441</v>
      </c>
      <c r="B149" s="14" t="s">
        <v>653</v>
      </c>
      <c r="C149" s="19">
        <v>9203</v>
      </c>
      <c r="D149" s="14" t="s">
        <v>654</v>
      </c>
      <c r="E149" s="14" t="s">
        <v>417</v>
      </c>
      <c r="F149" s="14" t="s">
        <v>1208</v>
      </c>
      <c r="G149" s="14" t="s">
        <v>124</v>
      </c>
      <c r="H149" s="55">
        <v>590138</v>
      </c>
      <c r="I149" s="55">
        <v>590138</v>
      </c>
      <c r="J149" s="55">
        <v>0</v>
      </c>
      <c r="K149" s="55">
        <v>590138</v>
      </c>
      <c r="L149" s="55">
        <v>0</v>
      </c>
      <c r="M149" s="55">
        <v>590138</v>
      </c>
      <c r="N149" s="55">
        <v>0</v>
      </c>
      <c r="O149" s="55">
        <v>590138</v>
      </c>
      <c r="P149" s="55">
        <v>0</v>
      </c>
      <c r="Q149" s="55">
        <v>590138</v>
      </c>
      <c r="R149" s="55">
        <v>0</v>
      </c>
      <c r="S149" s="90">
        <f t="shared" si="2"/>
        <v>0</v>
      </c>
      <c r="T149" s="89">
        <v>46204</v>
      </c>
      <c r="U149" s="14" t="s">
        <v>2471</v>
      </c>
      <c r="V149" s="105" t="s">
        <v>2238</v>
      </c>
      <c r="W149" s="105" t="s">
        <v>2238</v>
      </c>
    </row>
    <row r="150" spans="1:23" ht="13.5" customHeight="1" x14ac:dyDescent="0.25">
      <c r="A150" s="14" t="s">
        <v>2082</v>
      </c>
      <c r="B150" s="14" t="s">
        <v>483</v>
      </c>
      <c r="C150" s="122">
        <v>9474</v>
      </c>
      <c r="D150" s="14" t="s">
        <v>484</v>
      </c>
      <c r="E150" s="14" t="s">
        <v>413</v>
      </c>
      <c r="F150" s="14" t="s">
        <v>1107</v>
      </c>
      <c r="G150" s="14" t="s">
        <v>211</v>
      </c>
      <c r="H150" s="55">
        <v>77105</v>
      </c>
      <c r="I150" s="55">
        <v>77105</v>
      </c>
      <c r="J150" s="55">
        <v>0</v>
      </c>
      <c r="K150" s="55">
        <v>77105</v>
      </c>
      <c r="L150" s="55">
        <v>0</v>
      </c>
      <c r="M150" s="55">
        <v>77105</v>
      </c>
      <c r="N150" s="55">
        <v>0</v>
      </c>
      <c r="O150" s="55">
        <v>77105</v>
      </c>
      <c r="P150" s="55">
        <v>0</v>
      </c>
      <c r="Q150" s="55">
        <v>77105</v>
      </c>
      <c r="R150" s="55">
        <v>0</v>
      </c>
      <c r="S150" s="90">
        <f t="shared" si="2"/>
        <v>0</v>
      </c>
      <c r="T150" s="89">
        <v>46204</v>
      </c>
      <c r="U150" s="14" t="s">
        <v>2165</v>
      </c>
      <c r="V150" s="105" t="s">
        <v>2238</v>
      </c>
      <c r="W150" s="105" t="str">
        <f>VLOOKUP(C150,'Status oficina'!$A$2:$C$208,3,FALSE)</f>
        <v>Cierre definitivo</v>
      </c>
    </row>
    <row r="151" spans="1:23" ht="13.5" customHeight="1" x14ac:dyDescent="0.25">
      <c r="A151" s="54" t="s">
        <v>2082</v>
      </c>
      <c r="B151" s="14" t="s">
        <v>515</v>
      </c>
      <c r="C151" s="22">
        <v>9477</v>
      </c>
      <c r="D151" s="14" t="s">
        <v>516</v>
      </c>
      <c r="E151" s="14" t="s">
        <v>413</v>
      </c>
      <c r="F151" s="14" t="s">
        <v>1134</v>
      </c>
      <c r="G151" s="14" t="s">
        <v>171</v>
      </c>
      <c r="H151" s="55">
        <v>33396</v>
      </c>
      <c r="I151" s="55">
        <v>33396</v>
      </c>
      <c r="J151" s="55">
        <v>0</v>
      </c>
      <c r="K151" s="55">
        <v>33396</v>
      </c>
      <c r="L151" s="55">
        <v>0</v>
      </c>
      <c r="M151" s="55">
        <v>33396</v>
      </c>
      <c r="N151" s="55">
        <v>0</v>
      </c>
      <c r="O151" s="55">
        <v>33396</v>
      </c>
      <c r="P151" s="55">
        <v>0</v>
      </c>
      <c r="Q151" s="55">
        <v>33396</v>
      </c>
      <c r="R151" s="55">
        <v>0</v>
      </c>
      <c r="S151" s="90">
        <f t="shared" si="2"/>
        <v>0</v>
      </c>
      <c r="T151" s="89">
        <v>46204</v>
      </c>
      <c r="U151" s="14" t="s">
        <v>2029</v>
      </c>
      <c r="V151" s="105" t="s">
        <v>2231</v>
      </c>
      <c r="W151" s="105" t="str">
        <f>VLOOKUP(C151,'Status oficina'!$A$2:$C$208,3,FALSE)</f>
        <v>Cierre temporal</v>
      </c>
    </row>
    <row r="152" spans="1:23" ht="13.5" customHeight="1" x14ac:dyDescent="0.25">
      <c r="A152" s="53" t="s">
        <v>2441</v>
      </c>
      <c r="B152" s="14" t="s">
        <v>642</v>
      </c>
      <c r="C152" s="19">
        <v>9905</v>
      </c>
      <c r="D152" s="14" t="s">
        <v>643</v>
      </c>
      <c r="E152" s="14" t="s">
        <v>417</v>
      </c>
      <c r="F152" s="14" t="s">
        <v>1201</v>
      </c>
      <c r="G152" s="14" t="s">
        <v>22</v>
      </c>
      <c r="H152" s="55">
        <v>474354</v>
      </c>
      <c r="I152" s="55">
        <v>474354</v>
      </c>
      <c r="J152" s="55">
        <v>0</v>
      </c>
      <c r="K152" s="55">
        <v>474354</v>
      </c>
      <c r="L152" s="55">
        <v>0</v>
      </c>
      <c r="M152" s="55">
        <v>474354</v>
      </c>
      <c r="N152" s="55">
        <v>0</v>
      </c>
      <c r="O152" s="55">
        <v>474354</v>
      </c>
      <c r="P152" s="55">
        <v>0</v>
      </c>
      <c r="Q152" s="55">
        <v>474354</v>
      </c>
      <c r="R152" s="55">
        <v>0</v>
      </c>
      <c r="S152" s="90">
        <f t="shared" si="2"/>
        <v>0</v>
      </c>
      <c r="T152" s="89">
        <v>46204</v>
      </c>
      <c r="U152" s="14" t="s">
        <v>2469</v>
      </c>
      <c r="V152" s="105" t="s">
        <v>2238</v>
      </c>
      <c r="W152" s="105" t="s">
        <v>2238</v>
      </c>
    </row>
    <row r="153" spans="1:23" ht="13.5" customHeight="1" x14ac:dyDescent="0.25">
      <c r="A153" s="14" t="s">
        <v>2082</v>
      </c>
      <c r="B153" s="14" t="s">
        <v>475</v>
      </c>
      <c r="C153" s="19">
        <v>9425</v>
      </c>
      <c r="D153" s="14" t="s">
        <v>476</v>
      </c>
      <c r="E153" s="14" t="s">
        <v>417</v>
      </c>
      <c r="F153" s="14" t="s">
        <v>1102</v>
      </c>
      <c r="G153" s="14" t="s">
        <v>35</v>
      </c>
      <c r="H153" s="55">
        <v>1221486</v>
      </c>
      <c r="I153" s="55">
        <v>1223308</v>
      </c>
      <c r="J153" s="55">
        <v>1822</v>
      </c>
      <c r="K153" s="55">
        <v>1227354</v>
      </c>
      <c r="L153" s="55">
        <v>4046</v>
      </c>
      <c r="M153" s="55">
        <v>1231106</v>
      </c>
      <c r="N153" s="55">
        <v>3752</v>
      </c>
      <c r="O153" s="55">
        <v>1234331</v>
      </c>
      <c r="P153" s="55">
        <v>3225</v>
      </c>
      <c r="Q153" s="55">
        <v>1237862</v>
      </c>
      <c r="R153" s="55">
        <v>3531</v>
      </c>
      <c r="S153" s="90">
        <f t="shared" si="2"/>
        <v>16376</v>
      </c>
      <c r="T153" s="89">
        <v>46204</v>
      </c>
      <c r="U153" s="14"/>
      <c r="V153" s="105" t="s">
        <v>2375</v>
      </c>
      <c r="W153" s="105" t="str">
        <f>VLOOKUP(C153,'Status oficina'!$A$2:$C$208,3,FALSE)</f>
        <v>Activa</v>
      </c>
    </row>
    <row r="154" spans="1:23" ht="13.5" customHeight="1" x14ac:dyDescent="0.25">
      <c r="A154" s="14" t="s">
        <v>2082</v>
      </c>
      <c r="B154" s="14" t="s">
        <v>475</v>
      </c>
      <c r="C154" s="19">
        <v>9425</v>
      </c>
      <c r="D154" s="54" t="s">
        <v>478</v>
      </c>
      <c r="E154" s="14" t="s">
        <v>417</v>
      </c>
      <c r="F154" s="14" t="s">
        <v>1101</v>
      </c>
      <c r="G154" s="14" t="s">
        <v>11</v>
      </c>
      <c r="H154" s="55">
        <v>333909</v>
      </c>
      <c r="I154" s="55">
        <v>334078</v>
      </c>
      <c r="J154" s="55">
        <v>169</v>
      </c>
      <c r="K154" s="55">
        <v>334529</v>
      </c>
      <c r="L154" s="55">
        <v>451</v>
      </c>
      <c r="M154" s="55">
        <v>335188</v>
      </c>
      <c r="N154" s="55">
        <v>659</v>
      </c>
      <c r="O154" s="55">
        <v>335764</v>
      </c>
      <c r="P154" s="55">
        <v>576</v>
      </c>
      <c r="Q154" s="55">
        <v>336750</v>
      </c>
      <c r="R154" s="55">
        <v>986</v>
      </c>
      <c r="S154" s="90">
        <f t="shared" si="2"/>
        <v>2841</v>
      </c>
      <c r="T154" s="89">
        <v>46204</v>
      </c>
      <c r="U154" s="14"/>
      <c r="V154" s="105" t="s">
        <v>2375</v>
      </c>
      <c r="W154" s="105" t="str">
        <f>VLOOKUP(C154,'Status oficina'!$A$2:$C$208,3,FALSE)</f>
        <v>Activa</v>
      </c>
    </row>
    <row r="155" spans="1:23" ht="13.5" customHeight="1" x14ac:dyDescent="0.25">
      <c r="A155" s="14" t="s">
        <v>2082</v>
      </c>
      <c r="B155" s="14" t="s">
        <v>488</v>
      </c>
      <c r="C155" s="122">
        <v>9420</v>
      </c>
      <c r="D155" s="54" t="s">
        <v>489</v>
      </c>
      <c r="E155" s="14" t="s">
        <v>417</v>
      </c>
      <c r="F155" s="14" t="s">
        <v>1110</v>
      </c>
      <c r="G155" s="14" t="s">
        <v>238</v>
      </c>
      <c r="H155" s="55">
        <v>339739</v>
      </c>
      <c r="I155" s="55">
        <v>339739</v>
      </c>
      <c r="J155" s="55">
        <v>0</v>
      </c>
      <c r="K155" s="55">
        <v>339739</v>
      </c>
      <c r="L155" s="55">
        <v>0</v>
      </c>
      <c r="M155" s="55">
        <v>339739</v>
      </c>
      <c r="N155" s="55">
        <v>0</v>
      </c>
      <c r="O155" s="55">
        <v>339739</v>
      </c>
      <c r="P155" s="55">
        <v>0</v>
      </c>
      <c r="Q155" s="55">
        <v>339739</v>
      </c>
      <c r="R155" s="55">
        <v>0</v>
      </c>
      <c r="S155" s="90">
        <f t="shared" si="2"/>
        <v>0</v>
      </c>
      <c r="T155" s="89">
        <v>46204</v>
      </c>
      <c r="U155" s="14"/>
      <c r="V155" s="105" t="s">
        <v>2449</v>
      </c>
      <c r="W155" s="105" t="str">
        <f>VLOOKUP(C155,'Status oficina'!$A$2:$C$208,3,FALSE)</f>
        <v>Cierre definitivo</v>
      </c>
    </row>
    <row r="156" spans="1:23" ht="13.5" customHeight="1" x14ac:dyDescent="0.25">
      <c r="A156" s="14" t="s">
        <v>2082</v>
      </c>
      <c r="B156" s="14" t="s">
        <v>492</v>
      </c>
      <c r="C156" s="122">
        <v>9410</v>
      </c>
      <c r="D156" s="14" t="s">
        <v>493</v>
      </c>
      <c r="E156" s="14" t="s">
        <v>417</v>
      </c>
      <c r="F156" s="14" t="s">
        <v>1115</v>
      </c>
      <c r="G156" s="14" t="s">
        <v>162</v>
      </c>
      <c r="H156" s="55">
        <v>737375</v>
      </c>
      <c r="I156" s="55">
        <v>738318</v>
      </c>
      <c r="J156" s="55">
        <v>943</v>
      </c>
      <c r="K156" s="55">
        <v>739701</v>
      </c>
      <c r="L156" s="55">
        <v>1383</v>
      </c>
      <c r="M156" s="55">
        <v>740886</v>
      </c>
      <c r="N156" s="55">
        <v>1185</v>
      </c>
      <c r="O156" s="55">
        <v>741914</v>
      </c>
      <c r="P156" s="55">
        <v>1028</v>
      </c>
      <c r="Q156" s="55">
        <v>742941</v>
      </c>
      <c r="R156" s="55">
        <v>1027</v>
      </c>
      <c r="S156" s="90">
        <f t="shared" si="2"/>
        <v>5566</v>
      </c>
      <c r="T156" s="89">
        <v>46204</v>
      </c>
      <c r="U156" s="14"/>
      <c r="V156" s="105" t="s">
        <v>2375</v>
      </c>
      <c r="W156" s="105" t="str">
        <f>VLOOKUP(C156,'Status oficina'!$A$2:$C$208,3,FALSE)</f>
        <v>Activa</v>
      </c>
    </row>
    <row r="157" spans="1:23" ht="13.5" customHeight="1" x14ac:dyDescent="0.25">
      <c r="A157" s="14" t="s">
        <v>2082</v>
      </c>
      <c r="B157" s="14" t="s">
        <v>462</v>
      </c>
      <c r="C157" s="19">
        <v>9471</v>
      </c>
      <c r="D157" s="14" t="s">
        <v>463</v>
      </c>
      <c r="E157" s="14" t="s">
        <v>417</v>
      </c>
      <c r="F157" s="14" t="s">
        <v>1092</v>
      </c>
      <c r="G157" s="14" t="s">
        <v>73</v>
      </c>
      <c r="H157" s="55">
        <v>566260</v>
      </c>
      <c r="I157" s="55">
        <v>566260</v>
      </c>
      <c r="J157" s="55">
        <v>0</v>
      </c>
      <c r="K157" s="55">
        <v>566260</v>
      </c>
      <c r="L157" s="55">
        <v>0</v>
      </c>
      <c r="M157" s="55">
        <v>566260</v>
      </c>
      <c r="N157" s="55">
        <v>0</v>
      </c>
      <c r="O157" s="55">
        <v>566260</v>
      </c>
      <c r="P157" s="55">
        <v>0</v>
      </c>
      <c r="Q157" s="55">
        <v>566260</v>
      </c>
      <c r="R157" s="55">
        <v>0</v>
      </c>
      <c r="S157" s="90">
        <f t="shared" si="2"/>
        <v>0</v>
      </c>
      <c r="T157" s="89">
        <v>46204</v>
      </c>
      <c r="U157" s="14" t="s">
        <v>2456</v>
      </c>
      <c r="V157" s="108" t="s">
        <v>2375</v>
      </c>
      <c r="W157" s="105" t="str">
        <f>VLOOKUP(C157,'Status oficina'!$A$2:$C$208,3,FALSE)</f>
        <v>Cierre temporal</v>
      </c>
    </row>
    <row r="158" spans="1:23" ht="13.5" customHeight="1" x14ac:dyDescent="0.25">
      <c r="A158" s="14" t="s">
        <v>939</v>
      </c>
      <c r="B158" s="14" t="s">
        <v>1029</v>
      </c>
      <c r="C158" s="122">
        <v>9504</v>
      </c>
      <c r="D158" s="14" t="s">
        <v>1030</v>
      </c>
      <c r="E158" s="14" t="s">
        <v>417</v>
      </c>
      <c r="F158" s="14" t="s">
        <v>1062</v>
      </c>
      <c r="G158" s="14" t="s">
        <v>210</v>
      </c>
      <c r="H158" s="55">
        <v>591135</v>
      </c>
      <c r="I158" s="55">
        <v>591135</v>
      </c>
      <c r="J158" s="55">
        <v>0</v>
      </c>
      <c r="K158" s="55">
        <v>591135</v>
      </c>
      <c r="L158" s="55">
        <v>0</v>
      </c>
      <c r="M158" s="55">
        <v>591135</v>
      </c>
      <c r="N158" s="55">
        <v>0</v>
      </c>
      <c r="O158" s="55">
        <v>591135</v>
      </c>
      <c r="P158" s="55">
        <v>0</v>
      </c>
      <c r="Q158" s="55">
        <v>591135</v>
      </c>
      <c r="R158" s="55">
        <v>0</v>
      </c>
      <c r="S158" s="90">
        <f t="shared" si="2"/>
        <v>0</v>
      </c>
      <c r="T158" s="89">
        <v>46204</v>
      </c>
      <c r="U158" s="14" t="s">
        <v>2460</v>
      </c>
      <c r="V158" s="105" t="s">
        <v>2238</v>
      </c>
      <c r="W158" s="105" t="str">
        <f>VLOOKUP(C158,'Status oficina'!$A$2:$C$208,3,FALSE)</f>
        <v>Cierre definitivo</v>
      </c>
    </row>
    <row r="159" spans="1:23" ht="13.5" customHeight="1" x14ac:dyDescent="0.25">
      <c r="A159" s="14" t="s">
        <v>2082</v>
      </c>
      <c r="B159" s="14" t="s">
        <v>465</v>
      </c>
      <c r="C159" s="19">
        <v>9440</v>
      </c>
      <c r="D159" s="14" t="s">
        <v>466</v>
      </c>
      <c r="E159" s="14" t="s">
        <v>417</v>
      </c>
      <c r="F159" s="14" t="s">
        <v>1095</v>
      </c>
      <c r="G159" s="14" t="s">
        <v>84</v>
      </c>
      <c r="H159" s="55">
        <v>754282</v>
      </c>
      <c r="I159" s="55">
        <v>755089</v>
      </c>
      <c r="J159" s="55">
        <v>807</v>
      </c>
      <c r="K159" s="55">
        <v>756449</v>
      </c>
      <c r="L159" s="55">
        <v>1360</v>
      </c>
      <c r="M159" s="55">
        <v>757585</v>
      </c>
      <c r="N159" s="55">
        <v>1136</v>
      </c>
      <c r="O159" s="55">
        <v>758518</v>
      </c>
      <c r="P159" s="55">
        <v>933</v>
      </c>
      <c r="Q159" s="55">
        <v>759732</v>
      </c>
      <c r="R159" s="55">
        <v>1214</v>
      </c>
      <c r="S159" s="90">
        <f t="shared" si="2"/>
        <v>5450</v>
      </c>
      <c r="T159" s="89">
        <v>46204</v>
      </c>
      <c r="U159" s="14"/>
      <c r="V159" s="105" t="s">
        <v>2375</v>
      </c>
      <c r="W159" s="105" t="str">
        <f>VLOOKUP(C159,'Status oficina'!$A$2:$C$208,3,FALSE)</f>
        <v>Activa</v>
      </c>
    </row>
    <row r="160" spans="1:23" ht="13.5" customHeight="1" x14ac:dyDescent="0.25">
      <c r="A160" s="14" t="s">
        <v>2082</v>
      </c>
      <c r="B160" s="14" t="s">
        <v>485</v>
      </c>
      <c r="C160" s="120">
        <v>9420</v>
      </c>
      <c r="D160" s="14" t="s">
        <v>490</v>
      </c>
      <c r="E160" s="14" t="s">
        <v>417</v>
      </c>
      <c r="F160" s="14" t="s">
        <v>1111</v>
      </c>
      <c r="G160" s="14" t="s">
        <v>247</v>
      </c>
      <c r="H160" s="55">
        <v>579739</v>
      </c>
      <c r="I160" s="55">
        <v>579739</v>
      </c>
      <c r="J160" s="55">
        <v>0</v>
      </c>
      <c r="K160" s="55">
        <v>579739</v>
      </c>
      <c r="L160" s="55">
        <v>0</v>
      </c>
      <c r="M160" s="55">
        <v>579739</v>
      </c>
      <c r="N160" s="55">
        <v>0</v>
      </c>
      <c r="O160" s="55">
        <v>579739</v>
      </c>
      <c r="P160" s="55">
        <v>0</v>
      </c>
      <c r="Q160" s="55">
        <v>579739</v>
      </c>
      <c r="R160" s="55">
        <v>0</v>
      </c>
      <c r="S160" s="90">
        <f t="shared" si="2"/>
        <v>0</v>
      </c>
      <c r="T160" s="89">
        <v>46204</v>
      </c>
      <c r="U160" s="14"/>
      <c r="V160" s="105" t="s">
        <v>2449</v>
      </c>
      <c r="W160" s="105" t="str">
        <f>VLOOKUP(C160,'Status oficina'!$A$2:$C$208,3,FALSE)</f>
        <v>Cierre definitivo</v>
      </c>
    </row>
    <row r="161" spans="1:23" ht="13.5" customHeight="1" x14ac:dyDescent="0.25">
      <c r="A161" s="14" t="s">
        <v>2082</v>
      </c>
      <c r="B161" s="14" t="s">
        <v>498</v>
      </c>
      <c r="C161" s="120">
        <v>9470</v>
      </c>
      <c r="D161" s="14" t="s">
        <v>500</v>
      </c>
      <c r="E161" s="14" t="s">
        <v>417</v>
      </c>
      <c r="F161" s="14" t="s">
        <v>1120</v>
      </c>
      <c r="G161" s="14" t="s">
        <v>165</v>
      </c>
      <c r="H161" s="55">
        <v>673217</v>
      </c>
      <c r="I161" s="55">
        <v>674032</v>
      </c>
      <c r="J161" s="55">
        <v>815</v>
      </c>
      <c r="K161" s="55">
        <v>675536</v>
      </c>
      <c r="L161" s="55">
        <v>1504</v>
      </c>
      <c r="M161" s="55">
        <v>677329</v>
      </c>
      <c r="N161" s="55">
        <v>1793</v>
      </c>
      <c r="O161" s="55">
        <v>678836</v>
      </c>
      <c r="P161" s="55">
        <v>1507</v>
      </c>
      <c r="Q161" s="55">
        <v>681508</v>
      </c>
      <c r="R161" s="55">
        <v>2672</v>
      </c>
      <c r="S161" s="90">
        <f t="shared" si="2"/>
        <v>8291</v>
      </c>
      <c r="T161" s="89">
        <v>46204</v>
      </c>
      <c r="U161" s="14"/>
      <c r="V161" s="108" t="s">
        <v>2375</v>
      </c>
      <c r="W161" s="105" t="str">
        <f>VLOOKUP(C161,'Status oficina'!$A$2:$C$208,3,FALSE)</f>
        <v>Activa</v>
      </c>
    </row>
    <row r="162" spans="1:23" ht="13.5" customHeight="1" x14ac:dyDescent="0.25">
      <c r="A162" s="54" t="s">
        <v>2082</v>
      </c>
      <c r="B162" s="14" t="s">
        <v>506</v>
      </c>
      <c r="C162" s="120">
        <v>9472</v>
      </c>
      <c r="D162" s="14" t="s">
        <v>508</v>
      </c>
      <c r="E162" s="14" t="s">
        <v>417</v>
      </c>
      <c r="F162" s="14" t="s">
        <v>1128</v>
      </c>
      <c r="G162" s="14" t="s">
        <v>218</v>
      </c>
      <c r="H162" s="55">
        <v>757549</v>
      </c>
      <c r="I162" s="55">
        <v>758068</v>
      </c>
      <c r="J162" s="55">
        <v>519</v>
      </c>
      <c r="K162" s="55">
        <v>758887</v>
      </c>
      <c r="L162" s="55">
        <v>819</v>
      </c>
      <c r="M162" s="55">
        <v>759788</v>
      </c>
      <c r="N162" s="55">
        <v>901</v>
      </c>
      <c r="O162" s="55">
        <v>760483</v>
      </c>
      <c r="P162" s="55">
        <v>695</v>
      </c>
      <c r="Q162" s="55">
        <v>761379</v>
      </c>
      <c r="R162" s="55">
        <v>896</v>
      </c>
      <c r="S162" s="90">
        <f t="shared" si="2"/>
        <v>3830</v>
      </c>
      <c r="T162" s="89">
        <v>46204</v>
      </c>
      <c r="U162" s="14"/>
      <c r="V162" s="108" t="s">
        <v>2375</v>
      </c>
      <c r="W162" s="105" t="str">
        <f>VLOOKUP(C162,'Status oficina'!$A$2:$C$208,3,FALSE)</f>
        <v>Activa</v>
      </c>
    </row>
    <row r="163" spans="1:23" ht="13.5" customHeight="1" x14ac:dyDescent="0.25">
      <c r="A163" s="14" t="s">
        <v>939</v>
      </c>
      <c r="B163" s="14" t="s">
        <v>1034</v>
      </c>
      <c r="C163" s="19">
        <v>9518</v>
      </c>
      <c r="D163" s="53" t="s">
        <v>2083</v>
      </c>
      <c r="E163" s="53" t="s">
        <v>417</v>
      </c>
      <c r="F163" s="53" t="s">
        <v>1401</v>
      </c>
      <c r="G163" s="53" t="s">
        <v>2084</v>
      </c>
      <c r="H163" s="55">
        <v>110506</v>
      </c>
      <c r="I163" s="55">
        <v>110506</v>
      </c>
      <c r="J163" s="55">
        <v>0</v>
      </c>
      <c r="K163" s="55">
        <v>110506</v>
      </c>
      <c r="L163" s="55">
        <v>0</v>
      </c>
      <c r="M163" s="55">
        <v>110506</v>
      </c>
      <c r="N163" s="55">
        <v>0</v>
      </c>
      <c r="O163" s="55">
        <v>110506</v>
      </c>
      <c r="P163" s="55">
        <v>0</v>
      </c>
      <c r="Q163" s="55">
        <v>110506</v>
      </c>
      <c r="R163" s="55">
        <v>0</v>
      </c>
      <c r="S163" s="90">
        <f t="shared" si="2"/>
        <v>0</v>
      </c>
      <c r="T163" s="89">
        <v>46204</v>
      </c>
      <c r="U163" s="14" t="s">
        <v>2415</v>
      </c>
      <c r="V163" s="105" t="s">
        <v>2231</v>
      </c>
      <c r="W163" s="105" t="str">
        <f>VLOOKUP(C163,'Status oficina'!$A$2:$C$208,3,FALSE)</f>
        <v>Cierre temporal</v>
      </c>
    </row>
    <row r="164" spans="1:23" ht="13.5" customHeight="1" x14ac:dyDescent="0.25">
      <c r="A164" s="14" t="s">
        <v>939</v>
      </c>
      <c r="B164" s="14" t="s">
        <v>1031</v>
      </c>
      <c r="C164" s="125">
        <v>9612</v>
      </c>
      <c r="D164" s="14" t="s">
        <v>1033</v>
      </c>
      <c r="E164" s="14" t="s">
        <v>413</v>
      </c>
      <c r="F164" s="53" t="s">
        <v>1448</v>
      </c>
      <c r="G164" s="53" t="s">
        <v>70</v>
      </c>
      <c r="H164" s="55">
        <v>152303</v>
      </c>
      <c r="I164" s="55">
        <v>152399</v>
      </c>
      <c r="J164" s="55">
        <v>96</v>
      </c>
      <c r="K164" s="55">
        <v>152642</v>
      </c>
      <c r="L164" s="55">
        <v>243</v>
      </c>
      <c r="M164" s="55">
        <v>152912</v>
      </c>
      <c r="N164" s="55">
        <v>270</v>
      </c>
      <c r="O164" s="55">
        <v>153002</v>
      </c>
      <c r="P164" s="55">
        <v>90</v>
      </c>
      <c r="Q164" s="55">
        <v>153025</v>
      </c>
      <c r="R164" s="55">
        <v>23</v>
      </c>
      <c r="S164" s="90">
        <f t="shared" si="2"/>
        <v>722</v>
      </c>
      <c r="T164" s="89">
        <v>46204</v>
      </c>
      <c r="U164" s="14" t="s">
        <v>2463</v>
      </c>
      <c r="V164" s="105" t="s">
        <v>2375</v>
      </c>
      <c r="W164" s="105" t="str">
        <f>VLOOKUP(C164,'Status oficina'!$A$2:$C$208,3,FALSE)</f>
        <v>Activa</v>
      </c>
    </row>
    <row r="165" spans="1:23" ht="13.5" customHeight="1" x14ac:dyDescent="0.25">
      <c r="A165" s="14" t="s">
        <v>2082</v>
      </c>
      <c r="B165" s="14" t="s">
        <v>504</v>
      </c>
      <c r="C165" s="120">
        <v>9430</v>
      </c>
      <c r="D165" s="14" t="s">
        <v>505</v>
      </c>
      <c r="E165" s="14" t="s">
        <v>417</v>
      </c>
      <c r="F165" s="14" t="s">
        <v>1126</v>
      </c>
      <c r="G165" s="14" t="s">
        <v>131</v>
      </c>
      <c r="H165" s="55">
        <v>725794</v>
      </c>
      <c r="I165" s="55">
        <v>726482</v>
      </c>
      <c r="J165" s="55">
        <v>688</v>
      </c>
      <c r="K165" s="55">
        <v>727953</v>
      </c>
      <c r="L165" s="55">
        <v>1471</v>
      </c>
      <c r="M165" s="55">
        <v>729456</v>
      </c>
      <c r="N165" s="55">
        <v>1503</v>
      </c>
      <c r="O165" s="55">
        <v>730570</v>
      </c>
      <c r="P165" s="55">
        <v>1114</v>
      </c>
      <c r="Q165" s="55">
        <v>731498</v>
      </c>
      <c r="R165" s="55">
        <v>928</v>
      </c>
      <c r="S165" s="90">
        <f t="shared" si="2"/>
        <v>5704</v>
      </c>
      <c r="T165" s="89">
        <v>46204</v>
      </c>
      <c r="U165" s="14"/>
      <c r="V165" s="105" t="s">
        <v>2375</v>
      </c>
      <c r="W165" s="105" t="str">
        <f>VLOOKUP(C165,'Status oficina'!$A$2:$C$208,3,FALSE)</f>
        <v>Activa</v>
      </c>
    </row>
    <row r="166" spans="1:23" ht="13.5" customHeight="1" x14ac:dyDescent="0.25">
      <c r="A166" s="14" t="s">
        <v>939</v>
      </c>
      <c r="B166" s="14" t="s">
        <v>1020</v>
      </c>
      <c r="C166" s="22">
        <v>9530</v>
      </c>
      <c r="D166" s="14" t="s">
        <v>2097</v>
      </c>
      <c r="E166" s="15" t="s">
        <v>413</v>
      </c>
      <c r="F166" s="14" t="s">
        <v>1440</v>
      </c>
      <c r="G166" s="1"/>
      <c r="H166" s="55">
        <v>299170</v>
      </c>
      <c r="I166" s="55">
        <v>299170</v>
      </c>
      <c r="J166" s="55">
        <v>0</v>
      </c>
      <c r="K166" s="55">
        <v>299170</v>
      </c>
      <c r="L166" s="55">
        <v>0</v>
      </c>
      <c r="M166" s="55">
        <v>299170</v>
      </c>
      <c r="N166" s="55">
        <v>0</v>
      </c>
      <c r="O166" s="55">
        <v>299170</v>
      </c>
      <c r="P166" s="55">
        <v>0</v>
      </c>
      <c r="Q166" s="55">
        <v>299170</v>
      </c>
      <c r="R166" s="55">
        <v>0</v>
      </c>
      <c r="S166" s="90">
        <f t="shared" si="2"/>
        <v>0</v>
      </c>
      <c r="T166" s="89">
        <v>46204</v>
      </c>
      <c r="U166" s="14" t="s">
        <v>2098</v>
      </c>
      <c r="V166" s="105" t="s">
        <v>2374</v>
      </c>
      <c r="W166" s="105" t="str">
        <f>VLOOKUP(C166,'Status oficina'!$A$2:$C$208,3,FALSE)</f>
        <v>Activa</v>
      </c>
    </row>
    <row r="167" spans="1:23" ht="13.5" customHeight="1" x14ac:dyDescent="0.25">
      <c r="A167" s="14" t="s">
        <v>2082</v>
      </c>
      <c r="B167" s="14" t="s">
        <v>501</v>
      </c>
      <c r="C167" s="120">
        <v>9461</v>
      </c>
      <c r="D167" s="14" t="s">
        <v>502</v>
      </c>
      <c r="E167" s="14" t="s">
        <v>417</v>
      </c>
      <c r="F167" s="14" t="s">
        <v>1122</v>
      </c>
      <c r="G167" s="14" t="s">
        <v>151</v>
      </c>
      <c r="H167" s="55">
        <v>532983</v>
      </c>
      <c r="I167" s="55">
        <v>532983</v>
      </c>
      <c r="J167" s="55">
        <v>0</v>
      </c>
      <c r="K167" s="55">
        <v>532983</v>
      </c>
      <c r="L167" s="55">
        <v>0</v>
      </c>
      <c r="M167" s="55">
        <v>532983</v>
      </c>
      <c r="N167" s="55">
        <v>0</v>
      </c>
      <c r="O167" s="55">
        <v>532983</v>
      </c>
      <c r="P167" s="55">
        <v>0</v>
      </c>
      <c r="Q167" s="55">
        <v>532983</v>
      </c>
      <c r="R167" s="55">
        <v>0</v>
      </c>
      <c r="S167" s="90">
        <f t="shared" si="2"/>
        <v>0</v>
      </c>
      <c r="T167" s="89">
        <v>46204</v>
      </c>
      <c r="U167" s="14"/>
      <c r="V167" s="105" t="s">
        <v>2375</v>
      </c>
      <c r="W167" s="105" t="str">
        <f>VLOOKUP(C167,'Status oficina'!$A$2:$C$208,3,FALSE)</f>
        <v>Activa</v>
      </c>
    </row>
    <row r="168" spans="1:23" ht="13.5" customHeight="1" x14ac:dyDescent="0.25">
      <c r="A168" s="14" t="s">
        <v>2082</v>
      </c>
      <c r="B168" s="14" t="s">
        <v>511</v>
      </c>
      <c r="C168" s="120">
        <v>9405</v>
      </c>
      <c r="D168" s="14" t="s">
        <v>512</v>
      </c>
      <c r="E168" s="14" t="s">
        <v>417</v>
      </c>
      <c r="F168" s="14" t="s">
        <v>1131</v>
      </c>
      <c r="G168" s="14" t="s">
        <v>381</v>
      </c>
      <c r="H168" s="55">
        <v>439670</v>
      </c>
      <c r="I168" s="55">
        <v>440013</v>
      </c>
      <c r="J168" s="55">
        <v>343</v>
      </c>
      <c r="K168" s="55">
        <v>440695</v>
      </c>
      <c r="L168" s="55">
        <v>682</v>
      </c>
      <c r="M168" s="55">
        <v>441345</v>
      </c>
      <c r="N168" s="55">
        <v>650</v>
      </c>
      <c r="O168" s="55">
        <v>441703</v>
      </c>
      <c r="P168" s="55">
        <v>358</v>
      </c>
      <c r="Q168" s="55">
        <v>442048</v>
      </c>
      <c r="R168" s="55">
        <v>345</v>
      </c>
      <c r="S168" s="90">
        <f t="shared" si="2"/>
        <v>2378</v>
      </c>
      <c r="T168" s="89">
        <v>46204</v>
      </c>
      <c r="U168" s="14"/>
      <c r="V168" s="105" t="s">
        <v>2375</v>
      </c>
      <c r="W168" s="105" t="str">
        <f>VLOOKUP(C168,'Status oficina'!$A$2:$C$208,3,FALSE)</f>
        <v>Activa</v>
      </c>
    </row>
    <row r="169" spans="1:23" ht="13.5" customHeight="1" x14ac:dyDescent="0.25">
      <c r="A169" s="14" t="s">
        <v>2082</v>
      </c>
      <c r="B169" s="14" t="s">
        <v>475</v>
      </c>
      <c r="C169" s="19">
        <v>9425</v>
      </c>
      <c r="D169" s="14" t="s">
        <v>480</v>
      </c>
      <c r="E169" s="14" t="s">
        <v>417</v>
      </c>
      <c r="F169" s="14" t="s">
        <v>1104</v>
      </c>
      <c r="G169" s="14" t="s">
        <v>97</v>
      </c>
      <c r="H169" s="55">
        <v>295854</v>
      </c>
      <c r="I169" s="55">
        <v>296330</v>
      </c>
      <c r="J169" s="55">
        <v>476</v>
      </c>
      <c r="K169" s="55">
        <v>296975</v>
      </c>
      <c r="L169" s="55">
        <v>645</v>
      </c>
      <c r="M169" s="55">
        <v>297358</v>
      </c>
      <c r="N169" s="55">
        <v>383</v>
      </c>
      <c r="O169" s="55">
        <v>297636</v>
      </c>
      <c r="P169" s="55">
        <v>278</v>
      </c>
      <c r="Q169" s="55">
        <v>298151</v>
      </c>
      <c r="R169" s="55">
        <v>515</v>
      </c>
      <c r="S169" s="90">
        <f t="shared" si="2"/>
        <v>2297</v>
      </c>
      <c r="T169" s="89">
        <v>46204</v>
      </c>
      <c r="U169" s="14"/>
      <c r="V169" s="105" t="s">
        <v>2375</v>
      </c>
      <c r="W169" s="105" t="str">
        <f>VLOOKUP(C169,'Status oficina'!$A$2:$C$208,3,FALSE)</f>
        <v>Activa</v>
      </c>
    </row>
    <row r="170" spans="1:23" ht="13.5" customHeight="1" x14ac:dyDescent="0.25">
      <c r="A170" s="53" t="s">
        <v>2441</v>
      </c>
      <c r="B170" s="14" t="s">
        <v>757</v>
      </c>
      <c r="C170" s="120">
        <v>9211</v>
      </c>
      <c r="D170" s="14" t="s">
        <v>758</v>
      </c>
      <c r="E170" s="14" t="s">
        <v>417</v>
      </c>
      <c r="F170" s="14" t="s">
        <v>1269</v>
      </c>
      <c r="G170" s="14" t="s">
        <v>184</v>
      </c>
      <c r="H170" s="55">
        <v>545689</v>
      </c>
      <c r="I170" s="55">
        <v>546138</v>
      </c>
      <c r="J170" s="55">
        <v>449</v>
      </c>
      <c r="K170" s="55">
        <v>547075</v>
      </c>
      <c r="L170" s="55">
        <v>937</v>
      </c>
      <c r="M170" s="55">
        <v>548290</v>
      </c>
      <c r="N170" s="55">
        <v>1215</v>
      </c>
      <c r="O170" s="55">
        <v>549315</v>
      </c>
      <c r="P170" s="55">
        <v>1025</v>
      </c>
      <c r="Q170" s="55">
        <v>550633</v>
      </c>
      <c r="R170" s="55">
        <v>1318</v>
      </c>
      <c r="S170" s="90">
        <f t="shared" si="2"/>
        <v>4944</v>
      </c>
      <c r="T170" s="89">
        <v>46204</v>
      </c>
      <c r="U170" s="14"/>
      <c r="V170" s="108" t="s">
        <v>2375</v>
      </c>
      <c r="W170" s="105" t="str">
        <f>VLOOKUP(C170,'Status oficina'!$A$2:$C$208,3,FALSE)</f>
        <v>Activa</v>
      </c>
    </row>
    <row r="171" spans="1:23" ht="13.5" customHeight="1" x14ac:dyDescent="0.25">
      <c r="A171" s="53" t="s">
        <v>2441</v>
      </c>
      <c r="B171" s="14" t="s">
        <v>738</v>
      </c>
      <c r="C171" s="22">
        <v>9345</v>
      </c>
      <c r="D171" s="14" t="s">
        <v>737</v>
      </c>
      <c r="E171" s="14" t="s">
        <v>417</v>
      </c>
      <c r="F171" s="14" t="s">
        <v>1257</v>
      </c>
      <c r="G171" s="14" t="s">
        <v>373</v>
      </c>
      <c r="H171" s="55">
        <v>770469</v>
      </c>
      <c r="I171" s="55">
        <v>771177</v>
      </c>
      <c r="J171" s="55">
        <v>708</v>
      </c>
      <c r="K171" s="55">
        <v>772744</v>
      </c>
      <c r="L171" s="55">
        <v>1567</v>
      </c>
      <c r="M171" s="55">
        <v>774733</v>
      </c>
      <c r="N171" s="55">
        <v>1989</v>
      </c>
      <c r="O171" s="55">
        <v>775795</v>
      </c>
      <c r="P171" s="55">
        <v>1062</v>
      </c>
      <c r="Q171" s="55">
        <v>777374</v>
      </c>
      <c r="R171" s="55">
        <v>1579</v>
      </c>
      <c r="S171" s="90">
        <f t="shared" si="2"/>
        <v>6905</v>
      </c>
      <c r="T171" s="89">
        <v>46204</v>
      </c>
      <c r="U171" s="14" t="s">
        <v>2452</v>
      </c>
      <c r="V171" s="105" t="s">
        <v>2375</v>
      </c>
      <c r="W171" s="105" t="s">
        <v>2228</v>
      </c>
    </row>
    <row r="172" spans="1:23" ht="13.5" customHeight="1" x14ac:dyDescent="0.25">
      <c r="A172" s="14" t="s">
        <v>2082</v>
      </c>
      <c r="B172" s="14" t="s">
        <v>543</v>
      </c>
      <c r="C172" s="120">
        <v>9312</v>
      </c>
      <c r="D172" s="14" t="s">
        <v>544</v>
      </c>
      <c r="E172" s="14" t="s">
        <v>417</v>
      </c>
      <c r="F172" s="14" t="s">
        <v>1150</v>
      </c>
      <c r="G172" s="14" t="s">
        <v>287</v>
      </c>
      <c r="H172" s="55">
        <v>1309234</v>
      </c>
      <c r="I172" s="55">
        <v>1310498</v>
      </c>
      <c r="J172" s="55">
        <v>1264</v>
      </c>
      <c r="K172" s="55">
        <v>1312954</v>
      </c>
      <c r="L172" s="55">
        <v>2456</v>
      </c>
      <c r="M172" s="55">
        <v>1315601</v>
      </c>
      <c r="N172" s="55">
        <v>2647</v>
      </c>
      <c r="O172" s="55">
        <v>1317330</v>
      </c>
      <c r="P172" s="55">
        <v>1729</v>
      </c>
      <c r="Q172" s="55">
        <v>1319729</v>
      </c>
      <c r="R172" s="55">
        <v>2399</v>
      </c>
      <c r="S172" s="90">
        <f t="shared" si="2"/>
        <v>10495</v>
      </c>
      <c r="T172" s="89">
        <v>46204</v>
      </c>
      <c r="U172" s="14"/>
      <c r="V172" s="105" t="s">
        <v>2375</v>
      </c>
      <c r="W172" s="105" t="str">
        <f>VLOOKUP(C172,'Status oficina'!$A$2:$C$208,3,FALSE)</f>
        <v>Activa</v>
      </c>
    </row>
    <row r="173" spans="1:23" ht="13.5" customHeight="1" x14ac:dyDescent="0.25">
      <c r="A173" s="53" t="s">
        <v>868</v>
      </c>
      <c r="B173" s="53" t="s">
        <v>414</v>
      </c>
      <c r="C173" s="19">
        <v>9963</v>
      </c>
      <c r="D173" s="14" t="s">
        <v>416</v>
      </c>
      <c r="E173" s="14" t="s">
        <v>417</v>
      </c>
      <c r="F173" s="14" t="s">
        <v>1065</v>
      </c>
      <c r="G173" s="14" t="s">
        <v>135</v>
      </c>
      <c r="H173" s="55">
        <v>697132</v>
      </c>
      <c r="I173" s="55">
        <v>697731</v>
      </c>
      <c r="J173" s="55">
        <v>599</v>
      </c>
      <c r="K173" s="55">
        <v>698782</v>
      </c>
      <c r="L173" s="55">
        <v>1051</v>
      </c>
      <c r="M173" s="55">
        <v>699591</v>
      </c>
      <c r="N173" s="55">
        <v>809</v>
      </c>
      <c r="O173" s="55">
        <v>700412</v>
      </c>
      <c r="P173" s="55">
        <v>821</v>
      </c>
      <c r="Q173" s="55">
        <v>702128</v>
      </c>
      <c r="R173" s="55">
        <v>1716</v>
      </c>
      <c r="S173" s="90">
        <f t="shared" si="2"/>
        <v>4996</v>
      </c>
      <c r="T173" s="89">
        <v>46204</v>
      </c>
      <c r="U173" s="14"/>
      <c r="V173" s="108" t="s">
        <v>2375</v>
      </c>
      <c r="W173" s="105" t="str">
        <f>VLOOKUP(C173,'Status oficina'!$A$2:$C$208,3,FALSE)</f>
        <v>Activa</v>
      </c>
    </row>
    <row r="174" spans="1:23" ht="13.5" customHeight="1" x14ac:dyDescent="0.25">
      <c r="A174" s="14" t="s">
        <v>939</v>
      </c>
      <c r="B174" s="14" t="s">
        <v>998</v>
      </c>
      <c r="C174" s="22">
        <v>9541</v>
      </c>
      <c r="D174" s="14" t="s">
        <v>999</v>
      </c>
      <c r="E174" s="14" t="s">
        <v>413</v>
      </c>
      <c r="F174" s="14" t="s">
        <v>1000</v>
      </c>
      <c r="G174" s="14" t="s">
        <v>91</v>
      </c>
      <c r="H174" s="55">
        <v>36582</v>
      </c>
      <c r="I174" s="55">
        <v>36582</v>
      </c>
      <c r="J174" s="55">
        <v>0</v>
      </c>
      <c r="K174" s="55">
        <v>36582</v>
      </c>
      <c r="L174" s="55">
        <v>0</v>
      </c>
      <c r="M174" s="55">
        <v>36582</v>
      </c>
      <c r="N174" s="55">
        <v>0</v>
      </c>
      <c r="O174" s="55">
        <v>36582</v>
      </c>
      <c r="P174" s="55">
        <v>0</v>
      </c>
      <c r="Q174" s="55">
        <v>36582</v>
      </c>
      <c r="R174" s="55">
        <v>0</v>
      </c>
      <c r="S174" s="90">
        <f t="shared" si="2"/>
        <v>0</v>
      </c>
      <c r="T174" s="89">
        <v>46204</v>
      </c>
      <c r="U174" s="14"/>
      <c r="V174" s="105" t="s">
        <v>2231</v>
      </c>
      <c r="W174" s="105" t="str">
        <f>VLOOKUP(C174,'Status oficina'!$A$2:$C$208,3,FALSE)</f>
        <v>Cierre temporal</v>
      </c>
    </row>
    <row r="175" spans="1:23" ht="13.5" customHeight="1" x14ac:dyDescent="0.25">
      <c r="A175" s="14" t="s">
        <v>939</v>
      </c>
      <c r="B175" s="14" t="s">
        <v>1001</v>
      </c>
      <c r="C175" s="22">
        <v>9543</v>
      </c>
      <c r="D175" s="14" t="s">
        <v>1002</v>
      </c>
      <c r="E175" s="14" t="s">
        <v>413</v>
      </c>
      <c r="F175" s="14" t="s">
        <v>1430</v>
      </c>
      <c r="G175" s="14" t="s">
        <v>261</v>
      </c>
      <c r="H175" s="55">
        <v>116664</v>
      </c>
      <c r="I175" s="55">
        <v>116664</v>
      </c>
      <c r="J175" s="55">
        <v>0</v>
      </c>
      <c r="K175" s="55">
        <v>116664</v>
      </c>
      <c r="L175" s="55">
        <v>0</v>
      </c>
      <c r="M175" s="55">
        <v>116664</v>
      </c>
      <c r="N175" s="55">
        <v>0</v>
      </c>
      <c r="O175" s="55">
        <v>116664</v>
      </c>
      <c r="P175" s="55">
        <v>0</v>
      </c>
      <c r="Q175" s="55">
        <v>116664</v>
      </c>
      <c r="R175" s="55">
        <v>0</v>
      </c>
      <c r="S175" s="90">
        <f t="shared" si="2"/>
        <v>0</v>
      </c>
      <c r="T175" s="89">
        <v>46204</v>
      </c>
      <c r="U175" s="14"/>
      <c r="V175" s="105" t="s">
        <v>2231</v>
      </c>
      <c r="W175" s="105" t="str">
        <f>VLOOKUP(C175,'Status oficina'!$A$2:$C$208,3,FALSE)</f>
        <v>Cierre temporal</v>
      </c>
    </row>
    <row r="176" spans="1:23" ht="13.5" customHeight="1" x14ac:dyDescent="0.25">
      <c r="A176" s="14" t="s">
        <v>939</v>
      </c>
      <c r="B176" s="14" t="s">
        <v>1018</v>
      </c>
      <c r="C176" s="22">
        <v>9550</v>
      </c>
      <c r="D176" s="14" t="s">
        <v>1019</v>
      </c>
      <c r="E176" s="14" t="s">
        <v>413</v>
      </c>
      <c r="F176" s="14" t="s">
        <v>1438</v>
      </c>
      <c r="G176" s="14" t="s">
        <v>181</v>
      </c>
      <c r="H176" s="55">
        <v>190533</v>
      </c>
      <c r="I176" s="55">
        <v>190533</v>
      </c>
      <c r="J176" s="55">
        <v>0</v>
      </c>
      <c r="K176" s="55">
        <v>190533</v>
      </c>
      <c r="L176" s="55">
        <v>0</v>
      </c>
      <c r="M176" s="55">
        <v>190533</v>
      </c>
      <c r="N176" s="55">
        <v>0</v>
      </c>
      <c r="O176" s="55">
        <v>190533</v>
      </c>
      <c r="P176" s="55">
        <v>0</v>
      </c>
      <c r="Q176" s="55">
        <v>190533</v>
      </c>
      <c r="R176" s="55">
        <v>0</v>
      </c>
      <c r="S176" s="90">
        <f t="shared" si="2"/>
        <v>0</v>
      </c>
      <c r="T176" s="89">
        <v>46204</v>
      </c>
      <c r="U176" s="14"/>
      <c r="V176" s="105" t="s">
        <v>2231</v>
      </c>
      <c r="W176" s="105" t="str">
        <f>VLOOKUP(C176,'Status oficina'!$A$2:$C$208,3,FALSE)</f>
        <v>Cierre temporal</v>
      </c>
    </row>
    <row r="177" spans="1:23" ht="13.5" customHeight="1" x14ac:dyDescent="0.25">
      <c r="A177" s="14" t="s">
        <v>2082</v>
      </c>
      <c r="B177" s="14" t="s">
        <v>475</v>
      </c>
      <c r="C177" s="19">
        <v>9425</v>
      </c>
      <c r="D177" s="14" t="s">
        <v>2473</v>
      </c>
      <c r="E177" s="14" t="s">
        <v>417</v>
      </c>
      <c r="F177" s="14" t="s">
        <v>1132</v>
      </c>
      <c r="G177" s="14" t="s">
        <v>2474</v>
      </c>
      <c r="H177" s="55">
        <v>625085</v>
      </c>
      <c r="I177" s="55">
        <v>625372</v>
      </c>
      <c r="J177" s="55">
        <v>287</v>
      </c>
      <c r="K177" s="55">
        <v>625543</v>
      </c>
      <c r="L177" s="55">
        <v>171</v>
      </c>
      <c r="M177" s="55">
        <v>626075</v>
      </c>
      <c r="N177" s="55">
        <v>532</v>
      </c>
      <c r="O177" s="55">
        <v>626318</v>
      </c>
      <c r="P177" s="55">
        <v>243</v>
      </c>
      <c r="Q177" s="55">
        <v>626741</v>
      </c>
      <c r="R177" s="55">
        <v>423</v>
      </c>
      <c r="S177" s="90">
        <f t="shared" si="2"/>
        <v>1656</v>
      </c>
      <c r="T177" s="89">
        <v>46204</v>
      </c>
      <c r="U177" s="14" t="s">
        <v>2475</v>
      </c>
      <c r="V177" s="105" t="s">
        <v>2375</v>
      </c>
      <c r="W177" s="105" t="s">
        <v>2228</v>
      </c>
    </row>
    <row r="178" spans="1:23" ht="13.5" customHeight="1" x14ac:dyDescent="0.25">
      <c r="A178" s="53" t="s">
        <v>868</v>
      </c>
      <c r="B178" s="53" t="s">
        <v>423</v>
      </c>
      <c r="C178" s="19">
        <v>9855</v>
      </c>
      <c r="D178" s="14" t="s">
        <v>425</v>
      </c>
      <c r="E178" s="14" t="s">
        <v>417</v>
      </c>
      <c r="F178" s="14" t="s">
        <v>1070</v>
      </c>
      <c r="G178" s="14" t="s">
        <v>150</v>
      </c>
      <c r="H178" s="55">
        <v>674249</v>
      </c>
      <c r="I178" s="55">
        <v>675118</v>
      </c>
      <c r="J178" s="55">
        <v>869</v>
      </c>
      <c r="K178" s="55">
        <v>676598</v>
      </c>
      <c r="L178" s="55">
        <v>1480</v>
      </c>
      <c r="M178" s="55">
        <v>678027</v>
      </c>
      <c r="N178" s="55">
        <v>1429</v>
      </c>
      <c r="O178" s="55">
        <v>679265</v>
      </c>
      <c r="P178" s="55">
        <v>1238</v>
      </c>
      <c r="Q178" s="55">
        <v>680650</v>
      </c>
      <c r="R178" s="55">
        <v>1385</v>
      </c>
      <c r="S178" s="90">
        <f t="shared" si="2"/>
        <v>6401</v>
      </c>
      <c r="T178" s="89">
        <v>46204</v>
      </c>
      <c r="U178" s="14"/>
      <c r="V178" s="105" t="s">
        <v>2375</v>
      </c>
      <c r="W178" s="105" t="str">
        <f>VLOOKUP(C178,'Status oficina'!$A$2:$C$208,3,FALSE)</f>
        <v>Activa</v>
      </c>
    </row>
    <row r="179" spans="1:23" ht="13.5" customHeight="1" x14ac:dyDescent="0.25">
      <c r="A179" s="14" t="s">
        <v>2082</v>
      </c>
      <c r="B179" s="14" t="s">
        <v>583</v>
      </c>
      <c r="C179" s="19">
        <v>9834</v>
      </c>
      <c r="D179" s="14" t="s">
        <v>584</v>
      </c>
      <c r="E179" s="14" t="s">
        <v>417</v>
      </c>
      <c r="F179" s="14" t="s">
        <v>1173</v>
      </c>
      <c r="G179" s="14" t="s">
        <v>154</v>
      </c>
      <c r="H179" s="55">
        <v>866276</v>
      </c>
      <c r="I179" s="55">
        <v>867126</v>
      </c>
      <c r="J179" s="55">
        <v>850</v>
      </c>
      <c r="K179" s="55">
        <v>870377</v>
      </c>
      <c r="L179" s="55">
        <v>3251</v>
      </c>
      <c r="M179" s="55">
        <v>872926</v>
      </c>
      <c r="N179" s="55">
        <v>2549</v>
      </c>
      <c r="O179" s="55">
        <v>874636</v>
      </c>
      <c r="P179" s="55">
        <v>1710</v>
      </c>
      <c r="Q179" s="55">
        <v>876813</v>
      </c>
      <c r="R179" s="55">
        <v>2177</v>
      </c>
      <c r="S179" s="90">
        <f t="shared" si="2"/>
        <v>10537</v>
      </c>
      <c r="T179" s="89">
        <v>46204</v>
      </c>
      <c r="U179" s="14"/>
      <c r="V179" s="105" t="s">
        <v>2375</v>
      </c>
      <c r="W179" s="105" t="str">
        <f>VLOOKUP(C179,'Status oficina'!$A$2:$C$208,3,FALSE)</f>
        <v>Activa</v>
      </c>
    </row>
    <row r="180" spans="1:23" ht="13.5" customHeight="1" x14ac:dyDescent="0.25">
      <c r="A180" s="14" t="s">
        <v>939</v>
      </c>
      <c r="B180" s="14" t="s">
        <v>943</v>
      </c>
      <c r="C180" s="19">
        <v>9580</v>
      </c>
      <c r="D180" s="14" t="s">
        <v>2482</v>
      </c>
      <c r="E180" s="14" t="s">
        <v>413</v>
      </c>
      <c r="F180" s="14" t="s">
        <v>1403</v>
      </c>
      <c r="G180" s="14" t="s">
        <v>2484</v>
      </c>
      <c r="H180" s="55">
        <v>139901</v>
      </c>
      <c r="I180" s="55">
        <v>139981</v>
      </c>
      <c r="J180" s="55">
        <v>80</v>
      </c>
      <c r="K180" s="55">
        <v>140063</v>
      </c>
      <c r="L180" s="55">
        <v>82</v>
      </c>
      <c r="M180" s="55">
        <v>140315</v>
      </c>
      <c r="N180" s="55">
        <v>252</v>
      </c>
      <c r="O180" s="55">
        <v>140423</v>
      </c>
      <c r="P180" s="55">
        <v>108</v>
      </c>
      <c r="Q180" s="55">
        <v>140486</v>
      </c>
      <c r="R180" s="55">
        <v>63</v>
      </c>
      <c r="S180" s="90">
        <f t="shared" si="2"/>
        <v>585</v>
      </c>
      <c r="T180" s="89">
        <v>46204</v>
      </c>
      <c r="U180" s="14" t="s">
        <v>2483</v>
      </c>
      <c r="V180" s="105" t="s">
        <v>2375</v>
      </c>
      <c r="W180" s="105" t="str">
        <f>VLOOKUP(C180,'Status oficina'!$A$2:$C$208,3,FALSE)</f>
        <v>Activa</v>
      </c>
    </row>
    <row r="181" spans="1:23" ht="13.5" customHeight="1" x14ac:dyDescent="0.25">
      <c r="A181" s="14" t="s">
        <v>939</v>
      </c>
      <c r="B181" s="14" t="s">
        <v>1016</v>
      </c>
      <c r="C181" s="19">
        <v>9566</v>
      </c>
      <c r="D181" s="14" t="s">
        <v>1017</v>
      </c>
      <c r="E181" s="14" t="s">
        <v>413</v>
      </c>
      <c r="F181" s="14" t="s">
        <v>1436</v>
      </c>
      <c r="G181" s="14" t="s">
        <v>20</v>
      </c>
      <c r="H181" s="55">
        <v>129321</v>
      </c>
      <c r="I181" s="55">
        <v>129321</v>
      </c>
      <c r="J181" s="55">
        <v>0</v>
      </c>
      <c r="K181" s="55">
        <v>129321</v>
      </c>
      <c r="L181" s="55">
        <v>0</v>
      </c>
      <c r="M181" s="55">
        <v>129321</v>
      </c>
      <c r="N181" s="55">
        <v>0</v>
      </c>
      <c r="O181" s="55">
        <v>129321</v>
      </c>
      <c r="P181" s="55">
        <v>0</v>
      </c>
      <c r="Q181" s="55">
        <v>129321</v>
      </c>
      <c r="R181" s="55">
        <v>0</v>
      </c>
      <c r="S181" s="90">
        <f t="shared" si="2"/>
        <v>0</v>
      </c>
      <c r="T181" s="89">
        <v>46204</v>
      </c>
      <c r="U181" s="14"/>
      <c r="V181" s="105" t="s">
        <v>2231</v>
      </c>
      <c r="W181" s="105" t="str">
        <f>VLOOKUP(C181,'Status oficina'!$A$2:$C$208,3,FALSE)</f>
        <v>Cierre temporal</v>
      </c>
    </row>
    <row r="182" spans="1:23" ht="13.5" customHeight="1" x14ac:dyDescent="0.25">
      <c r="A182" s="53" t="s">
        <v>2441</v>
      </c>
      <c r="B182" s="14" t="s">
        <v>705</v>
      </c>
      <c r="C182" s="19">
        <v>9261</v>
      </c>
      <c r="D182" s="54" t="s">
        <v>706</v>
      </c>
      <c r="E182" s="14" t="s">
        <v>417</v>
      </c>
      <c r="F182" s="14" t="s">
        <v>1237</v>
      </c>
      <c r="G182" s="14" t="s">
        <v>400</v>
      </c>
      <c r="H182" s="55">
        <v>584708</v>
      </c>
      <c r="I182" s="55">
        <v>585267</v>
      </c>
      <c r="J182" s="55">
        <v>559</v>
      </c>
      <c r="K182" s="55">
        <v>586736</v>
      </c>
      <c r="L182" s="55">
        <v>1469</v>
      </c>
      <c r="M182" s="55">
        <v>588054</v>
      </c>
      <c r="N182" s="55">
        <v>1318</v>
      </c>
      <c r="O182" s="55">
        <v>589108</v>
      </c>
      <c r="P182" s="55">
        <v>1054</v>
      </c>
      <c r="Q182" s="55">
        <v>590352</v>
      </c>
      <c r="R182" s="55">
        <v>1244</v>
      </c>
      <c r="S182" s="90">
        <f t="shared" si="2"/>
        <v>5644</v>
      </c>
      <c r="T182" s="89">
        <v>46204</v>
      </c>
      <c r="U182" s="14"/>
      <c r="V182" s="105" t="s">
        <v>2375</v>
      </c>
      <c r="W182" s="105" t="str">
        <f>VLOOKUP(C182,'Status oficina'!$A$2:$C$208,3,FALSE)</f>
        <v>Activa</v>
      </c>
    </row>
    <row r="183" spans="1:23" ht="13.5" customHeight="1" x14ac:dyDescent="0.25">
      <c r="A183" s="14" t="s">
        <v>2442</v>
      </c>
      <c r="B183" s="14" t="s">
        <v>821</v>
      </c>
      <c r="C183" s="120">
        <v>9227</v>
      </c>
      <c r="D183" s="14" t="s">
        <v>823</v>
      </c>
      <c r="E183" s="14" t="s">
        <v>417</v>
      </c>
      <c r="F183" s="14" t="s">
        <v>1311</v>
      </c>
      <c r="G183" s="14" t="s">
        <v>54</v>
      </c>
      <c r="H183" s="55">
        <v>715666</v>
      </c>
      <c r="I183" s="55">
        <v>716212</v>
      </c>
      <c r="J183" s="55">
        <v>546</v>
      </c>
      <c r="K183" s="55">
        <v>717452</v>
      </c>
      <c r="L183" s="55">
        <v>1240</v>
      </c>
      <c r="M183" s="55">
        <v>718044</v>
      </c>
      <c r="N183" s="55">
        <v>592</v>
      </c>
      <c r="O183" s="55">
        <v>719073</v>
      </c>
      <c r="P183" s="55">
        <v>1029</v>
      </c>
      <c r="Q183" s="55">
        <v>720535</v>
      </c>
      <c r="R183" s="55">
        <v>1462</v>
      </c>
      <c r="S183" s="90">
        <f t="shared" si="2"/>
        <v>4869</v>
      </c>
      <c r="T183" s="89">
        <v>46204</v>
      </c>
      <c r="U183" s="14"/>
      <c r="V183" s="105" t="s">
        <v>2375</v>
      </c>
      <c r="W183" s="105" t="str">
        <f>VLOOKUP(C183,'Status oficina'!$A$2:$C$208,3,FALSE)</f>
        <v>Activa</v>
      </c>
    </row>
    <row r="184" spans="1:23" ht="13.5" customHeight="1" x14ac:dyDescent="0.25">
      <c r="A184" s="14" t="s">
        <v>868</v>
      </c>
      <c r="B184" s="14" t="s">
        <v>913</v>
      </c>
      <c r="C184" s="120">
        <v>9817</v>
      </c>
      <c r="D184" s="14" t="s">
        <v>915</v>
      </c>
      <c r="E184" s="14" t="s">
        <v>417</v>
      </c>
      <c r="F184" s="14" t="s">
        <v>1373</v>
      </c>
      <c r="G184" s="14" t="s">
        <v>173</v>
      </c>
      <c r="H184" s="55">
        <v>785708</v>
      </c>
      <c r="I184" s="55">
        <v>786946</v>
      </c>
      <c r="J184" s="55">
        <v>1238</v>
      </c>
      <c r="K184" s="55">
        <v>788883</v>
      </c>
      <c r="L184" s="55">
        <v>1937</v>
      </c>
      <c r="M184" s="55">
        <v>790684</v>
      </c>
      <c r="N184" s="55">
        <v>1801</v>
      </c>
      <c r="O184" s="55">
        <v>792312</v>
      </c>
      <c r="P184" s="55">
        <v>1628</v>
      </c>
      <c r="Q184" s="55">
        <v>794347</v>
      </c>
      <c r="R184" s="55">
        <v>2035</v>
      </c>
      <c r="S184" s="90">
        <f t="shared" si="2"/>
        <v>8639</v>
      </c>
      <c r="T184" s="89">
        <v>46204</v>
      </c>
      <c r="U184" s="14"/>
      <c r="V184" s="105" t="s">
        <v>2375</v>
      </c>
      <c r="W184" s="105" t="str">
        <f>VLOOKUP(C184,'Status oficina'!$A$2:$C$208,3,FALSE)</f>
        <v>Activa</v>
      </c>
    </row>
    <row r="185" spans="1:23" ht="13.5" customHeight="1" x14ac:dyDescent="0.25">
      <c r="A185" s="53" t="s">
        <v>2441</v>
      </c>
      <c r="B185" s="14" t="s">
        <v>2394</v>
      </c>
      <c r="C185" s="120">
        <v>9217</v>
      </c>
      <c r="D185" s="14" t="s">
        <v>2051</v>
      </c>
      <c r="E185" s="14" t="s">
        <v>417</v>
      </c>
      <c r="F185" s="14" t="s">
        <v>1468</v>
      </c>
      <c r="G185" s="14" t="s">
        <v>2191</v>
      </c>
      <c r="H185" s="55">
        <v>534922</v>
      </c>
      <c r="I185" s="55">
        <v>535424</v>
      </c>
      <c r="J185" s="55">
        <v>502</v>
      </c>
      <c r="K185" s="55">
        <v>536602</v>
      </c>
      <c r="L185" s="55">
        <v>1178</v>
      </c>
      <c r="M185" s="55">
        <v>537844</v>
      </c>
      <c r="N185" s="55">
        <v>1242</v>
      </c>
      <c r="O185" s="55">
        <v>538806</v>
      </c>
      <c r="P185" s="55">
        <v>962</v>
      </c>
      <c r="Q185" s="55">
        <v>540089</v>
      </c>
      <c r="R185" s="55">
        <v>1283</v>
      </c>
      <c r="S185" s="90">
        <f t="shared" si="2"/>
        <v>5167</v>
      </c>
      <c r="T185" s="89">
        <v>46204</v>
      </c>
      <c r="U185" s="93" t="s">
        <v>2488</v>
      </c>
      <c r="V185" s="105" t="s">
        <v>2375</v>
      </c>
      <c r="W185" s="105" t="str">
        <f>VLOOKUP(C185,'Status oficina'!$A$2:$C$208,3,FALSE)</f>
        <v>Activa</v>
      </c>
    </row>
    <row r="186" spans="1:23" ht="13.5" customHeight="1" x14ac:dyDescent="0.25">
      <c r="A186" s="14" t="s">
        <v>939</v>
      </c>
      <c r="B186" s="14" t="s">
        <v>1031</v>
      </c>
      <c r="C186" s="120">
        <v>9612</v>
      </c>
      <c r="D186" s="14" t="s">
        <v>1032</v>
      </c>
      <c r="E186" s="14" t="s">
        <v>417</v>
      </c>
      <c r="F186" s="14" t="s">
        <v>1445</v>
      </c>
      <c r="G186" s="14" t="s">
        <v>49</v>
      </c>
      <c r="H186" s="55">
        <v>745200</v>
      </c>
      <c r="I186" s="55">
        <v>746116</v>
      </c>
      <c r="J186" s="55">
        <v>916</v>
      </c>
      <c r="K186" s="55">
        <v>747571</v>
      </c>
      <c r="L186" s="55">
        <v>1455</v>
      </c>
      <c r="M186" s="55">
        <v>749408</v>
      </c>
      <c r="N186" s="55">
        <v>1837</v>
      </c>
      <c r="O186" s="55">
        <v>750889</v>
      </c>
      <c r="P186" s="55">
        <v>1481</v>
      </c>
      <c r="Q186" s="55">
        <v>752062</v>
      </c>
      <c r="R186" s="55">
        <v>1173</v>
      </c>
      <c r="S186" s="90">
        <f t="shared" si="2"/>
        <v>6862</v>
      </c>
      <c r="T186" s="89">
        <v>46204</v>
      </c>
      <c r="U186" s="14"/>
      <c r="V186" s="105" t="s">
        <v>2375</v>
      </c>
      <c r="W186" s="105" t="str">
        <f>VLOOKUP(C186,'Status oficina'!$A$2:$C$208,3,FALSE)</f>
        <v>Activa</v>
      </c>
    </row>
    <row r="187" spans="1:23" ht="13.5" customHeight="1" x14ac:dyDescent="0.25">
      <c r="A187" s="54" t="s">
        <v>2082</v>
      </c>
      <c r="B187" s="14" t="s">
        <v>536</v>
      </c>
      <c r="C187" s="120">
        <v>9396</v>
      </c>
      <c r="D187" s="14" t="s">
        <v>537</v>
      </c>
      <c r="E187" s="14" t="s">
        <v>417</v>
      </c>
      <c r="F187" s="14" t="s">
        <v>1144</v>
      </c>
      <c r="G187" s="14" t="s">
        <v>68</v>
      </c>
      <c r="H187" s="55">
        <v>618812</v>
      </c>
      <c r="I187" s="55">
        <v>618927</v>
      </c>
      <c r="J187" s="55">
        <v>115</v>
      </c>
      <c r="K187" s="55">
        <v>619250</v>
      </c>
      <c r="L187" s="55">
        <v>323</v>
      </c>
      <c r="M187" s="55">
        <v>619550</v>
      </c>
      <c r="N187" s="55">
        <v>300</v>
      </c>
      <c r="O187" s="55">
        <v>619708</v>
      </c>
      <c r="P187" s="55">
        <v>158</v>
      </c>
      <c r="Q187" s="55">
        <v>619991</v>
      </c>
      <c r="R187" s="55">
        <v>283</v>
      </c>
      <c r="S187" s="90">
        <f t="shared" si="2"/>
        <v>1179</v>
      </c>
      <c r="T187" s="89">
        <v>46204</v>
      </c>
      <c r="U187" s="84"/>
      <c r="V187" s="115" t="s">
        <v>2375</v>
      </c>
      <c r="W187" s="115" t="str">
        <f>VLOOKUP(C187,'Status oficina'!$A$2:$C$208,3,FALSE)</f>
        <v>Activa</v>
      </c>
    </row>
    <row r="188" spans="1:23" ht="13.5" customHeight="1" x14ac:dyDescent="0.25">
      <c r="A188" s="14" t="s">
        <v>2082</v>
      </c>
      <c r="B188" s="14" t="s">
        <v>536</v>
      </c>
      <c r="C188" s="120">
        <v>9396</v>
      </c>
      <c r="D188" s="14" t="s">
        <v>2418</v>
      </c>
      <c r="E188" s="14" t="s">
        <v>417</v>
      </c>
      <c r="F188" s="14" t="s">
        <v>1157</v>
      </c>
      <c r="G188" s="14" t="s">
        <v>2417</v>
      </c>
      <c r="H188" s="55">
        <v>794880</v>
      </c>
      <c r="I188" s="55">
        <v>795714</v>
      </c>
      <c r="J188" s="55">
        <v>834</v>
      </c>
      <c r="K188" s="55">
        <v>797079</v>
      </c>
      <c r="L188" s="55">
        <v>1365</v>
      </c>
      <c r="M188" s="55">
        <v>798379</v>
      </c>
      <c r="N188" s="55">
        <v>1300</v>
      </c>
      <c r="O188" s="55">
        <v>799607</v>
      </c>
      <c r="P188" s="55">
        <v>1228</v>
      </c>
      <c r="Q188" s="55">
        <v>800757</v>
      </c>
      <c r="R188" s="55">
        <v>1150</v>
      </c>
      <c r="S188" s="90">
        <f t="shared" si="2"/>
        <v>5877</v>
      </c>
      <c r="T188" s="89">
        <v>46204</v>
      </c>
      <c r="U188" s="54" t="s">
        <v>2419</v>
      </c>
      <c r="V188" s="24" t="s">
        <v>2375</v>
      </c>
      <c r="W188" s="24" t="s">
        <v>2228</v>
      </c>
    </row>
    <row r="189" spans="1:23" ht="13.5" customHeight="1" x14ac:dyDescent="0.25">
      <c r="A189" s="14" t="s">
        <v>939</v>
      </c>
      <c r="B189" s="14" t="s">
        <v>940</v>
      </c>
      <c r="C189" s="19">
        <v>9660</v>
      </c>
      <c r="D189" s="14" t="s">
        <v>941</v>
      </c>
      <c r="E189" s="14" t="s">
        <v>417</v>
      </c>
      <c r="F189" s="14" t="s">
        <v>942</v>
      </c>
      <c r="G189" s="14"/>
      <c r="H189" s="55">
        <v>677840</v>
      </c>
      <c r="I189" s="55">
        <v>677840</v>
      </c>
      <c r="J189" s="55">
        <v>0</v>
      </c>
      <c r="K189" s="55">
        <v>677840</v>
      </c>
      <c r="L189" s="55">
        <v>0</v>
      </c>
      <c r="M189" s="55">
        <v>677840</v>
      </c>
      <c r="N189" s="55">
        <v>0</v>
      </c>
      <c r="O189" s="55">
        <v>677840</v>
      </c>
      <c r="P189" s="55">
        <v>0</v>
      </c>
      <c r="Q189" s="55">
        <v>677840</v>
      </c>
      <c r="R189" s="55">
        <v>0</v>
      </c>
      <c r="S189" s="90">
        <f t="shared" si="2"/>
        <v>0</v>
      </c>
      <c r="T189" s="89">
        <v>46204</v>
      </c>
      <c r="U189" s="13" t="s">
        <v>2457</v>
      </c>
      <c r="V189" s="117" t="s">
        <v>2374</v>
      </c>
      <c r="W189" s="107" t="str">
        <f>VLOOKUP(C189,'Status oficina'!$A$2:$C$208,3,FALSE)</f>
        <v>Cierre temporal</v>
      </c>
    </row>
    <row r="190" spans="1:23" ht="13.5" customHeight="1" x14ac:dyDescent="0.25">
      <c r="A190" s="14" t="s">
        <v>939</v>
      </c>
      <c r="B190" s="14" t="s">
        <v>1049</v>
      </c>
      <c r="C190" s="22">
        <v>9611</v>
      </c>
      <c r="D190" s="54" t="s">
        <v>1050</v>
      </c>
      <c r="E190" s="54" t="s">
        <v>417</v>
      </c>
      <c r="F190" s="54" t="s">
        <v>1051</v>
      </c>
      <c r="G190" s="54" t="s">
        <v>9</v>
      </c>
      <c r="H190" s="55">
        <v>237281</v>
      </c>
      <c r="I190" s="55">
        <v>237281</v>
      </c>
      <c r="J190" s="55">
        <v>0</v>
      </c>
      <c r="K190" s="55">
        <v>237281</v>
      </c>
      <c r="L190" s="55">
        <v>0</v>
      </c>
      <c r="M190" s="55">
        <v>237281</v>
      </c>
      <c r="N190" s="55">
        <v>0</v>
      </c>
      <c r="O190" s="55">
        <v>237281</v>
      </c>
      <c r="P190" s="55">
        <v>0</v>
      </c>
      <c r="Q190" s="55">
        <v>237281</v>
      </c>
      <c r="R190" s="55">
        <v>0</v>
      </c>
      <c r="S190" s="90">
        <f t="shared" si="2"/>
        <v>0</v>
      </c>
      <c r="T190" s="89">
        <v>46204</v>
      </c>
      <c r="U190" s="14"/>
      <c r="V190" s="105" t="s">
        <v>2231</v>
      </c>
      <c r="W190" s="105" t="str">
        <f>VLOOKUP(C190,'Status oficina'!$A$2:$C$208,3,FALSE)</f>
        <v>Cierre temporal</v>
      </c>
    </row>
    <row r="191" spans="1:23" ht="13.5" customHeight="1" x14ac:dyDescent="0.25">
      <c r="A191" s="14" t="s">
        <v>939</v>
      </c>
      <c r="B191" s="14" t="s">
        <v>1049</v>
      </c>
      <c r="C191" s="22">
        <v>9611</v>
      </c>
      <c r="D191" s="14" t="s">
        <v>1052</v>
      </c>
      <c r="E191" s="15" t="s">
        <v>413</v>
      </c>
      <c r="F191" s="14" t="s">
        <v>1053</v>
      </c>
      <c r="G191" s="14" t="s">
        <v>358</v>
      </c>
      <c r="H191" s="55">
        <v>96667</v>
      </c>
      <c r="I191" s="55">
        <v>96667</v>
      </c>
      <c r="J191" s="55">
        <v>0</v>
      </c>
      <c r="K191" s="55">
        <v>96667</v>
      </c>
      <c r="L191" s="55">
        <v>0</v>
      </c>
      <c r="M191" s="55">
        <v>96667</v>
      </c>
      <c r="N191" s="55">
        <v>0</v>
      </c>
      <c r="O191" s="55">
        <v>96667</v>
      </c>
      <c r="P191" s="55">
        <v>0</v>
      </c>
      <c r="Q191" s="55">
        <v>96667</v>
      </c>
      <c r="R191" s="55">
        <v>0</v>
      </c>
      <c r="S191" s="90">
        <f t="shared" si="2"/>
        <v>0</v>
      </c>
      <c r="T191" s="89">
        <v>46204</v>
      </c>
      <c r="U191" s="14"/>
      <c r="V191" s="105" t="s">
        <v>2231</v>
      </c>
      <c r="W191" s="105" t="str">
        <f>VLOOKUP(C191,'Status oficina'!$A$2:$C$208,3,FALSE)</f>
        <v>Cierre temporal</v>
      </c>
    </row>
    <row r="192" spans="1:23" ht="13.5" customHeight="1" x14ac:dyDescent="0.25">
      <c r="A192" s="14" t="s">
        <v>939</v>
      </c>
      <c r="B192" s="14" t="s">
        <v>1031</v>
      </c>
      <c r="C192" s="120">
        <v>9612</v>
      </c>
      <c r="D192" s="14" t="s">
        <v>1033</v>
      </c>
      <c r="E192" s="14" t="s">
        <v>413</v>
      </c>
      <c r="F192" s="14" t="s">
        <v>1446</v>
      </c>
      <c r="G192" s="14"/>
      <c r="H192" s="55">
        <v>150387</v>
      </c>
      <c r="I192" s="55">
        <v>150387</v>
      </c>
      <c r="J192" s="55">
        <v>0</v>
      </c>
      <c r="K192" s="55">
        <v>150387</v>
      </c>
      <c r="L192" s="55">
        <v>0</v>
      </c>
      <c r="M192" s="55">
        <v>150387</v>
      </c>
      <c r="N192" s="55">
        <v>0</v>
      </c>
      <c r="O192" s="55">
        <v>150387</v>
      </c>
      <c r="P192" s="55">
        <v>0</v>
      </c>
      <c r="Q192" s="55">
        <v>150387</v>
      </c>
      <c r="R192" s="55">
        <v>0</v>
      </c>
      <c r="S192" s="90">
        <f t="shared" si="2"/>
        <v>0</v>
      </c>
      <c r="T192" s="89">
        <v>46204</v>
      </c>
      <c r="U192" s="14"/>
      <c r="V192" s="105" t="s">
        <v>2374</v>
      </c>
      <c r="W192" s="105" t="str">
        <f>VLOOKUP(C192,'Status oficina'!$A$2:$C$208,3,FALSE)</f>
        <v>Activa</v>
      </c>
    </row>
    <row r="193" spans="1:23" ht="13.5" customHeight="1" x14ac:dyDescent="0.25">
      <c r="A193" s="14" t="s">
        <v>2082</v>
      </c>
      <c r="B193" s="14" t="s">
        <v>560</v>
      </c>
      <c r="C193" s="120">
        <v>9360</v>
      </c>
      <c r="D193" s="14" t="s">
        <v>561</v>
      </c>
      <c r="E193" s="14" t="s">
        <v>417</v>
      </c>
      <c r="F193" s="14" t="s">
        <v>1205</v>
      </c>
      <c r="G193" s="14" t="s">
        <v>224</v>
      </c>
      <c r="H193" s="55">
        <v>368322</v>
      </c>
      <c r="I193" s="55">
        <v>368322</v>
      </c>
      <c r="J193" s="55">
        <v>0</v>
      </c>
      <c r="K193" s="55">
        <v>368322</v>
      </c>
      <c r="L193" s="55">
        <v>0</v>
      </c>
      <c r="M193" s="55">
        <v>368742</v>
      </c>
      <c r="N193" s="55">
        <v>420</v>
      </c>
      <c r="O193" s="55">
        <v>369444</v>
      </c>
      <c r="P193" s="55">
        <v>702</v>
      </c>
      <c r="Q193" s="55">
        <v>370200</v>
      </c>
      <c r="R193" s="55">
        <v>756</v>
      </c>
      <c r="S193" s="90">
        <f t="shared" si="2"/>
        <v>1878</v>
      </c>
      <c r="T193" s="89">
        <v>46204</v>
      </c>
      <c r="U193" s="14"/>
      <c r="V193" s="105" t="s">
        <v>2375</v>
      </c>
      <c r="W193" s="105" t="str">
        <f>VLOOKUP(C193,'Status oficina'!$A$2:$C$208,3,FALSE)</f>
        <v>Activa</v>
      </c>
    </row>
    <row r="194" spans="1:23" ht="13.5" customHeight="1" x14ac:dyDescent="0.25">
      <c r="A194" s="14" t="s">
        <v>2082</v>
      </c>
      <c r="B194" s="14" t="s">
        <v>619</v>
      </c>
      <c r="C194" s="22">
        <v>9832</v>
      </c>
      <c r="D194" s="14" t="s">
        <v>621</v>
      </c>
      <c r="E194" s="15" t="s">
        <v>417</v>
      </c>
      <c r="F194" s="14" t="s">
        <v>1188</v>
      </c>
      <c r="G194" s="15" t="s">
        <v>359</v>
      </c>
      <c r="H194" s="55">
        <v>684091</v>
      </c>
      <c r="I194" s="55">
        <v>684748</v>
      </c>
      <c r="J194" s="55">
        <v>657</v>
      </c>
      <c r="K194" s="55">
        <v>686108</v>
      </c>
      <c r="L194" s="55">
        <v>1360</v>
      </c>
      <c r="M194" s="55">
        <v>687022</v>
      </c>
      <c r="N194" s="55">
        <v>914</v>
      </c>
      <c r="O194" s="55">
        <v>687862</v>
      </c>
      <c r="P194" s="55">
        <v>840</v>
      </c>
      <c r="Q194" s="55">
        <v>688942</v>
      </c>
      <c r="R194" s="55">
        <v>1080</v>
      </c>
      <c r="S194" s="90">
        <f t="shared" si="2"/>
        <v>4851</v>
      </c>
      <c r="T194" s="89">
        <v>46204</v>
      </c>
      <c r="U194" s="14"/>
      <c r="V194" s="105" t="s">
        <v>2375</v>
      </c>
      <c r="W194" s="105" t="str">
        <f>VLOOKUP(C194,'Status oficina'!$A$2:$C$208,3,FALSE)</f>
        <v>Activa</v>
      </c>
    </row>
    <row r="195" spans="1:23" ht="13.5" customHeight="1" x14ac:dyDescent="0.25">
      <c r="A195" s="14" t="s">
        <v>939</v>
      </c>
      <c r="B195" s="14" t="s">
        <v>969</v>
      </c>
      <c r="C195" s="120">
        <v>9540</v>
      </c>
      <c r="D195" s="14" t="s">
        <v>971</v>
      </c>
      <c r="E195" s="14" t="s">
        <v>417</v>
      </c>
      <c r="F195" s="14" t="s">
        <v>1411</v>
      </c>
      <c r="G195" s="14" t="s">
        <v>382</v>
      </c>
      <c r="H195" s="55">
        <v>785104</v>
      </c>
      <c r="I195" s="55">
        <v>785333</v>
      </c>
      <c r="J195" s="55">
        <v>229</v>
      </c>
      <c r="K195" s="55">
        <v>785695</v>
      </c>
      <c r="L195" s="55">
        <v>362</v>
      </c>
      <c r="M195" s="55">
        <v>786767</v>
      </c>
      <c r="N195" s="55">
        <v>1072</v>
      </c>
      <c r="O195" s="55">
        <v>787395</v>
      </c>
      <c r="P195" s="55">
        <v>628</v>
      </c>
      <c r="Q195" s="55">
        <v>788625</v>
      </c>
      <c r="R195" s="55">
        <v>1230</v>
      </c>
      <c r="S195" s="90">
        <f t="shared" ref="S195:S258" si="3">R195+P195+N195+L195+J195</f>
        <v>3521</v>
      </c>
      <c r="T195" s="89">
        <v>46204</v>
      </c>
      <c r="U195" s="14"/>
      <c r="V195" s="105" t="s">
        <v>2375</v>
      </c>
      <c r="W195" s="105" t="str">
        <f>VLOOKUP(C195,'Status oficina'!$A$2:$C$208,3,FALSE)</f>
        <v>Activa</v>
      </c>
    </row>
    <row r="196" spans="1:23" ht="13.5" customHeight="1" x14ac:dyDescent="0.25">
      <c r="A196" s="14" t="s">
        <v>2082</v>
      </c>
      <c r="B196" s="14" t="s">
        <v>628</v>
      </c>
      <c r="C196" s="120">
        <v>9446</v>
      </c>
      <c r="D196" s="14" t="s">
        <v>629</v>
      </c>
      <c r="E196" s="14" t="s">
        <v>417</v>
      </c>
      <c r="F196" s="14" t="s">
        <v>1191</v>
      </c>
      <c r="G196" s="14" t="s">
        <v>193</v>
      </c>
      <c r="H196" s="55">
        <v>503742</v>
      </c>
      <c r="I196" s="55">
        <v>503742</v>
      </c>
      <c r="J196" s="55">
        <v>0</v>
      </c>
      <c r="K196" s="55">
        <v>503742</v>
      </c>
      <c r="L196" s="55">
        <v>0</v>
      </c>
      <c r="M196" s="55">
        <v>503742</v>
      </c>
      <c r="N196" s="55">
        <v>0</v>
      </c>
      <c r="O196" s="55">
        <v>503742</v>
      </c>
      <c r="P196" s="55">
        <v>0</v>
      </c>
      <c r="Q196" s="55">
        <v>503742</v>
      </c>
      <c r="R196" s="55">
        <v>0</v>
      </c>
      <c r="S196" s="90">
        <f t="shared" si="3"/>
        <v>0</v>
      </c>
      <c r="T196" s="89">
        <v>46204</v>
      </c>
      <c r="U196" s="14"/>
      <c r="V196" s="105" t="s">
        <v>2375</v>
      </c>
      <c r="W196" s="105" t="str">
        <f>VLOOKUP(C196,'Status oficina'!$A$2:$C$208,3,FALSE)</f>
        <v>Activa</v>
      </c>
    </row>
    <row r="197" spans="1:23" ht="13.5" customHeight="1" x14ac:dyDescent="0.25">
      <c r="A197" s="14" t="s">
        <v>939</v>
      </c>
      <c r="B197" s="14" t="s">
        <v>966</v>
      </c>
      <c r="C197" s="19">
        <v>9630</v>
      </c>
      <c r="D197" s="14" t="s">
        <v>968</v>
      </c>
      <c r="E197" s="14" t="s">
        <v>413</v>
      </c>
      <c r="F197" s="14" t="s">
        <v>1408</v>
      </c>
      <c r="G197" s="14"/>
      <c r="H197" s="55">
        <v>185451</v>
      </c>
      <c r="I197" s="55">
        <v>185451</v>
      </c>
      <c r="J197" s="55">
        <v>0</v>
      </c>
      <c r="K197" s="55">
        <v>185451</v>
      </c>
      <c r="L197" s="55">
        <v>0</v>
      </c>
      <c r="M197" s="55">
        <v>185451</v>
      </c>
      <c r="N197" s="55">
        <v>0</v>
      </c>
      <c r="O197" s="55">
        <v>185451</v>
      </c>
      <c r="P197" s="55">
        <v>0</v>
      </c>
      <c r="Q197" s="55">
        <v>185451</v>
      </c>
      <c r="R197" s="55">
        <v>0</v>
      </c>
      <c r="S197" s="90">
        <f t="shared" si="3"/>
        <v>0</v>
      </c>
      <c r="T197" s="89">
        <v>46204</v>
      </c>
      <c r="U197" s="14" t="s">
        <v>2222</v>
      </c>
      <c r="V197" s="105" t="s">
        <v>2374</v>
      </c>
      <c r="W197" s="105" t="str">
        <f>VLOOKUP(C197,'Status oficina'!$A$2:$C$208,3,FALSE)</f>
        <v>Activa</v>
      </c>
    </row>
    <row r="198" spans="1:23" ht="13.5" customHeight="1" x14ac:dyDescent="0.25">
      <c r="A198" s="53" t="s">
        <v>868</v>
      </c>
      <c r="B198" s="53" t="s">
        <v>428</v>
      </c>
      <c r="C198" s="123">
        <v>9837</v>
      </c>
      <c r="D198" s="14" t="s">
        <v>430</v>
      </c>
      <c r="E198" s="14" t="s">
        <v>417</v>
      </c>
      <c r="F198" s="14" t="s">
        <v>1073</v>
      </c>
      <c r="G198" s="14" t="s">
        <v>34</v>
      </c>
      <c r="H198" s="55">
        <v>1025080</v>
      </c>
      <c r="I198" s="55">
        <v>1037305</v>
      </c>
      <c r="J198" s="55">
        <v>12225</v>
      </c>
      <c r="K198" s="55">
        <v>1041907</v>
      </c>
      <c r="L198" s="55">
        <v>4602</v>
      </c>
      <c r="M198" s="55">
        <v>1041907</v>
      </c>
      <c r="N198" s="55">
        <v>0</v>
      </c>
      <c r="O198" s="55">
        <v>1042706</v>
      </c>
      <c r="P198" s="55">
        <v>799</v>
      </c>
      <c r="Q198" s="55">
        <v>1044831</v>
      </c>
      <c r="R198" s="55">
        <v>2125</v>
      </c>
      <c r="S198" s="90">
        <f t="shared" si="3"/>
        <v>19751</v>
      </c>
      <c r="T198" s="89">
        <v>46204</v>
      </c>
      <c r="U198" s="14"/>
      <c r="V198" s="105" t="s">
        <v>2375</v>
      </c>
      <c r="W198" s="105" t="str">
        <f>VLOOKUP(C198,'Status oficina'!$A$2:$C$208,3,FALSE)</f>
        <v>Activa</v>
      </c>
    </row>
    <row r="199" spans="1:23" ht="13.5" customHeight="1" x14ac:dyDescent="0.25">
      <c r="A199" s="14" t="s">
        <v>939</v>
      </c>
      <c r="B199" s="14" t="s">
        <v>978</v>
      </c>
      <c r="C199" s="19">
        <v>9640</v>
      </c>
      <c r="D199" s="14" t="s">
        <v>979</v>
      </c>
      <c r="E199" s="14" t="s">
        <v>417</v>
      </c>
      <c r="F199" s="14" t="s">
        <v>1415</v>
      </c>
      <c r="G199" s="14" t="s">
        <v>168</v>
      </c>
      <c r="H199" s="55">
        <v>207865</v>
      </c>
      <c r="I199" s="55">
        <v>207865</v>
      </c>
      <c r="J199" s="55">
        <v>0</v>
      </c>
      <c r="K199" s="55">
        <v>207865</v>
      </c>
      <c r="L199" s="55">
        <v>0</v>
      </c>
      <c r="M199" s="55">
        <v>207865</v>
      </c>
      <c r="N199" s="55">
        <v>0</v>
      </c>
      <c r="O199" s="55">
        <v>207865</v>
      </c>
      <c r="P199" s="55">
        <v>0</v>
      </c>
      <c r="Q199" s="55">
        <v>207865</v>
      </c>
      <c r="R199" s="55">
        <v>0</v>
      </c>
      <c r="S199" s="90">
        <f t="shared" si="3"/>
        <v>0</v>
      </c>
      <c r="T199" s="89">
        <v>46204</v>
      </c>
      <c r="U199" s="14" t="s">
        <v>2033</v>
      </c>
      <c r="V199" s="105" t="s">
        <v>2231</v>
      </c>
      <c r="W199" s="105" t="str">
        <f>VLOOKUP(C199,'Status oficina'!$A$2:$C$208,3,FALSE)</f>
        <v>Cierre temporal</v>
      </c>
    </row>
    <row r="200" spans="1:23" ht="13.5" customHeight="1" x14ac:dyDescent="0.25">
      <c r="A200" s="14" t="s">
        <v>939</v>
      </c>
      <c r="B200" s="14" t="s">
        <v>992</v>
      </c>
      <c r="C200" s="120">
        <v>9610</v>
      </c>
      <c r="D200" s="14" t="s">
        <v>993</v>
      </c>
      <c r="E200" s="14" t="s">
        <v>417</v>
      </c>
      <c r="F200" s="14" t="s">
        <v>1426</v>
      </c>
      <c r="G200" s="14" t="s">
        <v>164</v>
      </c>
      <c r="H200" s="55">
        <v>909589</v>
      </c>
      <c r="I200" s="55">
        <v>910397</v>
      </c>
      <c r="J200" s="55">
        <v>808</v>
      </c>
      <c r="K200" s="55">
        <v>911820</v>
      </c>
      <c r="L200" s="55">
        <v>1423</v>
      </c>
      <c r="M200" s="55">
        <v>913008</v>
      </c>
      <c r="N200" s="55">
        <v>1188</v>
      </c>
      <c r="O200" s="55">
        <v>914031</v>
      </c>
      <c r="P200" s="55">
        <v>1023</v>
      </c>
      <c r="Q200" s="55">
        <v>915204</v>
      </c>
      <c r="R200" s="55">
        <v>1173</v>
      </c>
      <c r="S200" s="90">
        <f t="shared" si="3"/>
        <v>5615</v>
      </c>
      <c r="T200" s="89">
        <v>46204</v>
      </c>
      <c r="U200" s="14"/>
      <c r="V200" s="105" t="s">
        <v>2375</v>
      </c>
      <c r="W200" s="105" t="str">
        <f>VLOOKUP(C200,'Status oficina'!$A$2:$C$208,3,FALSE)</f>
        <v>Activa</v>
      </c>
    </row>
    <row r="201" spans="1:23" ht="13.5" customHeight="1" x14ac:dyDescent="0.25">
      <c r="A201" s="14" t="s">
        <v>939</v>
      </c>
      <c r="B201" s="14" t="s">
        <v>966</v>
      </c>
      <c r="C201" s="19">
        <v>9630</v>
      </c>
      <c r="D201" s="14" t="s">
        <v>967</v>
      </c>
      <c r="E201" s="14" t="s">
        <v>417</v>
      </c>
      <c r="F201" s="14" t="s">
        <v>1407</v>
      </c>
      <c r="G201" s="14" t="s">
        <v>116</v>
      </c>
      <c r="H201" s="55">
        <v>1088743</v>
      </c>
      <c r="I201" s="55">
        <v>1089895</v>
      </c>
      <c r="J201" s="55">
        <v>1152</v>
      </c>
      <c r="K201" s="55">
        <v>1091853</v>
      </c>
      <c r="L201" s="55">
        <v>1958</v>
      </c>
      <c r="M201" s="55">
        <v>1093863</v>
      </c>
      <c r="N201" s="55">
        <v>2010</v>
      </c>
      <c r="O201" s="55">
        <v>1095303</v>
      </c>
      <c r="P201" s="55">
        <v>1440</v>
      </c>
      <c r="Q201" s="55">
        <v>1097160</v>
      </c>
      <c r="R201" s="55">
        <v>1857</v>
      </c>
      <c r="S201" s="90">
        <f t="shared" si="3"/>
        <v>8417</v>
      </c>
      <c r="T201" s="89">
        <v>46204</v>
      </c>
      <c r="U201" s="14"/>
      <c r="V201" s="105" t="s">
        <v>2375</v>
      </c>
      <c r="W201" s="105" t="str">
        <f>VLOOKUP(C201,'Status oficina'!$A$2:$C$208,3,FALSE)</f>
        <v>Activa</v>
      </c>
    </row>
    <row r="202" spans="1:23" ht="13.5" customHeight="1" x14ac:dyDescent="0.25">
      <c r="A202" s="14" t="s">
        <v>2082</v>
      </c>
      <c r="B202" s="14" t="s">
        <v>594</v>
      </c>
      <c r="C202" s="19">
        <v>9831</v>
      </c>
      <c r="D202" s="14" t="s">
        <v>595</v>
      </c>
      <c r="E202" s="14" t="s">
        <v>417</v>
      </c>
      <c r="F202" s="14" t="s">
        <v>1059</v>
      </c>
      <c r="G202" s="14" t="s">
        <v>167</v>
      </c>
      <c r="H202" s="55">
        <v>857036</v>
      </c>
      <c r="I202" s="55">
        <v>859366</v>
      </c>
      <c r="J202" s="55">
        <v>2330</v>
      </c>
      <c r="K202" s="55">
        <v>863459</v>
      </c>
      <c r="L202" s="55">
        <v>4093</v>
      </c>
      <c r="M202" s="55">
        <v>867056</v>
      </c>
      <c r="N202" s="55">
        <v>3597</v>
      </c>
      <c r="O202" s="55">
        <v>870015</v>
      </c>
      <c r="P202" s="55">
        <v>2959</v>
      </c>
      <c r="Q202" s="55">
        <v>873567</v>
      </c>
      <c r="R202" s="55">
        <v>3552</v>
      </c>
      <c r="S202" s="90">
        <f t="shared" si="3"/>
        <v>16531</v>
      </c>
      <c r="T202" s="89">
        <v>46204</v>
      </c>
      <c r="U202" s="14"/>
      <c r="V202" s="105" t="s">
        <v>2375</v>
      </c>
      <c r="W202" s="105" t="str">
        <f>VLOOKUP(C202,'Status oficina'!$A$2:$C$208,3,FALSE)</f>
        <v>Activa</v>
      </c>
    </row>
    <row r="203" spans="1:23" ht="13.5" customHeight="1" x14ac:dyDescent="0.25">
      <c r="A203" s="14" t="s">
        <v>939</v>
      </c>
      <c r="B203" s="14" t="s">
        <v>1054</v>
      </c>
      <c r="C203" s="22">
        <v>9654</v>
      </c>
      <c r="D203" s="14" t="s">
        <v>1055</v>
      </c>
      <c r="E203" s="14" t="s">
        <v>417</v>
      </c>
      <c r="F203" s="12" t="s">
        <v>1461</v>
      </c>
      <c r="G203" s="14" t="s">
        <v>14</v>
      </c>
      <c r="H203" s="55">
        <v>494977</v>
      </c>
      <c r="I203" s="55">
        <v>494977</v>
      </c>
      <c r="J203" s="55">
        <v>0</v>
      </c>
      <c r="K203" s="55">
        <v>494977</v>
      </c>
      <c r="L203" s="55">
        <v>0</v>
      </c>
      <c r="M203" s="55">
        <v>494977</v>
      </c>
      <c r="N203" s="55">
        <v>0</v>
      </c>
      <c r="O203" s="55">
        <v>494977</v>
      </c>
      <c r="P203" s="55">
        <v>0</v>
      </c>
      <c r="Q203" s="55">
        <v>494977</v>
      </c>
      <c r="R203" s="55">
        <v>0</v>
      </c>
      <c r="S203" s="90">
        <f t="shared" si="3"/>
        <v>0</v>
      </c>
      <c r="T203" s="89">
        <v>46204</v>
      </c>
      <c r="U203" s="14"/>
      <c r="V203" s="105" t="s">
        <v>2231</v>
      </c>
      <c r="W203" s="105" t="str">
        <f>VLOOKUP(C203,'Status oficina'!$A$2:$C$208,3,FALSE)</f>
        <v>Cierre temporal</v>
      </c>
    </row>
    <row r="204" spans="1:23" ht="13.5" customHeight="1" x14ac:dyDescent="0.25">
      <c r="A204" s="14" t="s">
        <v>939</v>
      </c>
      <c r="B204" s="14" t="s">
        <v>1054</v>
      </c>
      <c r="C204" s="22">
        <v>9654</v>
      </c>
      <c r="D204" s="14" t="s">
        <v>1055</v>
      </c>
      <c r="E204" s="14" t="s">
        <v>413</v>
      </c>
      <c r="F204" s="14" t="s">
        <v>1462</v>
      </c>
      <c r="G204" s="14" t="s">
        <v>391</v>
      </c>
      <c r="H204" s="55">
        <v>173577</v>
      </c>
      <c r="I204" s="55">
        <v>173577</v>
      </c>
      <c r="J204" s="55">
        <v>0</v>
      </c>
      <c r="K204" s="55">
        <v>173577</v>
      </c>
      <c r="L204" s="55">
        <v>0</v>
      </c>
      <c r="M204" s="55">
        <v>173577</v>
      </c>
      <c r="N204" s="55">
        <v>0</v>
      </c>
      <c r="O204" s="55">
        <v>173577</v>
      </c>
      <c r="P204" s="55">
        <v>0</v>
      </c>
      <c r="Q204" s="55">
        <v>173577</v>
      </c>
      <c r="R204" s="55">
        <v>0</v>
      </c>
      <c r="S204" s="90">
        <f t="shared" si="3"/>
        <v>0</v>
      </c>
      <c r="T204" s="89">
        <v>46204</v>
      </c>
      <c r="U204" s="14"/>
      <c r="V204" s="105" t="s">
        <v>2231</v>
      </c>
      <c r="W204" s="105" t="str">
        <f>VLOOKUP(C204,'Status oficina'!$A$2:$C$208,3,FALSE)</f>
        <v>Cierre temporal</v>
      </c>
    </row>
    <row r="205" spans="1:23" ht="13.5" customHeight="1" x14ac:dyDescent="0.25">
      <c r="A205" s="14" t="s">
        <v>868</v>
      </c>
      <c r="B205" s="14" t="s">
        <v>881</v>
      </c>
      <c r="C205" s="19">
        <v>9815</v>
      </c>
      <c r="D205" s="14" t="s">
        <v>883</v>
      </c>
      <c r="E205" s="14" t="s">
        <v>417</v>
      </c>
      <c r="F205" s="14" t="s">
        <v>1347</v>
      </c>
      <c r="G205" s="14" t="s">
        <v>276</v>
      </c>
      <c r="H205" s="55">
        <v>787551</v>
      </c>
      <c r="I205" s="55">
        <v>788837</v>
      </c>
      <c r="J205" s="55">
        <v>1286</v>
      </c>
      <c r="K205" s="55">
        <v>790608</v>
      </c>
      <c r="L205" s="55">
        <v>1771</v>
      </c>
      <c r="M205" s="55">
        <v>792176</v>
      </c>
      <c r="N205" s="55">
        <v>1568</v>
      </c>
      <c r="O205" s="55">
        <v>793513</v>
      </c>
      <c r="P205" s="55">
        <v>1337</v>
      </c>
      <c r="Q205" s="55">
        <v>795927</v>
      </c>
      <c r="R205" s="55">
        <v>2414</v>
      </c>
      <c r="S205" s="90">
        <f t="shared" si="3"/>
        <v>8376</v>
      </c>
      <c r="T205" s="89">
        <v>46204</v>
      </c>
      <c r="U205" s="14"/>
      <c r="V205" s="105" t="s">
        <v>2375</v>
      </c>
      <c r="W205" s="105" t="str">
        <f>VLOOKUP(C205,'Status oficina'!$A$2:$C$208,3,FALSE)</f>
        <v>Activa</v>
      </c>
    </row>
    <row r="206" spans="1:23" ht="13.5" customHeight="1" x14ac:dyDescent="0.25">
      <c r="A206" s="14" t="s">
        <v>2082</v>
      </c>
      <c r="B206" s="14" t="s">
        <v>524</v>
      </c>
      <c r="C206" s="19">
        <v>9340</v>
      </c>
      <c r="D206" s="14" t="s">
        <v>525</v>
      </c>
      <c r="E206" s="14" t="s">
        <v>417</v>
      </c>
      <c r="F206" s="14" t="s">
        <v>1139</v>
      </c>
      <c r="G206" s="14" t="s">
        <v>3</v>
      </c>
      <c r="H206" s="55">
        <v>1170514</v>
      </c>
      <c r="I206" s="55">
        <v>1171299</v>
      </c>
      <c r="J206" s="55">
        <v>785</v>
      </c>
      <c r="K206" s="55">
        <v>1173204</v>
      </c>
      <c r="L206" s="55">
        <v>1905</v>
      </c>
      <c r="M206" s="55">
        <v>1175394</v>
      </c>
      <c r="N206" s="55">
        <v>2190</v>
      </c>
      <c r="O206" s="55">
        <v>1176736</v>
      </c>
      <c r="P206" s="55">
        <v>1342</v>
      </c>
      <c r="Q206" s="55">
        <v>1178761</v>
      </c>
      <c r="R206" s="55">
        <v>2025</v>
      </c>
      <c r="S206" s="90">
        <f t="shared" si="3"/>
        <v>8247</v>
      </c>
      <c r="T206" s="89">
        <v>46204</v>
      </c>
      <c r="U206" s="14"/>
      <c r="V206" s="105" t="s">
        <v>2375</v>
      </c>
      <c r="W206" s="105" t="str">
        <f>VLOOKUP(C206,'Status oficina'!$A$2:$C$208,3,FALSE)</f>
        <v>Activa</v>
      </c>
    </row>
    <row r="207" spans="1:23" ht="13.5" customHeight="1" x14ac:dyDescent="0.25">
      <c r="A207" s="14" t="s">
        <v>2082</v>
      </c>
      <c r="B207" s="14" t="s">
        <v>524</v>
      </c>
      <c r="C207" s="19">
        <v>9340</v>
      </c>
      <c r="D207" s="14" t="s">
        <v>2402</v>
      </c>
      <c r="E207" s="14" t="s">
        <v>413</v>
      </c>
      <c r="F207" s="14" t="s">
        <v>2400</v>
      </c>
      <c r="G207" s="14" t="s">
        <v>2401</v>
      </c>
      <c r="H207" s="55">
        <v>327238</v>
      </c>
      <c r="I207" s="55">
        <v>327456</v>
      </c>
      <c r="J207" s="55">
        <v>218</v>
      </c>
      <c r="K207" s="55">
        <v>327617</v>
      </c>
      <c r="L207" s="55">
        <v>161</v>
      </c>
      <c r="M207" s="55">
        <v>327792</v>
      </c>
      <c r="N207" s="55">
        <v>175</v>
      </c>
      <c r="O207" s="55">
        <v>327866</v>
      </c>
      <c r="P207" s="55">
        <v>74</v>
      </c>
      <c r="Q207" s="55">
        <v>328063</v>
      </c>
      <c r="R207" s="55">
        <v>197</v>
      </c>
      <c r="S207" s="90">
        <f t="shared" si="3"/>
        <v>825</v>
      </c>
      <c r="T207" s="89">
        <v>46204</v>
      </c>
      <c r="U207" s="14"/>
      <c r="V207" s="105" t="s">
        <v>2375</v>
      </c>
      <c r="W207" s="105" t="str">
        <f>VLOOKUP(C207,'Status oficina'!$A$2:$C$208,3,FALSE)</f>
        <v>Activa</v>
      </c>
    </row>
    <row r="208" spans="1:23" ht="13.5" customHeight="1" x14ac:dyDescent="0.25">
      <c r="A208" s="53" t="s">
        <v>868</v>
      </c>
      <c r="B208" s="53" t="s">
        <v>444</v>
      </c>
      <c r="C208" s="120">
        <v>9947</v>
      </c>
      <c r="D208" s="14" t="s">
        <v>445</v>
      </c>
      <c r="E208" s="14" t="s">
        <v>417</v>
      </c>
      <c r="F208" s="14" t="s">
        <v>1083</v>
      </c>
      <c r="G208" s="14" t="s">
        <v>26</v>
      </c>
      <c r="H208" s="55">
        <v>404520</v>
      </c>
      <c r="I208" s="55">
        <v>404520</v>
      </c>
      <c r="J208" s="55">
        <v>0</v>
      </c>
      <c r="K208" s="55">
        <v>404520</v>
      </c>
      <c r="L208" s="55">
        <v>0</v>
      </c>
      <c r="M208" s="55">
        <v>404520</v>
      </c>
      <c r="N208" s="55">
        <v>0</v>
      </c>
      <c r="O208" s="55">
        <v>404520</v>
      </c>
      <c r="P208" s="55">
        <v>0</v>
      </c>
      <c r="Q208" s="55">
        <v>404520</v>
      </c>
      <c r="R208" s="55">
        <v>0</v>
      </c>
      <c r="S208" s="90">
        <f t="shared" si="3"/>
        <v>0</v>
      </c>
      <c r="T208" s="89">
        <v>46204</v>
      </c>
      <c r="U208" s="14"/>
      <c r="V208" s="108" t="s">
        <v>2449</v>
      </c>
      <c r="W208" s="105" t="str">
        <f>VLOOKUP(C208,'Status oficina'!$A$2:$C$208,3,FALSE)</f>
        <v>Cierre definitivo</v>
      </c>
    </row>
    <row r="209" spans="1:23" ht="13.5" customHeight="1" x14ac:dyDescent="0.25">
      <c r="A209" s="53" t="s">
        <v>868</v>
      </c>
      <c r="B209" s="53" t="s">
        <v>441</v>
      </c>
      <c r="C209" s="120">
        <v>9869</v>
      </c>
      <c r="D209" s="14" t="s">
        <v>458</v>
      </c>
      <c r="E209" s="14" t="s">
        <v>417</v>
      </c>
      <c r="F209" s="14" t="s">
        <v>1089</v>
      </c>
      <c r="G209" s="14" t="s">
        <v>103</v>
      </c>
      <c r="H209" s="55">
        <v>347929</v>
      </c>
      <c r="I209" s="55">
        <v>348200</v>
      </c>
      <c r="J209" s="55">
        <v>271</v>
      </c>
      <c r="K209" s="55">
        <v>348605</v>
      </c>
      <c r="L209" s="55">
        <v>405</v>
      </c>
      <c r="M209" s="55">
        <v>348907</v>
      </c>
      <c r="N209" s="55">
        <v>302</v>
      </c>
      <c r="O209" s="55">
        <v>349172</v>
      </c>
      <c r="P209" s="55">
        <v>265</v>
      </c>
      <c r="Q209" s="55">
        <v>349618</v>
      </c>
      <c r="R209" s="55">
        <v>446</v>
      </c>
      <c r="S209" s="90">
        <f t="shared" si="3"/>
        <v>1689</v>
      </c>
      <c r="T209" s="89">
        <v>46204</v>
      </c>
      <c r="U209" s="14"/>
      <c r="V209" s="105" t="s">
        <v>2375</v>
      </c>
      <c r="W209" s="105" t="str">
        <f>VLOOKUP(C209,'Status oficina'!$A$2:$C$208,3,FALSE)</f>
        <v>Activa</v>
      </c>
    </row>
    <row r="210" spans="1:23" ht="13.5" customHeight="1" x14ac:dyDescent="0.25">
      <c r="A210" s="14" t="s">
        <v>939</v>
      </c>
      <c r="B210" s="14" t="s">
        <v>960</v>
      </c>
      <c r="C210" s="19">
        <v>9555</v>
      </c>
      <c r="D210" s="14" t="s">
        <v>961</v>
      </c>
      <c r="E210" s="14" t="s">
        <v>417</v>
      </c>
      <c r="F210" s="14" t="s">
        <v>1402</v>
      </c>
      <c r="G210" s="14" t="s">
        <v>163</v>
      </c>
      <c r="H210" s="55">
        <v>403457</v>
      </c>
      <c r="I210" s="55">
        <v>403833</v>
      </c>
      <c r="J210" s="55">
        <v>376</v>
      </c>
      <c r="K210" s="55">
        <v>404481</v>
      </c>
      <c r="L210" s="55">
        <v>648</v>
      </c>
      <c r="M210" s="55">
        <v>405078</v>
      </c>
      <c r="N210" s="55">
        <v>597</v>
      </c>
      <c r="O210" s="55">
        <v>405664</v>
      </c>
      <c r="P210" s="55">
        <v>586</v>
      </c>
      <c r="Q210" s="55">
        <v>406214</v>
      </c>
      <c r="R210" s="55">
        <v>550</v>
      </c>
      <c r="S210" s="90">
        <f t="shared" si="3"/>
        <v>2757</v>
      </c>
      <c r="T210" s="89">
        <v>46204</v>
      </c>
      <c r="U210" s="14"/>
      <c r="V210" s="105" t="s">
        <v>2375</v>
      </c>
      <c r="W210" s="105" t="str">
        <f>VLOOKUP(C210,'Status oficina'!$A$2:$C$208,3,FALSE)</f>
        <v>Activa</v>
      </c>
    </row>
    <row r="211" spans="1:23" ht="13.5" customHeight="1" x14ac:dyDescent="0.25">
      <c r="A211" s="14" t="s">
        <v>939</v>
      </c>
      <c r="B211" s="14" t="s">
        <v>1009</v>
      </c>
      <c r="C211" s="19">
        <v>9658</v>
      </c>
      <c r="D211" s="14" t="s">
        <v>1010</v>
      </c>
      <c r="E211" s="14" t="s">
        <v>417</v>
      </c>
      <c r="F211" s="14" t="s">
        <v>1431</v>
      </c>
      <c r="G211" s="14" t="s">
        <v>185</v>
      </c>
      <c r="H211" s="55">
        <v>515512</v>
      </c>
      <c r="I211" s="55">
        <v>515512</v>
      </c>
      <c r="J211" s="55">
        <v>0</v>
      </c>
      <c r="K211" s="55">
        <v>515512</v>
      </c>
      <c r="L211" s="55">
        <v>0</v>
      </c>
      <c r="M211" s="55">
        <v>515512</v>
      </c>
      <c r="N211" s="55">
        <v>0</v>
      </c>
      <c r="O211" s="55">
        <v>515512</v>
      </c>
      <c r="P211" s="55">
        <v>0</v>
      </c>
      <c r="Q211" s="55">
        <v>515512</v>
      </c>
      <c r="R211" s="55">
        <v>0</v>
      </c>
      <c r="S211" s="90">
        <f t="shared" si="3"/>
        <v>0</v>
      </c>
      <c r="T211" s="89">
        <v>46204</v>
      </c>
      <c r="U211" s="14"/>
      <c r="V211" s="105" t="s">
        <v>2231</v>
      </c>
      <c r="W211" s="105" t="str">
        <f>VLOOKUP(C211,'Status oficina'!$A$2:$C$208,3,FALSE)</f>
        <v>Cierre temporal</v>
      </c>
    </row>
    <row r="212" spans="1:23" ht="13.5" customHeight="1" x14ac:dyDescent="0.25">
      <c r="A212" s="14" t="s">
        <v>939</v>
      </c>
      <c r="B212" s="14" t="s">
        <v>940</v>
      </c>
      <c r="C212" s="19">
        <v>9660</v>
      </c>
      <c r="D212" s="14" t="s">
        <v>2049</v>
      </c>
      <c r="E212" s="14" t="s">
        <v>413</v>
      </c>
      <c r="F212" s="14" t="s">
        <v>1392</v>
      </c>
      <c r="G212" s="2"/>
      <c r="H212" s="55">
        <v>210346</v>
      </c>
      <c r="I212" s="55">
        <v>210346</v>
      </c>
      <c r="J212" s="55">
        <v>0</v>
      </c>
      <c r="K212" s="55">
        <v>210346</v>
      </c>
      <c r="L212" s="55">
        <v>0</v>
      </c>
      <c r="M212" s="55">
        <v>210346</v>
      </c>
      <c r="N212" s="55">
        <v>0</v>
      </c>
      <c r="O212" s="55">
        <v>210346</v>
      </c>
      <c r="P212" s="55">
        <v>0</v>
      </c>
      <c r="Q212" s="55">
        <v>210346</v>
      </c>
      <c r="R212" s="55">
        <v>0</v>
      </c>
      <c r="S212" s="90">
        <f t="shared" si="3"/>
        <v>0</v>
      </c>
      <c r="T212" s="89">
        <v>46204</v>
      </c>
      <c r="U212" s="105" t="s">
        <v>2458</v>
      </c>
      <c r="V212" s="105" t="s">
        <v>2374</v>
      </c>
      <c r="W212" s="105" t="str">
        <f>VLOOKUP(C212,'Status oficina'!$A$2:$C$208,3,FALSE)</f>
        <v>Cierre temporal</v>
      </c>
    </row>
    <row r="213" spans="1:23" ht="13.5" customHeight="1" x14ac:dyDescent="0.25">
      <c r="A213" s="53" t="s">
        <v>868</v>
      </c>
      <c r="B213" s="53" t="s">
        <v>418</v>
      </c>
      <c r="C213" s="19">
        <v>9874</v>
      </c>
      <c r="D213" s="14" t="s">
        <v>419</v>
      </c>
      <c r="E213" s="14" t="s">
        <v>417</v>
      </c>
      <c r="F213" s="14" t="s">
        <v>1066</v>
      </c>
      <c r="G213" s="14" t="s">
        <v>255</v>
      </c>
      <c r="H213" s="55">
        <v>476746</v>
      </c>
      <c r="I213" s="55">
        <v>477106</v>
      </c>
      <c r="J213" s="55">
        <v>360</v>
      </c>
      <c r="K213" s="55">
        <v>477880</v>
      </c>
      <c r="L213" s="55">
        <v>774</v>
      </c>
      <c r="M213" s="55">
        <v>478341</v>
      </c>
      <c r="N213" s="55">
        <v>461</v>
      </c>
      <c r="O213" s="55">
        <v>478821</v>
      </c>
      <c r="P213" s="55">
        <v>480</v>
      </c>
      <c r="Q213" s="55">
        <v>479381</v>
      </c>
      <c r="R213" s="55">
        <v>560</v>
      </c>
      <c r="S213" s="90">
        <f t="shared" si="3"/>
        <v>2635</v>
      </c>
      <c r="T213" s="89">
        <v>46204</v>
      </c>
      <c r="U213" s="14"/>
      <c r="V213" s="105" t="s">
        <v>2375</v>
      </c>
      <c r="W213" s="105" t="str">
        <f>VLOOKUP(C213,'Status oficina'!$A$2:$C$208,3,FALSE)</f>
        <v>Activa</v>
      </c>
    </row>
    <row r="214" spans="1:23" ht="13.5" customHeight="1" x14ac:dyDescent="0.25">
      <c r="A214" s="14" t="s">
        <v>2082</v>
      </c>
      <c r="B214" s="14" t="s">
        <v>521</v>
      </c>
      <c r="C214" s="19">
        <v>9393</v>
      </c>
      <c r="D214" s="14" t="s">
        <v>523</v>
      </c>
      <c r="E214" s="15" t="s">
        <v>417</v>
      </c>
      <c r="F214" s="14" t="s">
        <v>1138</v>
      </c>
      <c r="G214" s="15" t="s">
        <v>361</v>
      </c>
      <c r="H214" s="55">
        <v>642350</v>
      </c>
      <c r="I214" s="55">
        <v>643262</v>
      </c>
      <c r="J214" s="55">
        <v>912</v>
      </c>
      <c r="K214" s="55">
        <v>644811</v>
      </c>
      <c r="L214" s="55">
        <v>1549</v>
      </c>
      <c r="M214" s="55">
        <v>646092</v>
      </c>
      <c r="N214" s="55">
        <v>1281</v>
      </c>
      <c r="O214" s="55">
        <v>647030</v>
      </c>
      <c r="P214" s="55">
        <v>938</v>
      </c>
      <c r="Q214" s="55">
        <v>647986</v>
      </c>
      <c r="R214" s="55">
        <v>956</v>
      </c>
      <c r="S214" s="90">
        <f t="shared" si="3"/>
        <v>5636</v>
      </c>
      <c r="T214" s="89">
        <v>46204</v>
      </c>
      <c r="U214" s="14"/>
      <c r="V214" s="105" t="s">
        <v>2375</v>
      </c>
      <c r="W214" s="105" t="str">
        <f>VLOOKUP(C214,'Status oficina'!$A$2:$C$208,3,FALSE)</f>
        <v>Activa</v>
      </c>
    </row>
    <row r="215" spans="1:23" ht="13.5" customHeight="1" x14ac:dyDescent="0.25">
      <c r="A215" s="14" t="s">
        <v>939</v>
      </c>
      <c r="B215" s="14" t="s">
        <v>946</v>
      </c>
      <c r="C215" s="19">
        <v>9665</v>
      </c>
      <c r="D215" s="14" t="s">
        <v>947</v>
      </c>
      <c r="E215" s="14" t="s">
        <v>417</v>
      </c>
      <c r="F215" s="14" t="s">
        <v>1395</v>
      </c>
      <c r="G215" s="14" t="s">
        <v>209</v>
      </c>
      <c r="H215" s="55">
        <v>668726</v>
      </c>
      <c r="I215" s="55">
        <v>668726</v>
      </c>
      <c r="J215" s="55">
        <v>0</v>
      </c>
      <c r="K215" s="55">
        <v>668726</v>
      </c>
      <c r="L215" s="55">
        <v>0</v>
      </c>
      <c r="M215" s="55">
        <v>668726</v>
      </c>
      <c r="N215" s="55">
        <v>0</v>
      </c>
      <c r="O215" s="55">
        <v>668726</v>
      </c>
      <c r="P215" s="55">
        <v>0</v>
      </c>
      <c r="Q215" s="55">
        <v>668726</v>
      </c>
      <c r="R215" s="55">
        <v>0</v>
      </c>
      <c r="S215" s="90">
        <f t="shared" si="3"/>
        <v>0</v>
      </c>
      <c r="T215" s="89">
        <v>46204</v>
      </c>
      <c r="U215" s="14"/>
      <c r="V215" s="105" t="s">
        <v>2231</v>
      </c>
      <c r="W215" s="105" t="str">
        <f>VLOOKUP(C215,'Status oficina'!$A$2:$C$208,3,FALSE)</f>
        <v>Cierre temporal</v>
      </c>
    </row>
    <row r="216" spans="1:23" ht="13.5" customHeight="1" x14ac:dyDescent="0.25">
      <c r="A216" s="14" t="s">
        <v>868</v>
      </c>
      <c r="B216" s="14" t="s">
        <v>876</v>
      </c>
      <c r="C216" s="19">
        <v>9818</v>
      </c>
      <c r="D216" s="14" t="s">
        <v>878</v>
      </c>
      <c r="E216" s="14" t="s">
        <v>417</v>
      </c>
      <c r="F216" s="14" t="s">
        <v>1341</v>
      </c>
      <c r="G216" s="14" t="s">
        <v>2413</v>
      </c>
      <c r="H216" s="55">
        <v>809359</v>
      </c>
      <c r="I216" s="55">
        <v>810458</v>
      </c>
      <c r="J216" s="55">
        <v>1099</v>
      </c>
      <c r="K216" s="55">
        <v>812113</v>
      </c>
      <c r="L216" s="55">
        <v>1655</v>
      </c>
      <c r="M216" s="55">
        <v>813603</v>
      </c>
      <c r="N216" s="55">
        <v>1490</v>
      </c>
      <c r="O216" s="55">
        <v>814768</v>
      </c>
      <c r="P216" s="55">
        <v>1165</v>
      </c>
      <c r="Q216" s="55">
        <v>816539</v>
      </c>
      <c r="R216" s="55">
        <v>1771</v>
      </c>
      <c r="S216" s="90">
        <f t="shared" si="3"/>
        <v>7180</v>
      </c>
      <c r="T216" s="89">
        <v>46204</v>
      </c>
      <c r="U216" s="14"/>
      <c r="V216" s="105" t="s">
        <v>2375</v>
      </c>
      <c r="W216" s="105" t="s">
        <v>2228</v>
      </c>
    </row>
    <row r="217" spans="1:23" ht="13.5" customHeight="1" x14ac:dyDescent="0.25">
      <c r="A217" s="14" t="s">
        <v>939</v>
      </c>
      <c r="B217" s="14" t="s">
        <v>940</v>
      </c>
      <c r="C217" s="19">
        <v>9660</v>
      </c>
      <c r="D217" s="14" t="s">
        <v>941</v>
      </c>
      <c r="E217" s="14" t="s">
        <v>413</v>
      </c>
      <c r="F217" s="95" t="s">
        <v>1416</v>
      </c>
      <c r="G217" s="14" t="s">
        <v>79</v>
      </c>
      <c r="H217" s="55">
        <v>276837</v>
      </c>
      <c r="I217" s="55">
        <v>276837</v>
      </c>
      <c r="J217" s="55">
        <v>0</v>
      </c>
      <c r="K217" s="55">
        <v>276837</v>
      </c>
      <c r="L217" s="55">
        <v>0</v>
      </c>
      <c r="M217" s="55">
        <v>276837</v>
      </c>
      <c r="N217" s="55">
        <v>0</v>
      </c>
      <c r="O217" s="55">
        <v>276837</v>
      </c>
      <c r="P217" s="55">
        <v>0</v>
      </c>
      <c r="Q217" s="55">
        <v>276837</v>
      </c>
      <c r="R217" s="55">
        <v>0</v>
      </c>
      <c r="S217" s="90">
        <f t="shared" si="3"/>
        <v>0</v>
      </c>
      <c r="T217" s="89">
        <v>46204</v>
      </c>
      <c r="U217" s="14" t="s">
        <v>2459</v>
      </c>
      <c r="V217" s="105" t="s">
        <v>2231</v>
      </c>
      <c r="W217" s="105" t="str">
        <f>VLOOKUP(C217,'Status oficina'!$A$2:$C$208,3,FALSE)</f>
        <v>Cierre temporal</v>
      </c>
    </row>
    <row r="218" spans="1:23" ht="13.5" customHeight="1" x14ac:dyDescent="0.25">
      <c r="A218" s="14" t="s">
        <v>2082</v>
      </c>
      <c r="B218" s="14" t="s">
        <v>586</v>
      </c>
      <c r="C218" s="19">
        <v>9853</v>
      </c>
      <c r="D218" s="14" t="s">
        <v>589</v>
      </c>
      <c r="E218" s="14" t="s">
        <v>417</v>
      </c>
      <c r="F218" s="14" t="s">
        <v>590</v>
      </c>
      <c r="G218" s="14" t="s">
        <v>390</v>
      </c>
      <c r="H218" s="55">
        <v>409208</v>
      </c>
      <c r="I218" s="55">
        <v>409307</v>
      </c>
      <c r="J218" s="55">
        <v>99</v>
      </c>
      <c r="K218" s="55">
        <v>409490</v>
      </c>
      <c r="L218" s="55">
        <v>183</v>
      </c>
      <c r="M218" s="55">
        <v>409646</v>
      </c>
      <c r="N218" s="55">
        <v>156</v>
      </c>
      <c r="O218" s="55">
        <v>409701</v>
      </c>
      <c r="P218" s="55">
        <v>55</v>
      </c>
      <c r="Q218" s="55">
        <v>409870</v>
      </c>
      <c r="R218" s="55">
        <v>169</v>
      </c>
      <c r="S218" s="90">
        <f t="shared" si="3"/>
        <v>662</v>
      </c>
      <c r="T218" s="89">
        <v>46204</v>
      </c>
      <c r="U218" s="14"/>
      <c r="V218" s="105" t="s">
        <v>2375</v>
      </c>
      <c r="W218" s="105" t="str">
        <f>VLOOKUP(C218,'Status oficina'!$A$2:$C$208,3,FALSE)</f>
        <v>Activa</v>
      </c>
    </row>
    <row r="219" spans="1:23" ht="13.5" customHeight="1" x14ac:dyDescent="0.25">
      <c r="A219" s="14" t="s">
        <v>2442</v>
      </c>
      <c r="B219" s="49" t="s">
        <v>768</v>
      </c>
      <c r="C219" s="19">
        <v>9221</v>
      </c>
      <c r="D219" s="14" t="s">
        <v>769</v>
      </c>
      <c r="E219" s="14" t="s">
        <v>417</v>
      </c>
      <c r="F219" s="14" t="s">
        <v>1274</v>
      </c>
      <c r="G219" s="14" t="s">
        <v>10</v>
      </c>
      <c r="H219" s="55">
        <v>742518</v>
      </c>
      <c r="I219" s="55">
        <v>742518</v>
      </c>
      <c r="J219" s="55">
        <v>0</v>
      </c>
      <c r="K219" s="55">
        <v>742518</v>
      </c>
      <c r="L219" s="55">
        <v>0</v>
      </c>
      <c r="M219" s="55">
        <v>742518</v>
      </c>
      <c r="N219" s="55">
        <v>0</v>
      </c>
      <c r="O219" s="55">
        <v>742518</v>
      </c>
      <c r="P219" s="55">
        <v>0</v>
      </c>
      <c r="Q219" s="55">
        <v>742518</v>
      </c>
      <c r="R219" s="55">
        <v>0</v>
      </c>
      <c r="S219" s="90">
        <f t="shared" si="3"/>
        <v>0</v>
      </c>
      <c r="T219" s="89">
        <v>46204</v>
      </c>
      <c r="U219" s="14"/>
      <c r="V219" s="105" t="s">
        <v>2238</v>
      </c>
      <c r="W219" s="105" t="str">
        <f>VLOOKUP(C219,'Status oficina'!$A$2:$C$208,3,FALSE)</f>
        <v>Cierre definitivo</v>
      </c>
    </row>
    <row r="220" spans="1:23" ht="13.5" customHeight="1" x14ac:dyDescent="0.25">
      <c r="A220" s="14" t="s">
        <v>939</v>
      </c>
      <c r="B220" s="14" t="s">
        <v>954</v>
      </c>
      <c r="C220" s="19">
        <v>9678</v>
      </c>
      <c r="D220" s="14" t="s">
        <v>956</v>
      </c>
      <c r="E220" s="14" t="s">
        <v>417</v>
      </c>
      <c r="F220" s="14" t="s">
        <v>957</v>
      </c>
      <c r="G220" s="14" t="s">
        <v>233</v>
      </c>
      <c r="H220" s="55">
        <v>177849</v>
      </c>
      <c r="I220" s="55">
        <v>177849</v>
      </c>
      <c r="J220" s="55">
        <v>0</v>
      </c>
      <c r="K220" s="55">
        <v>177849</v>
      </c>
      <c r="L220" s="55">
        <v>0</v>
      </c>
      <c r="M220" s="55">
        <v>177849</v>
      </c>
      <c r="N220" s="55">
        <v>0</v>
      </c>
      <c r="O220" s="55">
        <v>177849</v>
      </c>
      <c r="P220" s="55">
        <v>0</v>
      </c>
      <c r="Q220" s="55">
        <v>177849</v>
      </c>
      <c r="R220" s="55">
        <v>0</v>
      </c>
      <c r="S220" s="90">
        <f t="shared" si="3"/>
        <v>0</v>
      </c>
      <c r="T220" s="89">
        <v>46204</v>
      </c>
      <c r="U220" s="14"/>
      <c r="V220" s="105" t="s">
        <v>2231</v>
      </c>
      <c r="W220" s="105" t="str">
        <f>VLOOKUP(C220,'Status oficina'!$A$2:$C$208,3,FALSE)</f>
        <v>Cierre temporal</v>
      </c>
    </row>
    <row r="221" spans="1:23" ht="13.5" customHeight="1" x14ac:dyDescent="0.25">
      <c r="A221" s="14" t="s">
        <v>939</v>
      </c>
      <c r="B221" s="14" t="s">
        <v>954</v>
      </c>
      <c r="C221" s="19">
        <v>9678</v>
      </c>
      <c r="D221" s="14" t="s">
        <v>955</v>
      </c>
      <c r="E221" s="14" t="s">
        <v>413</v>
      </c>
      <c r="F221" s="14" t="s">
        <v>1399</v>
      </c>
      <c r="G221" s="14" t="s">
        <v>229</v>
      </c>
      <c r="H221" s="55">
        <v>144319</v>
      </c>
      <c r="I221" s="55">
        <v>144319</v>
      </c>
      <c r="J221" s="55">
        <v>0</v>
      </c>
      <c r="K221" s="55">
        <v>144319</v>
      </c>
      <c r="L221" s="55">
        <v>0</v>
      </c>
      <c r="M221" s="55">
        <v>144319</v>
      </c>
      <c r="N221" s="55">
        <v>0</v>
      </c>
      <c r="O221" s="55">
        <v>144319</v>
      </c>
      <c r="P221" s="55">
        <v>0</v>
      </c>
      <c r="Q221" s="55">
        <v>144319</v>
      </c>
      <c r="R221" s="55">
        <v>0</v>
      </c>
      <c r="S221" s="90">
        <f t="shared" si="3"/>
        <v>0</v>
      </c>
      <c r="T221" s="89">
        <v>46204</v>
      </c>
      <c r="U221" s="14"/>
      <c r="V221" s="105" t="s">
        <v>2231</v>
      </c>
      <c r="W221" s="105" t="str">
        <f>VLOOKUP(C221,'Status oficina'!$A$2:$C$208,3,FALSE)</f>
        <v>Cierre temporal</v>
      </c>
    </row>
    <row r="222" spans="1:23" ht="13.5" customHeight="1" x14ac:dyDescent="0.25">
      <c r="A222" s="14" t="s">
        <v>868</v>
      </c>
      <c r="B222" s="14" t="s">
        <v>928</v>
      </c>
      <c r="C222" s="22">
        <v>9801</v>
      </c>
      <c r="D222" s="14" t="s">
        <v>930</v>
      </c>
      <c r="E222" s="14" t="s">
        <v>417</v>
      </c>
      <c r="F222" s="14" t="s">
        <v>1384</v>
      </c>
      <c r="G222" s="14" t="s">
        <v>257</v>
      </c>
      <c r="H222" s="55">
        <v>366883</v>
      </c>
      <c r="I222" s="55">
        <v>366883</v>
      </c>
      <c r="J222" s="55">
        <v>0</v>
      </c>
      <c r="K222" s="55">
        <v>366883</v>
      </c>
      <c r="L222" s="55">
        <v>0</v>
      </c>
      <c r="M222" s="55">
        <v>366883</v>
      </c>
      <c r="N222" s="55">
        <v>0</v>
      </c>
      <c r="O222" s="55">
        <v>366883</v>
      </c>
      <c r="P222" s="55">
        <v>0</v>
      </c>
      <c r="Q222" s="55">
        <v>366883</v>
      </c>
      <c r="R222" s="55">
        <v>0</v>
      </c>
      <c r="S222" s="90">
        <f t="shared" si="3"/>
        <v>0</v>
      </c>
      <c r="T222" s="89">
        <v>46204</v>
      </c>
      <c r="U222" s="14"/>
      <c r="V222" s="105" t="s">
        <v>2231</v>
      </c>
      <c r="W222" s="105" t="str">
        <f>VLOOKUP(C222,'Status oficina'!$A$2:$C$208,3,FALSE)</f>
        <v>Cierre temporal</v>
      </c>
    </row>
    <row r="223" spans="1:23" ht="13.5" customHeight="1" x14ac:dyDescent="0.25">
      <c r="A223" s="14" t="s">
        <v>868</v>
      </c>
      <c r="B223" s="14" t="s">
        <v>928</v>
      </c>
      <c r="C223" s="22">
        <v>9801</v>
      </c>
      <c r="D223" s="14" t="s">
        <v>929</v>
      </c>
      <c r="E223" s="14" t="s">
        <v>413</v>
      </c>
      <c r="F223" s="14" t="s">
        <v>1383</v>
      </c>
      <c r="G223" s="14" t="s">
        <v>101</v>
      </c>
      <c r="H223" s="55">
        <v>59666</v>
      </c>
      <c r="I223" s="55">
        <v>59666</v>
      </c>
      <c r="J223" s="55">
        <v>0</v>
      </c>
      <c r="K223" s="55">
        <v>59666</v>
      </c>
      <c r="L223" s="55">
        <v>0</v>
      </c>
      <c r="M223" s="55">
        <v>59666</v>
      </c>
      <c r="N223" s="55">
        <v>0</v>
      </c>
      <c r="O223" s="55">
        <v>59666</v>
      </c>
      <c r="P223" s="55">
        <v>0</v>
      </c>
      <c r="Q223" s="55">
        <v>59666</v>
      </c>
      <c r="R223" s="55">
        <v>0</v>
      </c>
      <c r="S223" s="90">
        <f t="shared" si="3"/>
        <v>0</v>
      </c>
      <c r="T223" s="89">
        <v>46204</v>
      </c>
      <c r="U223" s="14"/>
      <c r="V223" s="105" t="s">
        <v>2231</v>
      </c>
      <c r="W223" s="105" t="str">
        <f>VLOOKUP(C223,'Status oficina'!$A$2:$C$208,3,FALSE)</f>
        <v>Cierre temporal</v>
      </c>
    </row>
    <row r="224" spans="1:23" ht="13.5" customHeight="1" x14ac:dyDescent="0.25">
      <c r="A224" s="15" t="s">
        <v>868</v>
      </c>
      <c r="B224" s="15" t="s">
        <v>936</v>
      </c>
      <c r="C224" s="22">
        <v>9805</v>
      </c>
      <c r="D224" s="14" t="s">
        <v>938</v>
      </c>
      <c r="E224" s="15" t="s">
        <v>413</v>
      </c>
      <c r="F224" s="14" t="s">
        <v>1390</v>
      </c>
      <c r="G224" s="15" t="s">
        <v>367</v>
      </c>
      <c r="H224" s="55">
        <v>116281</v>
      </c>
      <c r="I224" s="55">
        <v>116281</v>
      </c>
      <c r="J224" s="55">
        <v>0</v>
      </c>
      <c r="K224" s="55">
        <v>116281</v>
      </c>
      <c r="L224" s="55">
        <v>0</v>
      </c>
      <c r="M224" s="55">
        <v>116281</v>
      </c>
      <c r="N224" s="55">
        <v>0</v>
      </c>
      <c r="O224" s="55">
        <v>116281</v>
      </c>
      <c r="P224" s="55">
        <v>0</v>
      </c>
      <c r="Q224" s="55">
        <v>116281</v>
      </c>
      <c r="R224" s="55">
        <v>0</v>
      </c>
      <c r="S224" s="90">
        <f t="shared" si="3"/>
        <v>0</v>
      </c>
      <c r="T224" s="89">
        <v>46204</v>
      </c>
      <c r="U224" s="14" t="s">
        <v>2390</v>
      </c>
      <c r="V224" s="105" t="s">
        <v>2374</v>
      </c>
      <c r="W224" s="105" t="str">
        <f>VLOOKUP(C224,'Status oficina'!$A$2:$C$208,3,FALSE)</f>
        <v>Activa</v>
      </c>
    </row>
    <row r="225" spans="1:23" ht="13.5" customHeight="1" x14ac:dyDescent="0.25">
      <c r="A225" s="14" t="s">
        <v>868</v>
      </c>
      <c r="B225" s="14" t="s">
        <v>911</v>
      </c>
      <c r="C225" s="120">
        <v>9813</v>
      </c>
      <c r="D225" s="14" t="s">
        <v>912</v>
      </c>
      <c r="E225" s="14" t="s">
        <v>417</v>
      </c>
      <c r="F225" s="14" t="s">
        <v>1368</v>
      </c>
      <c r="H225" s="55">
        <v>1110375</v>
      </c>
      <c r="I225" s="55">
        <v>1110375</v>
      </c>
      <c r="J225" s="55">
        <v>0</v>
      </c>
      <c r="K225" s="55">
        <v>1110375</v>
      </c>
      <c r="L225" s="55">
        <v>0</v>
      </c>
      <c r="M225" s="55">
        <v>1110375</v>
      </c>
      <c r="N225" s="55">
        <v>0</v>
      </c>
      <c r="O225" s="55">
        <v>1110375</v>
      </c>
      <c r="P225" s="55">
        <v>0</v>
      </c>
      <c r="Q225" s="55">
        <v>1110375</v>
      </c>
      <c r="R225" s="55">
        <v>0</v>
      </c>
      <c r="S225" s="90">
        <f t="shared" si="3"/>
        <v>0</v>
      </c>
      <c r="T225" s="89">
        <v>46204</v>
      </c>
      <c r="U225" s="14" t="s">
        <v>2499</v>
      </c>
      <c r="V225" s="105" t="s">
        <v>2374</v>
      </c>
      <c r="W225" s="105" t="str">
        <f>VLOOKUP(C225,'Status oficina'!$A$2:$C$208,3,FALSE)</f>
        <v>Activa</v>
      </c>
    </row>
    <row r="226" spans="1:23" ht="13.5" customHeight="1" x14ac:dyDescent="0.25">
      <c r="A226" s="14" t="s">
        <v>868</v>
      </c>
      <c r="B226" s="14" t="s">
        <v>869</v>
      </c>
      <c r="C226" s="19">
        <v>9811</v>
      </c>
      <c r="D226" s="14" t="s">
        <v>870</v>
      </c>
      <c r="E226" s="14" t="s">
        <v>417</v>
      </c>
      <c r="F226" s="14" t="s">
        <v>1337</v>
      </c>
      <c r="G226" s="14" t="s">
        <v>117</v>
      </c>
      <c r="H226" s="55">
        <v>267445</v>
      </c>
      <c r="I226" s="55">
        <v>267445</v>
      </c>
      <c r="J226" s="55">
        <v>0</v>
      </c>
      <c r="K226" s="55">
        <v>267445</v>
      </c>
      <c r="L226" s="55">
        <v>0</v>
      </c>
      <c r="M226" s="55">
        <v>267445</v>
      </c>
      <c r="N226" s="55">
        <v>0</v>
      </c>
      <c r="O226" s="55">
        <v>267445</v>
      </c>
      <c r="P226" s="55">
        <v>0</v>
      </c>
      <c r="Q226" s="55">
        <v>267445</v>
      </c>
      <c r="R226" s="55">
        <v>0</v>
      </c>
      <c r="S226" s="90">
        <f t="shared" si="3"/>
        <v>0</v>
      </c>
      <c r="T226" s="89">
        <v>46204</v>
      </c>
      <c r="U226" s="14" t="s">
        <v>2031</v>
      </c>
      <c r="V226" s="105" t="s">
        <v>2231</v>
      </c>
      <c r="W226" s="105" t="str">
        <f>VLOOKUP(C226,'Status oficina'!$A$2:$C$208,3,FALSE)</f>
        <v>Cierre temporal</v>
      </c>
    </row>
    <row r="227" spans="1:23" ht="13.5" customHeight="1" x14ac:dyDescent="0.25">
      <c r="A227" s="14" t="s">
        <v>868</v>
      </c>
      <c r="B227" s="14" t="s">
        <v>869</v>
      </c>
      <c r="C227" s="19">
        <v>9811</v>
      </c>
      <c r="D227" s="14" t="s">
        <v>871</v>
      </c>
      <c r="E227" s="14" t="s">
        <v>417</v>
      </c>
      <c r="F227" s="14" t="s">
        <v>1338</v>
      </c>
      <c r="G227" s="14" t="s">
        <v>205</v>
      </c>
      <c r="H227" s="55">
        <v>233499</v>
      </c>
      <c r="I227" s="55">
        <v>233499</v>
      </c>
      <c r="J227" s="55">
        <v>0</v>
      </c>
      <c r="K227" s="55">
        <v>233499</v>
      </c>
      <c r="L227" s="55">
        <v>0</v>
      </c>
      <c r="M227" s="55">
        <v>233499</v>
      </c>
      <c r="N227" s="55">
        <v>0</v>
      </c>
      <c r="O227" s="55">
        <v>233499</v>
      </c>
      <c r="P227" s="55">
        <v>0</v>
      </c>
      <c r="Q227" s="55">
        <v>233499</v>
      </c>
      <c r="R227" s="55">
        <v>0</v>
      </c>
      <c r="S227" s="90">
        <f t="shared" si="3"/>
        <v>0</v>
      </c>
      <c r="T227" s="89">
        <v>46204</v>
      </c>
      <c r="U227" s="14" t="s">
        <v>2031</v>
      </c>
      <c r="V227" s="105" t="s">
        <v>2231</v>
      </c>
      <c r="W227" s="105" t="str">
        <f>VLOOKUP(C227,'Status oficina'!$A$2:$C$208,3,FALSE)</f>
        <v>Cierre temporal</v>
      </c>
    </row>
    <row r="228" spans="1:23" ht="13.5" customHeight="1" x14ac:dyDescent="0.25">
      <c r="A228" s="14" t="s">
        <v>939</v>
      </c>
      <c r="B228" s="14" t="s">
        <v>1035</v>
      </c>
      <c r="C228" s="120">
        <v>9510</v>
      </c>
      <c r="D228" s="14" t="s">
        <v>1037</v>
      </c>
      <c r="E228" s="14" t="s">
        <v>417</v>
      </c>
      <c r="F228" s="14" t="s">
        <v>1450</v>
      </c>
      <c r="G228" s="14" t="s">
        <v>81</v>
      </c>
      <c r="H228" s="55">
        <v>784590</v>
      </c>
      <c r="I228" s="55">
        <v>785400</v>
      </c>
      <c r="J228" s="55">
        <v>810</v>
      </c>
      <c r="K228" s="55">
        <v>787540</v>
      </c>
      <c r="L228" s="55">
        <v>2140</v>
      </c>
      <c r="M228" s="55">
        <v>789301</v>
      </c>
      <c r="N228" s="55">
        <v>1761</v>
      </c>
      <c r="O228" s="55">
        <v>790656</v>
      </c>
      <c r="P228" s="55">
        <v>1355</v>
      </c>
      <c r="Q228" s="55">
        <v>791857</v>
      </c>
      <c r="R228" s="55">
        <v>1201</v>
      </c>
      <c r="S228" s="90">
        <f t="shared" si="3"/>
        <v>7267</v>
      </c>
      <c r="T228" s="89">
        <v>46204</v>
      </c>
      <c r="U228" s="14"/>
      <c r="V228" s="108" t="s">
        <v>2375</v>
      </c>
      <c r="W228" s="105" t="str">
        <f>VLOOKUP(C228,'Status oficina'!$A$2:$C$208,3,FALSE)</f>
        <v>Activa</v>
      </c>
    </row>
    <row r="229" spans="1:23" ht="13.5" customHeight="1" x14ac:dyDescent="0.25">
      <c r="A229" s="14" t="s">
        <v>868</v>
      </c>
      <c r="B229" s="14" t="s">
        <v>911</v>
      </c>
      <c r="C229" s="120">
        <v>9813</v>
      </c>
      <c r="D229" s="14" t="s">
        <v>2110</v>
      </c>
      <c r="E229" s="14" t="s">
        <v>413</v>
      </c>
      <c r="F229" s="14" t="s">
        <v>1371</v>
      </c>
      <c r="H229" s="55">
        <v>201118</v>
      </c>
      <c r="I229" s="55">
        <v>201118</v>
      </c>
      <c r="J229" s="55">
        <v>0</v>
      </c>
      <c r="K229" s="55">
        <v>201118</v>
      </c>
      <c r="L229" s="55">
        <v>0</v>
      </c>
      <c r="M229" s="55">
        <v>201118</v>
      </c>
      <c r="N229" s="55">
        <v>0</v>
      </c>
      <c r="O229" s="55">
        <v>201118</v>
      </c>
      <c r="P229" s="55">
        <v>0</v>
      </c>
      <c r="Q229" s="55">
        <v>201118</v>
      </c>
      <c r="R229" s="55">
        <v>0</v>
      </c>
      <c r="S229" s="90">
        <f t="shared" si="3"/>
        <v>0</v>
      </c>
      <c r="T229" s="89">
        <v>46204</v>
      </c>
      <c r="U229" s="14" t="s">
        <v>2503</v>
      </c>
      <c r="V229" s="105" t="s">
        <v>2374</v>
      </c>
      <c r="W229" s="105" t="str">
        <f>VLOOKUP(C229,'Status oficina'!$A$2:$C$208,3,FALSE)</f>
        <v>Activa</v>
      </c>
    </row>
    <row r="230" spans="1:23" ht="13.5" customHeight="1" x14ac:dyDescent="0.25">
      <c r="A230" s="14" t="s">
        <v>939</v>
      </c>
      <c r="B230" s="14" t="s">
        <v>1003</v>
      </c>
      <c r="C230" s="120">
        <v>9536</v>
      </c>
      <c r="D230" s="54" t="s">
        <v>1004</v>
      </c>
      <c r="E230" s="14" t="s">
        <v>417</v>
      </c>
      <c r="F230" s="54" t="s">
        <v>1005</v>
      </c>
      <c r="G230" s="54" t="s">
        <v>397</v>
      </c>
      <c r="H230" s="55">
        <v>631102</v>
      </c>
      <c r="I230" s="55">
        <v>632008</v>
      </c>
      <c r="J230" s="55">
        <v>906</v>
      </c>
      <c r="K230" s="55">
        <v>633187</v>
      </c>
      <c r="L230" s="55">
        <v>1179</v>
      </c>
      <c r="M230" s="55">
        <v>634287</v>
      </c>
      <c r="N230" s="55">
        <v>1100</v>
      </c>
      <c r="O230" s="55">
        <v>635219</v>
      </c>
      <c r="P230" s="55">
        <v>932</v>
      </c>
      <c r="Q230" s="55">
        <v>636192</v>
      </c>
      <c r="R230" s="55">
        <v>973</v>
      </c>
      <c r="S230" s="90">
        <f t="shared" si="3"/>
        <v>5090</v>
      </c>
      <c r="T230" s="89">
        <v>46204</v>
      </c>
      <c r="U230" s="14"/>
      <c r="V230" s="105" t="s">
        <v>2375</v>
      </c>
      <c r="W230" s="105" t="str">
        <f>VLOOKUP(C230,'Status oficina'!$A$2:$C$208,3,FALSE)</f>
        <v>Activa</v>
      </c>
    </row>
    <row r="231" spans="1:23" s="34" customFormat="1" ht="13.5" customHeight="1" x14ac:dyDescent="0.25">
      <c r="A231" s="14" t="s">
        <v>939</v>
      </c>
      <c r="B231" s="14" t="s">
        <v>943</v>
      </c>
      <c r="C231" s="19">
        <v>9580</v>
      </c>
      <c r="D231" s="14" t="s">
        <v>945</v>
      </c>
      <c r="E231" s="14" t="s">
        <v>417</v>
      </c>
      <c r="F231" s="14" t="s">
        <v>1394</v>
      </c>
      <c r="G231" s="14" t="s">
        <v>111</v>
      </c>
      <c r="H231" s="55">
        <v>952287</v>
      </c>
      <c r="I231" s="55">
        <v>952528</v>
      </c>
      <c r="J231" s="55">
        <v>241</v>
      </c>
      <c r="K231" s="55">
        <v>953173</v>
      </c>
      <c r="L231" s="55">
        <v>645</v>
      </c>
      <c r="M231" s="55">
        <v>953677</v>
      </c>
      <c r="N231" s="55">
        <v>504</v>
      </c>
      <c r="O231" s="55">
        <v>954227</v>
      </c>
      <c r="P231" s="55">
        <v>550</v>
      </c>
      <c r="Q231" s="55">
        <v>955220</v>
      </c>
      <c r="R231" s="55">
        <v>993</v>
      </c>
      <c r="S231" s="90">
        <f t="shared" si="3"/>
        <v>2933</v>
      </c>
      <c r="T231" s="89">
        <v>46204</v>
      </c>
      <c r="U231" s="13"/>
      <c r="V231" s="105" t="s">
        <v>2375</v>
      </c>
      <c r="W231" s="105" t="str">
        <f>VLOOKUP(C231,'Status oficina'!$A$2:$C$208,3,FALSE)</f>
        <v>Activa</v>
      </c>
    </row>
    <row r="232" spans="1:23" ht="13.5" customHeight="1" x14ac:dyDescent="0.25">
      <c r="A232" s="14" t="s">
        <v>868</v>
      </c>
      <c r="B232" s="14" t="s">
        <v>892</v>
      </c>
      <c r="C232" s="120">
        <v>9854</v>
      </c>
      <c r="D232" s="14" t="s">
        <v>893</v>
      </c>
      <c r="E232" s="14" t="s">
        <v>417</v>
      </c>
      <c r="F232" s="14" t="s">
        <v>1356</v>
      </c>
      <c r="G232" s="14" t="s">
        <v>175</v>
      </c>
      <c r="H232" s="55">
        <v>982389</v>
      </c>
      <c r="I232" s="55">
        <v>983784</v>
      </c>
      <c r="J232" s="55">
        <v>1395</v>
      </c>
      <c r="K232" s="55">
        <v>986292</v>
      </c>
      <c r="L232" s="55">
        <v>2508</v>
      </c>
      <c r="M232" s="55">
        <v>988076</v>
      </c>
      <c r="N232" s="55">
        <v>1784</v>
      </c>
      <c r="O232" s="55">
        <v>989648</v>
      </c>
      <c r="P232" s="55">
        <v>1572</v>
      </c>
      <c r="Q232" s="55">
        <v>991638</v>
      </c>
      <c r="R232" s="55">
        <v>1990</v>
      </c>
      <c r="S232" s="90">
        <f t="shared" si="3"/>
        <v>9249</v>
      </c>
      <c r="T232" s="89">
        <v>46204</v>
      </c>
      <c r="U232" s="14"/>
      <c r="V232" s="105" t="s">
        <v>2375</v>
      </c>
      <c r="W232" s="105" t="str">
        <f>VLOOKUP(C232,'Status oficina'!$A$2:$C$208,3,FALSE)</f>
        <v>Activa</v>
      </c>
    </row>
    <row r="233" spans="1:23" ht="13.5" customHeight="1" x14ac:dyDescent="0.25">
      <c r="A233" s="53" t="s">
        <v>2441</v>
      </c>
      <c r="B233" s="14" t="s">
        <v>714</v>
      </c>
      <c r="C233" s="19">
        <v>9226</v>
      </c>
      <c r="D233" s="14" t="s">
        <v>715</v>
      </c>
      <c r="E233" s="14" t="s">
        <v>417</v>
      </c>
      <c r="F233" s="14" t="s">
        <v>1241</v>
      </c>
      <c r="G233" s="14" t="s">
        <v>17</v>
      </c>
      <c r="H233" s="55">
        <v>691925</v>
      </c>
      <c r="I233" s="55">
        <v>691925</v>
      </c>
      <c r="J233" s="55">
        <v>0</v>
      </c>
      <c r="K233" s="55">
        <v>691925</v>
      </c>
      <c r="L233" s="55">
        <v>0</v>
      </c>
      <c r="M233" s="55">
        <v>691925</v>
      </c>
      <c r="N233" s="55">
        <v>0</v>
      </c>
      <c r="O233" s="55">
        <v>691925</v>
      </c>
      <c r="P233" s="55">
        <v>0</v>
      </c>
      <c r="Q233" s="55">
        <v>691925</v>
      </c>
      <c r="R233" s="55">
        <v>0</v>
      </c>
      <c r="S233" s="90">
        <f t="shared" si="3"/>
        <v>0</v>
      </c>
      <c r="T233" s="89">
        <v>46204</v>
      </c>
      <c r="U233" s="14"/>
      <c r="V233" s="105" t="s">
        <v>2375</v>
      </c>
      <c r="W233" s="105" t="str">
        <f>VLOOKUP(C233,'Status oficina'!$A$2:$C$208,3,FALSE)</f>
        <v>Activa</v>
      </c>
    </row>
    <row r="234" spans="1:23" ht="13.5" customHeight="1" x14ac:dyDescent="0.25">
      <c r="A234" s="14" t="s">
        <v>939</v>
      </c>
      <c r="B234" s="14" t="s">
        <v>1022</v>
      </c>
      <c r="C234" s="120">
        <v>9615</v>
      </c>
      <c r="D234" s="14" t="s">
        <v>1024</v>
      </c>
      <c r="E234" s="14" t="s">
        <v>417</v>
      </c>
      <c r="F234" s="14" t="s">
        <v>1441</v>
      </c>
      <c r="G234" s="14" t="s">
        <v>63</v>
      </c>
      <c r="H234" s="55">
        <v>591192</v>
      </c>
      <c r="I234" s="55">
        <v>591942</v>
      </c>
      <c r="J234" s="55">
        <v>750</v>
      </c>
      <c r="K234" s="55">
        <v>592247</v>
      </c>
      <c r="L234" s="55">
        <v>305</v>
      </c>
      <c r="M234" s="55">
        <v>592247</v>
      </c>
      <c r="N234" s="55">
        <v>0</v>
      </c>
      <c r="O234" s="55">
        <v>592247</v>
      </c>
      <c r="P234" s="55">
        <v>0</v>
      </c>
      <c r="Q234" s="55">
        <v>592247</v>
      </c>
      <c r="R234" s="55">
        <v>0</v>
      </c>
      <c r="S234" s="90">
        <f t="shared" si="3"/>
        <v>1055</v>
      </c>
      <c r="T234" s="89">
        <v>46204</v>
      </c>
      <c r="U234" s="14" t="s">
        <v>2505</v>
      </c>
      <c r="V234" s="105" t="s">
        <v>2506</v>
      </c>
      <c r="W234" s="105" t="str">
        <f>VLOOKUP(C234,'Status oficina'!$A$2:$C$208,3,FALSE)</f>
        <v>Activa</v>
      </c>
    </row>
    <row r="235" spans="1:23" ht="13.5" customHeight="1" x14ac:dyDescent="0.25">
      <c r="A235" s="53" t="s">
        <v>2441</v>
      </c>
      <c r="B235" s="14" t="s">
        <v>717</v>
      </c>
      <c r="C235" s="19">
        <v>9250</v>
      </c>
      <c r="D235" s="14" t="s">
        <v>718</v>
      </c>
      <c r="E235" s="14" t="s">
        <v>417</v>
      </c>
      <c r="F235" s="14" t="s">
        <v>1243</v>
      </c>
      <c r="G235" s="14" t="s">
        <v>1</v>
      </c>
      <c r="H235" s="55">
        <v>790067</v>
      </c>
      <c r="I235" s="55">
        <v>790797</v>
      </c>
      <c r="J235" s="55">
        <v>730</v>
      </c>
      <c r="K235" s="55">
        <v>792099</v>
      </c>
      <c r="L235" s="55">
        <v>1302</v>
      </c>
      <c r="M235" s="55">
        <v>793317</v>
      </c>
      <c r="N235" s="55">
        <v>1218</v>
      </c>
      <c r="O235" s="55">
        <v>794245</v>
      </c>
      <c r="P235" s="55">
        <v>928</v>
      </c>
      <c r="Q235" s="55">
        <v>795449</v>
      </c>
      <c r="R235" s="55">
        <v>1204</v>
      </c>
      <c r="S235" s="90">
        <f t="shared" si="3"/>
        <v>5382</v>
      </c>
      <c r="T235" s="89">
        <v>46204</v>
      </c>
      <c r="U235" s="14"/>
      <c r="V235" s="105" t="s">
        <v>2375</v>
      </c>
      <c r="W235" s="105" t="str">
        <f>VLOOKUP(C235,'Status oficina'!$A$2:$C$208,3,FALSE)</f>
        <v>Activa</v>
      </c>
    </row>
    <row r="236" spans="1:23" ht="13.5" customHeight="1" x14ac:dyDescent="0.25">
      <c r="A236" s="14" t="s">
        <v>868</v>
      </c>
      <c r="B236" s="14" t="s">
        <v>885</v>
      </c>
      <c r="C236" s="19">
        <v>9816</v>
      </c>
      <c r="D236" s="14" t="s">
        <v>886</v>
      </c>
      <c r="E236" s="14" t="s">
        <v>417</v>
      </c>
      <c r="F236" s="14" t="s">
        <v>1365</v>
      </c>
      <c r="G236" s="14" t="s">
        <v>2168</v>
      </c>
      <c r="H236" s="55">
        <v>671543</v>
      </c>
      <c r="I236" s="55">
        <v>672241</v>
      </c>
      <c r="J236" s="55">
        <v>698</v>
      </c>
      <c r="K236" s="55">
        <v>673193</v>
      </c>
      <c r="L236" s="55">
        <v>952</v>
      </c>
      <c r="M236" s="55">
        <v>674333</v>
      </c>
      <c r="N236" s="55">
        <v>1140</v>
      </c>
      <c r="O236" s="55">
        <v>675383</v>
      </c>
      <c r="P236" s="55">
        <v>1050</v>
      </c>
      <c r="Q236" s="55">
        <v>676448</v>
      </c>
      <c r="R236" s="55">
        <v>1065</v>
      </c>
      <c r="S236" s="90">
        <f t="shared" si="3"/>
        <v>4905</v>
      </c>
      <c r="T236" s="89">
        <v>46204</v>
      </c>
      <c r="U236" s="14" t="s">
        <v>2169</v>
      </c>
      <c r="V236" s="105" t="s">
        <v>2375</v>
      </c>
      <c r="W236" s="105" t="str">
        <f>VLOOKUP(C236,'Status oficina'!$A$2:$C$208,3,FALSE)</f>
        <v>Activa</v>
      </c>
    </row>
    <row r="237" spans="1:23" ht="13.5" customHeight="1" x14ac:dyDescent="0.25">
      <c r="A237" s="14" t="s">
        <v>2082</v>
      </c>
      <c r="B237" s="14" t="s">
        <v>526</v>
      </c>
      <c r="C237" s="19">
        <v>9392</v>
      </c>
      <c r="D237" s="54" t="s">
        <v>527</v>
      </c>
      <c r="E237" s="54" t="s">
        <v>417</v>
      </c>
      <c r="F237" s="54" t="s">
        <v>1140</v>
      </c>
      <c r="G237" s="54" t="s">
        <v>146</v>
      </c>
      <c r="H237" s="55">
        <v>687609</v>
      </c>
      <c r="I237" s="55">
        <v>688372</v>
      </c>
      <c r="J237" s="55">
        <v>763</v>
      </c>
      <c r="K237" s="55">
        <v>689447</v>
      </c>
      <c r="L237" s="55">
        <v>1075</v>
      </c>
      <c r="M237" s="55">
        <v>690555</v>
      </c>
      <c r="N237" s="55">
        <v>1108</v>
      </c>
      <c r="O237" s="55">
        <v>691549</v>
      </c>
      <c r="P237" s="55">
        <v>994</v>
      </c>
      <c r="Q237" s="55">
        <v>692784</v>
      </c>
      <c r="R237" s="55">
        <v>1235</v>
      </c>
      <c r="S237" s="90">
        <f t="shared" si="3"/>
        <v>5175</v>
      </c>
      <c r="T237" s="89">
        <v>46204</v>
      </c>
      <c r="U237" s="14"/>
      <c r="V237" s="105" t="s">
        <v>2375</v>
      </c>
      <c r="W237" s="105" t="str">
        <f>VLOOKUP(C237,'Status oficina'!$A$2:$C$208,3,FALSE)</f>
        <v>Activa</v>
      </c>
    </row>
    <row r="238" spans="1:23" ht="13.5" customHeight="1" x14ac:dyDescent="0.25">
      <c r="A238" s="14" t="s">
        <v>868</v>
      </c>
      <c r="B238" s="14" t="s">
        <v>885</v>
      </c>
      <c r="C238" s="19">
        <v>9816</v>
      </c>
      <c r="D238" s="14" t="s">
        <v>886</v>
      </c>
      <c r="E238" s="14" t="s">
        <v>417</v>
      </c>
      <c r="F238" s="14" t="s">
        <v>1349</v>
      </c>
      <c r="G238" s="14"/>
      <c r="H238" s="55">
        <v>483177</v>
      </c>
      <c r="I238" s="55">
        <v>483177</v>
      </c>
      <c r="J238" s="55">
        <v>0</v>
      </c>
      <c r="K238" s="55">
        <v>483177</v>
      </c>
      <c r="L238" s="55">
        <v>0</v>
      </c>
      <c r="M238" s="55">
        <v>483177</v>
      </c>
      <c r="N238" s="55">
        <v>0</v>
      </c>
      <c r="O238" s="55">
        <v>483177</v>
      </c>
      <c r="P238" s="55">
        <v>0</v>
      </c>
      <c r="Q238" s="55">
        <v>483177</v>
      </c>
      <c r="R238" s="55">
        <v>0</v>
      </c>
      <c r="S238" s="90">
        <f t="shared" si="3"/>
        <v>0</v>
      </c>
      <c r="T238" s="89">
        <v>46204</v>
      </c>
      <c r="U238" s="14" t="s">
        <v>2149</v>
      </c>
      <c r="V238" s="105" t="s">
        <v>2374</v>
      </c>
      <c r="W238" s="105" t="str">
        <f>VLOOKUP(C238,'Status oficina'!$A$2:$C$208,3,FALSE)</f>
        <v>Activa</v>
      </c>
    </row>
    <row r="239" spans="1:23" ht="13.5" customHeight="1" x14ac:dyDescent="0.25">
      <c r="A239" s="14" t="s">
        <v>2082</v>
      </c>
      <c r="B239" s="14" t="s">
        <v>570</v>
      </c>
      <c r="C239" s="120">
        <v>9391</v>
      </c>
      <c r="D239" s="54" t="s">
        <v>571</v>
      </c>
      <c r="E239" s="54" t="s">
        <v>417</v>
      </c>
      <c r="F239" s="54" t="s">
        <v>1167</v>
      </c>
      <c r="G239" s="54" t="s">
        <v>246</v>
      </c>
      <c r="H239" s="55">
        <v>489664</v>
      </c>
      <c r="I239" s="55">
        <v>490243</v>
      </c>
      <c r="J239" s="55">
        <v>579</v>
      </c>
      <c r="K239" s="55">
        <v>491170</v>
      </c>
      <c r="L239" s="55">
        <v>927</v>
      </c>
      <c r="M239" s="55">
        <v>492289</v>
      </c>
      <c r="N239" s="55">
        <v>1119</v>
      </c>
      <c r="O239" s="55">
        <v>493379</v>
      </c>
      <c r="P239" s="55">
        <v>1090</v>
      </c>
      <c r="Q239" s="55">
        <v>494368</v>
      </c>
      <c r="R239" s="55">
        <v>989</v>
      </c>
      <c r="S239" s="90">
        <f t="shared" si="3"/>
        <v>4704</v>
      </c>
      <c r="T239" s="89">
        <v>46204</v>
      </c>
      <c r="U239" s="14"/>
      <c r="V239" s="105" t="s">
        <v>2375</v>
      </c>
      <c r="W239" s="105" t="str">
        <f>VLOOKUP(C239,'Status oficina'!$A$2:$C$208,3,FALSE)</f>
        <v>Activa</v>
      </c>
    </row>
    <row r="240" spans="1:23" ht="13.5" customHeight="1" x14ac:dyDescent="0.25">
      <c r="A240" s="14" t="s">
        <v>2082</v>
      </c>
      <c r="B240" s="14" t="s">
        <v>543</v>
      </c>
      <c r="C240" s="120">
        <v>9312</v>
      </c>
      <c r="D240" s="54" t="s">
        <v>2091</v>
      </c>
      <c r="E240" s="54" t="s">
        <v>417</v>
      </c>
      <c r="F240" s="54" t="s">
        <v>1149</v>
      </c>
      <c r="G240" s="54" t="s">
        <v>83</v>
      </c>
      <c r="H240" s="55">
        <v>382581</v>
      </c>
      <c r="I240" s="55">
        <v>383374</v>
      </c>
      <c r="J240" s="55">
        <v>793</v>
      </c>
      <c r="K240" s="55">
        <v>384868</v>
      </c>
      <c r="L240" s="55">
        <v>1494</v>
      </c>
      <c r="M240" s="55">
        <v>386331</v>
      </c>
      <c r="N240" s="55">
        <v>1463</v>
      </c>
      <c r="O240" s="55">
        <v>386982</v>
      </c>
      <c r="P240" s="55">
        <v>651</v>
      </c>
      <c r="Q240" s="55">
        <v>387844</v>
      </c>
      <c r="R240" s="55">
        <v>862</v>
      </c>
      <c r="S240" s="90">
        <f t="shared" si="3"/>
        <v>5263</v>
      </c>
      <c r="T240" s="89">
        <v>46204</v>
      </c>
      <c r="U240" s="14"/>
      <c r="V240" s="105" t="s">
        <v>2375</v>
      </c>
      <c r="W240" s="105" t="str">
        <f>VLOOKUP(C240,'Status oficina'!$A$2:$C$208,3,FALSE)</f>
        <v>Activa</v>
      </c>
    </row>
    <row r="241" spans="1:23" ht="13.5" customHeight="1" x14ac:dyDescent="0.25">
      <c r="A241" s="14" t="s">
        <v>868</v>
      </c>
      <c r="B241" s="14" t="s">
        <v>876</v>
      </c>
      <c r="C241" s="19">
        <v>9818</v>
      </c>
      <c r="D241" s="14" t="s">
        <v>878</v>
      </c>
      <c r="E241" s="14" t="s">
        <v>417</v>
      </c>
      <c r="F241" s="14" t="s">
        <v>1343</v>
      </c>
      <c r="G241" s="14"/>
      <c r="H241" s="55">
        <v>359622</v>
      </c>
      <c r="I241" s="55">
        <v>359622</v>
      </c>
      <c r="J241" s="55">
        <v>0</v>
      </c>
      <c r="K241" s="55">
        <v>359622</v>
      </c>
      <c r="L241" s="55">
        <v>0</v>
      </c>
      <c r="M241" s="55">
        <v>359622</v>
      </c>
      <c r="N241" s="55">
        <v>0</v>
      </c>
      <c r="O241" s="55">
        <v>359622</v>
      </c>
      <c r="P241" s="55">
        <v>0</v>
      </c>
      <c r="Q241" s="55">
        <v>359622</v>
      </c>
      <c r="R241" s="55">
        <v>0</v>
      </c>
      <c r="S241" s="90">
        <f t="shared" si="3"/>
        <v>0</v>
      </c>
      <c r="T241" s="89">
        <v>46204</v>
      </c>
      <c r="U241" s="14" t="s">
        <v>2410</v>
      </c>
      <c r="V241" s="105" t="s">
        <v>2409</v>
      </c>
      <c r="W241" s="105" t="s">
        <v>2228</v>
      </c>
    </row>
    <row r="242" spans="1:23" ht="13.5" customHeight="1" x14ac:dyDescent="0.25">
      <c r="A242" s="14" t="s">
        <v>868</v>
      </c>
      <c r="B242" s="14" t="s">
        <v>876</v>
      </c>
      <c r="C242" s="19">
        <v>9818</v>
      </c>
      <c r="D242" s="14" t="s">
        <v>877</v>
      </c>
      <c r="E242" s="54" t="s">
        <v>417</v>
      </c>
      <c r="F242" s="53" t="s">
        <v>1336</v>
      </c>
      <c r="G242" s="14"/>
      <c r="H242" s="55">
        <v>194608</v>
      </c>
      <c r="I242" s="55">
        <v>194608</v>
      </c>
      <c r="J242" s="55">
        <v>0</v>
      </c>
      <c r="K242" s="55">
        <v>194608</v>
      </c>
      <c r="L242" s="55">
        <v>0</v>
      </c>
      <c r="M242" s="55">
        <v>194608</v>
      </c>
      <c r="N242" s="55">
        <v>0</v>
      </c>
      <c r="O242" s="55">
        <v>194608</v>
      </c>
      <c r="P242" s="55">
        <v>0</v>
      </c>
      <c r="Q242" s="55">
        <v>194608</v>
      </c>
      <c r="R242" s="55">
        <v>0</v>
      </c>
      <c r="S242" s="90">
        <f t="shared" si="3"/>
        <v>0</v>
      </c>
      <c r="T242" s="89">
        <v>46204</v>
      </c>
      <c r="U242" s="14" t="s">
        <v>2410</v>
      </c>
      <c r="V242" s="105" t="s">
        <v>2374</v>
      </c>
      <c r="W242" s="105" t="s">
        <v>2228</v>
      </c>
    </row>
    <row r="243" spans="1:23" ht="13.5" customHeight="1" x14ac:dyDescent="0.25">
      <c r="A243" s="14" t="s">
        <v>939</v>
      </c>
      <c r="B243" s="14" t="s">
        <v>1035</v>
      </c>
      <c r="C243" s="120">
        <v>9510</v>
      </c>
      <c r="D243" s="14" t="s">
        <v>2108</v>
      </c>
      <c r="E243" s="14" t="s">
        <v>417</v>
      </c>
      <c r="F243" s="14" t="s">
        <v>1454</v>
      </c>
      <c r="G243" s="14" t="s">
        <v>121</v>
      </c>
      <c r="H243" s="55">
        <v>385070</v>
      </c>
      <c r="I243" s="55">
        <v>385106</v>
      </c>
      <c r="J243" s="55">
        <v>36</v>
      </c>
      <c r="K243" s="55">
        <v>385125</v>
      </c>
      <c r="L243" s="55">
        <v>19</v>
      </c>
      <c r="M243" s="55">
        <v>385183</v>
      </c>
      <c r="N243" s="55">
        <v>58</v>
      </c>
      <c r="O243" s="55">
        <v>385184</v>
      </c>
      <c r="P243" s="55">
        <v>1</v>
      </c>
      <c r="Q243" s="55">
        <v>385184</v>
      </c>
      <c r="R243" s="55">
        <v>0</v>
      </c>
      <c r="S243" s="90">
        <f t="shared" si="3"/>
        <v>114</v>
      </c>
      <c r="T243" s="89">
        <v>46204</v>
      </c>
      <c r="U243" s="14"/>
      <c r="V243" s="108" t="s">
        <v>2375</v>
      </c>
      <c r="W243" s="105" t="str">
        <f>VLOOKUP(C243,'Status oficina'!$A$2:$C$208,3,FALSE)</f>
        <v>Activa</v>
      </c>
    </row>
    <row r="244" spans="1:23" ht="13.5" customHeight="1" x14ac:dyDescent="0.25">
      <c r="A244" s="14" t="s">
        <v>868</v>
      </c>
      <c r="B244" s="14" t="s">
        <v>896</v>
      </c>
      <c r="C244" s="120">
        <v>9884</v>
      </c>
      <c r="D244" s="14" t="s">
        <v>898</v>
      </c>
      <c r="E244" s="14" t="s">
        <v>417</v>
      </c>
      <c r="F244" s="14" t="s">
        <v>1358</v>
      </c>
      <c r="G244" s="14" t="s">
        <v>248</v>
      </c>
      <c r="H244" s="55">
        <v>550172</v>
      </c>
      <c r="I244" s="55">
        <v>550172</v>
      </c>
      <c r="J244" s="55">
        <v>0</v>
      </c>
      <c r="K244" s="55">
        <v>550689</v>
      </c>
      <c r="L244" s="55">
        <v>517</v>
      </c>
      <c r="M244" s="55">
        <v>551469</v>
      </c>
      <c r="N244" s="55">
        <v>780</v>
      </c>
      <c r="O244" s="55">
        <v>552627</v>
      </c>
      <c r="P244" s="55">
        <v>1158</v>
      </c>
      <c r="Q244" s="55">
        <v>554266</v>
      </c>
      <c r="R244" s="55">
        <v>1639</v>
      </c>
      <c r="S244" s="90">
        <f t="shared" si="3"/>
        <v>4094</v>
      </c>
      <c r="T244" s="89">
        <v>46204</v>
      </c>
      <c r="U244" s="14"/>
      <c r="V244" s="105" t="s">
        <v>2375</v>
      </c>
      <c r="W244" s="105" t="str">
        <f>VLOOKUP(C244,'Status oficina'!$A$2:$C$208,3,FALSE)</f>
        <v>Activa</v>
      </c>
    </row>
    <row r="245" spans="1:23" ht="13.5" customHeight="1" x14ac:dyDescent="0.25">
      <c r="A245" s="15" t="s">
        <v>868</v>
      </c>
      <c r="B245" s="15" t="s">
        <v>936</v>
      </c>
      <c r="C245" s="22">
        <v>9805</v>
      </c>
      <c r="D245" s="14" t="s">
        <v>937</v>
      </c>
      <c r="E245" s="15" t="s">
        <v>417</v>
      </c>
      <c r="F245" s="14" t="s">
        <v>1389</v>
      </c>
      <c r="G245" s="15" t="s">
        <v>366</v>
      </c>
      <c r="H245" s="55">
        <v>608750</v>
      </c>
      <c r="I245" s="55">
        <v>608755</v>
      </c>
      <c r="J245" s="55">
        <v>5</v>
      </c>
      <c r="K245" s="55">
        <v>608773</v>
      </c>
      <c r="L245" s="55">
        <v>18</v>
      </c>
      <c r="M245" s="55">
        <v>608786</v>
      </c>
      <c r="N245" s="55">
        <v>13</v>
      </c>
      <c r="O245" s="55">
        <v>608805</v>
      </c>
      <c r="P245" s="55">
        <v>19</v>
      </c>
      <c r="Q245" s="55">
        <v>608822</v>
      </c>
      <c r="R245" s="55">
        <v>17</v>
      </c>
      <c r="S245" s="90">
        <f t="shared" si="3"/>
        <v>72</v>
      </c>
      <c r="T245" s="89">
        <v>46204</v>
      </c>
      <c r="U245" s="14"/>
      <c r="V245" s="105" t="s">
        <v>2375</v>
      </c>
      <c r="W245" s="105" t="str">
        <f>VLOOKUP(C245,'Status oficina'!$A$2:$C$208,3,FALSE)</f>
        <v>Activa</v>
      </c>
    </row>
    <row r="246" spans="1:23" ht="13.5" customHeight="1" x14ac:dyDescent="0.25">
      <c r="A246" s="14" t="s">
        <v>939</v>
      </c>
      <c r="B246" s="14" t="s">
        <v>962</v>
      </c>
      <c r="C246" s="19">
        <v>9570</v>
      </c>
      <c r="D246" s="14" t="s">
        <v>963</v>
      </c>
      <c r="E246" s="14" t="s">
        <v>417</v>
      </c>
      <c r="F246" s="14" t="s">
        <v>1405</v>
      </c>
      <c r="G246" s="14" t="s">
        <v>277</v>
      </c>
      <c r="H246" s="55">
        <v>644779</v>
      </c>
      <c r="I246" s="55">
        <v>645394</v>
      </c>
      <c r="J246" s="55">
        <v>615</v>
      </c>
      <c r="K246" s="55">
        <v>646349</v>
      </c>
      <c r="L246" s="55">
        <v>955</v>
      </c>
      <c r="M246" s="55">
        <v>647569</v>
      </c>
      <c r="N246" s="55">
        <v>1220</v>
      </c>
      <c r="O246" s="55">
        <v>648612</v>
      </c>
      <c r="P246" s="55">
        <v>1043</v>
      </c>
      <c r="Q246" s="55">
        <v>649823</v>
      </c>
      <c r="R246" s="55">
        <v>1211</v>
      </c>
      <c r="S246" s="90">
        <f t="shared" si="3"/>
        <v>5044</v>
      </c>
      <c r="T246" s="89">
        <v>46204</v>
      </c>
      <c r="U246" s="14"/>
      <c r="V246" s="105" t="s">
        <v>2375</v>
      </c>
      <c r="W246" s="105" t="str">
        <f>VLOOKUP(C246,'Status oficina'!$A$2:$C$208,3,FALSE)</f>
        <v>Activa</v>
      </c>
    </row>
    <row r="247" spans="1:23" ht="13.5" customHeight="1" x14ac:dyDescent="0.25">
      <c r="A247" s="53" t="s">
        <v>2441</v>
      </c>
      <c r="B247" s="14" t="s">
        <v>707</v>
      </c>
      <c r="C247" s="19">
        <v>9907</v>
      </c>
      <c r="D247" s="14" t="s">
        <v>708</v>
      </c>
      <c r="E247" s="14" t="s">
        <v>417</v>
      </c>
      <c r="F247" s="14" t="s">
        <v>1238</v>
      </c>
      <c r="G247" s="14" t="s">
        <v>227</v>
      </c>
      <c r="H247" s="55">
        <v>695896</v>
      </c>
      <c r="I247" s="55">
        <v>696109</v>
      </c>
      <c r="J247" s="55">
        <v>213</v>
      </c>
      <c r="K247" s="55">
        <v>696850</v>
      </c>
      <c r="L247" s="55">
        <v>741</v>
      </c>
      <c r="M247" s="55">
        <v>697755</v>
      </c>
      <c r="N247" s="55">
        <v>905</v>
      </c>
      <c r="O247" s="55">
        <v>698495</v>
      </c>
      <c r="P247" s="55">
        <v>740</v>
      </c>
      <c r="Q247" s="55">
        <v>699277</v>
      </c>
      <c r="R247" s="55">
        <v>782</v>
      </c>
      <c r="S247" s="90">
        <f t="shared" si="3"/>
        <v>3381</v>
      </c>
      <c r="T247" s="89">
        <v>46204</v>
      </c>
      <c r="U247" s="14"/>
      <c r="V247" s="105" t="s">
        <v>2375</v>
      </c>
      <c r="W247" s="105" t="str">
        <f>VLOOKUP(C247,'Status oficina'!$A$2:$C$208,3,FALSE)</f>
        <v>Activa</v>
      </c>
    </row>
    <row r="248" spans="1:23" ht="13.5" customHeight="1" x14ac:dyDescent="0.25">
      <c r="A248" s="14" t="s">
        <v>2442</v>
      </c>
      <c r="B248" s="14" t="s">
        <v>850</v>
      </c>
      <c r="C248" s="120">
        <v>9394</v>
      </c>
      <c r="D248" s="14" t="s">
        <v>851</v>
      </c>
      <c r="E248" s="14" t="s">
        <v>417</v>
      </c>
      <c r="F248" s="14" t="s">
        <v>1327</v>
      </c>
      <c r="G248" s="14" t="s">
        <v>280</v>
      </c>
      <c r="H248" s="55">
        <v>287871</v>
      </c>
      <c r="I248" s="55">
        <v>288241</v>
      </c>
      <c r="J248" s="55">
        <v>370</v>
      </c>
      <c r="K248" s="55">
        <v>288263</v>
      </c>
      <c r="L248" s="55">
        <v>22</v>
      </c>
      <c r="M248" s="55">
        <v>288312</v>
      </c>
      <c r="N248" s="55">
        <v>49</v>
      </c>
      <c r="O248" s="55">
        <v>288885</v>
      </c>
      <c r="P248" s="55">
        <v>573</v>
      </c>
      <c r="Q248" s="55">
        <v>289705</v>
      </c>
      <c r="R248" s="55">
        <v>820</v>
      </c>
      <c r="S248" s="90">
        <f t="shared" si="3"/>
        <v>1834</v>
      </c>
      <c r="T248" s="89">
        <v>46204</v>
      </c>
      <c r="U248" s="14"/>
      <c r="V248" s="105" t="s">
        <v>2375</v>
      </c>
      <c r="W248" s="105" t="str">
        <f>VLOOKUP(C248,'Status oficina'!$A$2:$C$208,3,FALSE)</f>
        <v>Activa</v>
      </c>
    </row>
    <row r="249" spans="1:23" ht="13.5" customHeight="1" x14ac:dyDescent="0.25">
      <c r="A249" s="53" t="s">
        <v>2441</v>
      </c>
      <c r="B249" s="14" t="s">
        <v>725</v>
      </c>
      <c r="C249" s="120">
        <v>9276</v>
      </c>
      <c r="D249" s="14" t="s">
        <v>726</v>
      </c>
      <c r="E249" s="14" t="s">
        <v>417</v>
      </c>
      <c r="F249" s="14" t="s">
        <v>1249</v>
      </c>
      <c r="G249" s="14" t="s">
        <v>92</v>
      </c>
      <c r="H249" s="55">
        <v>511840</v>
      </c>
      <c r="I249" s="55">
        <v>511840</v>
      </c>
      <c r="J249" s="55">
        <v>0</v>
      </c>
      <c r="K249" s="55">
        <v>512710</v>
      </c>
      <c r="L249" s="55">
        <v>870</v>
      </c>
      <c r="M249" s="55">
        <v>513622</v>
      </c>
      <c r="N249" s="55">
        <v>912</v>
      </c>
      <c r="O249" s="55">
        <v>514437</v>
      </c>
      <c r="P249" s="55">
        <v>815</v>
      </c>
      <c r="Q249" s="55">
        <v>515497</v>
      </c>
      <c r="R249" s="55">
        <v>1060</v>
      </c>
      <c r="S249" s="90">
        <f t="shared" si="3"/>
        <v>3657</v>
      </c>
      <c r="T249" s="89">
        <v>46204</v>
      </c>
      <c r="U249" s="14"/>
      <c r="V249" s="105" t="s">
        <v>2375</v>
      </c>
      <c r="W249" s="105" t="str">
        <f>VLOOKUP(C249,'Status oficina'!$A$2:$C$208,3,FALSE)</f>
        <v>Activa</v>
      </c>
    </row>
    <row r="250" spans="1:23" ht="13.5" customHeight="1" x14ac:dyDescent="0.25">
      <c r="A250" s="14" t="s">
        <v>2082</v>
      </c>
      <c r="B250" s="14" t="s">
        <v>600</v>
      </c>
      <c r="C250" s="19">
        <v>9833</v>
      </c>
      <c r="D250" s="49" t="s">
        <v>603</v>
      </c>
      <c r="E250" s="49" t="s">
        <v>417</v>
      </c>
      <c r="F250" s="49" t="s">
        <v>2164</v>
      </c>
      <c r="G250" s="54" t="s">
        <v>32</v>
      </c>
      <c r="H250" s="55">
        <v>465199</v>
      </c>
      <c r="I250" s="55">
        <v>465763</v>
      </c>
      <c r="J250" s="55">
        <v>564</v>
      </c>
      <c r="K250" s="55">
        <v>466963</v>
      </c>
      <c r="L250" s="55">
        <v>1200</v>
      </c>
      <c r="M250" s="55">
        <v>467829</v>
      </c>
      <c r="N250" s="55">
        <v>866</v>
      </c>
      <c r="O250" s="55">
        <v>468717</v>
      </c>
      <c r="P250" s="55">
        <v>888</v>
      </c>
      <c r="Q250" s="55">
        <v>469488</v>
      </c>
      <c r="R250" s="55">
        <v>771</v>
      </c>
      <c r="S250" s="90">
        <f t="shared" si="3"/>
        <v>4289</v>
      </c>
      <c r="T250" s="89">
        <v>46204</v>
      </c>
      <c r="U250" s="77" t="s">
        <v>2497</v>
      </c>
      <c r="V250" s="105" t="s">
        <v>2496</v>
      </c>
      <c r="W250" s="105" t="str">
        <f>VLOOKUP(C250,'Status oficina'!$A$2:$C$208,3,FALSE)</f>
        <v>Activa</v>
      </c>
    </row>
    <row r="251" spans="1:23" ht="13.5" customHeight="1" x14ac:dyDescent="0.25">
      <c r="A251" s="14" t="s">
        <v>2082</v>
      </c>
      <c r="B251" s="14" t="s">
        <v>626</v>
      </c>
      <c r="C251" s="120">
        <v>9868</v>
      </c>
      <c r="D251" s="14" t="s">
        <v>627</v>
      </c>
      <c r="E251" s="14" t="s">
        <v>417</v>
      </c>
      <c r="F251" s="14" t="s">
        <v>1190</v>
      </c>
      <c r="G251" s="14" t="s">
        <v>89</v>
      </c>
      <c r="H251" s="55">
        <v>639643</v>
      </c>
      <c r="I251" s="55">
        <v>640330</v>
      </c>
      <c r="J251" s="55">
        <v>687</v>
      </c>
      <c r="K251" s="55">
        <v>641755</v>
      </c>
      <c r="L251" s="55">
        <v>1425</v>
      </c>
      <c r="M251" s="55">
        <v>643318</v>
      </c>
      <c r="N251" s="55">
        <v>1563</v>
      </c>
      <c r="O251" s="55">
        <v>644943</v>
      </c>
      <c r="P251" s="55">
        <v>1625</v>
      </c>
      <c r="Q251" s="55">
        <v>646767</v>
      </c>
      <c r="R251" s="55">
        <v>1824</v>
      </c>
      <c r="S251" s="90">
        <f t="shared" si="3"/>
        <v>7124</v>
      </c>
      <c r="T251" s="89">
        <v>46204</v>
      </c>
      <c r="U251" s="14"/>
      <c r="V251" s="105" t="s">
        <v>2375</v>
      </c>
      <c r="W251" s="105" t="str">
        <f>VLOOKUP(C251,'Status oficina'!$A$2:$C$208,3,FALSE)</f>
        <v>Activa</v>
      </c>
    </row>
    <row r="252" spans="1:23" ht="13.5" customHeight="1" x14ac:dyDescent="0.25">
      <c r="A252" s="14" t="s">
        <v>2442</v>
      </c>
      <c r="B252" s="14" t="s">
        <v>830</v>
      </c>
      <c r="C252" s="120">
        <v>9228</v>
      </c>
      <c r="D252" s="14" t="s">
        <v>831</v>
      </c>
      <c r="E252" s="14" t="s">
        <v>417</v>
      </c>
      <c r="F252" s="14" t="s">
        <v>1316</v>
      </c>
      <c r="G252" s="14"/>
      <c r="H252" s="55">
        <v>661519</v>
      </c>
      <c r="I252" s="55">
        <v>661519</v>
      </c>
      <c r="J252" s="55">
        <v>0</v>
      </c>
      <c r="K252" s="55">
        <v>661519</v>
      </c>
      <c r="L252" s="55">
        <v>0</v>
      </c>
      <c r="M252" s="55">
        <v>661519</v>
      </c>
      <c r="N252" s="55">
        <v>0</v>
      </c>
      <c r="O252" s="55">
        <v>661519</v>
      </c>
      <c r="P252" s="55">
        <v>0</v>
      </c>
      <c r="Q252" s="55">
        <v>661519</v>
      </c>
      <c r="R252" s="55">
        <v>0</v>
      </c>
      <c r="S252" s="90">
        <f t="shared" si="3"/>
        <v>0</v>
      </c>
      <c r="T252" s="89">
        <v>46204</v>
      </c>
      <c r="U252" s="14" t="s">
        <v>2414</v>
      </c>
      <c r="V252" s="105" t="s">
        <v>2374</v>
      </c>
      <c r="W252" s="105" t="str">
        <f>VLOOKUP(C252,'Status oficina'!$A$2:$C$208,3,FALSE)</f>
        <v>Activa</v>
      </c>
    </row>
    <row r="253" spans="1:23" ht="13.5" customHeight="1" x14ac:dyDescent="0.25">
      <c r="A253" s="14" t="s">
        <v>868</v>
      </c>
      <c r="B253" s="14" t="s">
        <v>911</v>
      </c>
      <c r="C253" s="120">
        <v>9813</v>
      </c>
      <c r="D253" s="14" t="s">
        <v>2111</v>
      </c>
      <c r="E253" s="14" t="s">
        <v>417</v>
      </c>
      <c r="F253" s="14" t="s">
        <v>1370</v>
      </c>
      <c r="G253" s="14" t="s">
        <v>39</v>
      </c>
      <c r="H253" s="55">
        <v>593617</v>
      </c>
      <c r="I253" s="55">
        <v>594183</v>
      </c>
      <c r="J253" s="55">
        <v>566</v>
      </c>
      <c r="K253" s="55">
        <v>595109</v>
      </c>
      <c r="L253" s="55">
        <v>926</v>
      </c>
      <c r="M253" s="55">
        <v>596148</v>
      </c>
      <c r="N253" s="55">
        <v>1039</v>
      </c>
      <c r="O253" s="55">
        <v>596781</v>
      </c>
      <c r="P253" s="55">
        <v>633</v>
      </c>
      <c r="Q253" s="55">
        <v>597542</v>
      </c>
      <c r="R253" s="55">
        <v>761</v>
      </c>
      <c r="S253" s="90">
        <f t="shared" si="3"/>
        <v>3925</v>
      </c>
      <c r="T253" s="89">
        <v>46204</v>
      </c>
      <c r="U253" s="14"/>
      <c r="V253" s="105" t="s">
        <v>2375</v>
      </c>
      <c r="W253" s="105" t="str">
        <f>VLOOKUP(C253,'Status oficina'!$A$2:$C$208,3,FALSE)</f>
        <v>Activa</v>
      </c>
    </row>
    <row r="254" spans="1:23" ht="13.5" customHeight="1" x14ac:dyDescent="0.25">
      <c r="A254" s="53" t="s">
        <v>2441</v>
      </c>
      <c r="B254" s="14" t="s">
        <v>742</v>
      </c>
      <c r="C254" s="120">
        <v>9264</v>
      </c>
      <c r="D254" s="14" t="s">
        <v>743</v>
      </c>
      <c r="E254" s="14" t="s">
        <v>417</v>
      </c>
      <c r="F254" s="14" t="s">
        <v>1261</v>
      </c>
      <c r="G254" s="14" t="s">
        <v>179</v>
      </c>
      <c r="H254" s="55">
        <v>455531</v>
      </c>
      <c r="I254" s="55">
        <v>455534</v>
      </c>
      <c r="J254" s="55">
        <v>3</v>
      </c>
      <c r="K254" s="55">
        <v>456216</v>
      </c>
      <c r="L254" s="55">
        <v>682</v>
      </c>
      <c r="M254" s="55">
        <v>456777</v>
      </c>
      <c r="N254" s="55">
        <v>561</v>
      </c>
      <c r="O254" s="55">
        <v>457326</v>
      </c>
      <c r="P254" s="55">
        <v>549</v>
      </c>
      <c r="Q254" s="55">
        <v>457873</v>
      </c>
      <c r="R254" s="55">
        <v>547</v>
      </c>
      <c r="S254" s="90">
        <f t="shared" si="3"/>
        <v>2342</v>
      </c>
      <c r="T254" s="89">
        <v>46204</v>
      </c>
      <c r="U254" s="14"/>
      <c r="V254" s="105" t="s">
        <v>2375</v>
      </c>
      <c r="W254" s="105" t="str">
        <f>VLOOKUP(C254,'Status oficina'!$A$2:$C$208,3,FALSE)</f>
        <v>Activa</v>
      </c>
    </row>
    <row r="255" spans="1:23" ht="13.5" customHeight="1" x14ac:dyDescent="0.25">
      <c r="A255" s="14" t="s">
        <v>2082</v>
      </c>
      <c r="B255" s="14" t="s">
        <v>572</v>
      </c>
      <c r="C255" s="120">
        <v>9398</v>
      </c>
      <c r="D255" s="14" t="s">
        <v>573</v>
      </c>
      <c r="E255" s="14" t="s">
        <v>417</v>
      </c>
      <c r="F255" s="14" t="s">
        <v>1168</v>
      </c>
      <c r="G255" s="54" t="s">
        <v>159</v>
      </c>
      <c r="H255" s="55">
        <v>773119</v>
      </c>
      <c r="I255" s="55">
        <v>773119</v>
      </c>
      <c r="J255" s="55">
        <v>0</v>
      </c>
      <c r="K255" s="55">
        <v>773119</v>
      </c>
      <c r="L255" s="55">
        <v>0</v>
      </c>
      <c r="M255" s="55">
        <v>773119</v>
      </c>
      <c r="N255" s="55">
        <v>0</v>
      </c>
      <c r="O255" s="55">
        <v>773119</v>
      </c>
      <c r="P255" s="55">
        <v>0</v>
      </c>
      <c r="Q255" s="55">
        <v>773119</v>
      </c>
      <c r="R255" s="55">
        <v>0</v>
      </c>
      <c r="S255" s="90">
        <f t="shared" si="3"/>
        <v>0</v>
      </c>
      <c r="T255" s="89">
        <v>46204</v>
      </c>
      <c r="U255" s="14"/>
      <c r="V255" s="105" t="s">
        <v>2375</v>
      </c>
      <c r="W255" s="105" t="str">
        <f>VLOOKUP(C255,'Status oficina'!$A$2:$C$208,3,FALSE)</f>
        <v>Activa</v>
      </c>
    </row>
    <row r="256" spans="1:23" ht="13.5" customHeight="1" x14ac:dyDescent="0.25">
      <c r="A256" s="14" t="s">
        <v>2082</v>
      </c>
      <c r="B256" s="14" t="s">
        <v>586</v>
      </c>
      <c r="C256" s="19">
        <v>9853</v>
      </c>
      <c r="D256" s="14" t="s">
        <v>587</v>
      </c>
      <c r="E256" s="14" t="s">
        <v>417</v>
      </c>
      <c r="F256" s="14" t="s">
        <v>588</v>
      </c>
      <c r="G256" s="14" t="s">
        <v>403</v>
      </c>
      <c r="H256" s="55">
        <v>862658</v>
      </c>
      <c r="I256" s="55">
        <v>864764</v>
      </c>
      <c r="J256" s="55">
        <v>2106</v>
      </c>
      <c r="K256" s="55">
        <v>868403</v>
      </c>
      <c r="L256" s="55">
        <v>3639</v>
      </c>
      <c r="M256" s="55">
        <v>871581</v>
      </c>
      <c r="N256" s="55">
        <v>3178</v>
      </c>
      <c r="O256" s="55">
        <v>874059</v>
      </c>
      <c r="P256" s="55">
        <v>2478</v>
      </c>
      <c r="Q256" s="55">
        <v>877615</v>
      </c>
      <c r="R256" s="55">
        <v>3556</v>
      </c>
      <c r="S256" s="90">
        <f t="shared" si="3"/>
        <v>14957</v>
      </c>
      <c r="T256" s="89">
        <v>46204</v>
      </c>
      <c r="U256" s="14"/>
      <c r="V256" s="105" t="s">
        <v>2375</v>
      </c>
      <c r="W256" s="105" t="str">
        <f>VLOOKUP(C256,'Status oficina'!$A$2:$C$208,3,FALSE)</f>
        <v>Activa</v>
      </c>
    </row>
    <row r="257" spans="1:23" ht="13.5" customHeight="1" x14ac:dyDescent="0.25">
      <c r="A257" s="14" t="s">
        <v>868</v>
      </c>
      <c r="B257" s="14" t="s">
        <v>931</v>
      </c>
      <c r="C257" s="120">
        <v>9827</v>
      </c>
      <c r="D257" s="14" t="s">
        <v>932</v>
      </c>
      <c r="E257" s="14" t="s">
        <v>417</v>
      </c>
      <c r="F257" s="14" t="s">
        <v>1386</v>
      </c>
      <c r="G257" s="14" t="s">
        <v>44</v>
      </c>
      <c r="H257" s="55">
        <v>272317</v>
      </c>
      <c r="I257" s="55">
        <v>272606</v>
      </c>
      <c r="J257" s="55">
        <v>289</v>
      </c>
      <c r="K257" s="55">
        <v>272921</v>
      </c>
      <c r="L257" s="55">
        <v>315</v>
      </c>
      <c r="M257" s="55">
        <v>273305</v>
      </c>
      <c r="N257" s="55">
        <v>384</v>
      </c>
      <c r="O257" s="55">
        <v>273518</v>
      </c>
      <c r="P257" s="55">
        <v>213</v>
      </c>
      <c r="Q257" s="55">
        <v>274584</v>
      </c>
      <c r="R257" s="55">
        <v>1066</v>
      </c>
      <c r="S257" s="90">
        <f t="shared" si="3"/>
        <v>2267</v>
      </c>
      <c r="T257" s="89">
        <v>46204</v>
      </c>
      <c r="U257" s="14"/>
      <c r="V257" s="105" t="s">
        <v>2375</v>
      </c>
      <c r="W257" s="105" t="str">
        <f>VLOOKUP(C257,'Status oficina'!$A$2:$C$208,3,FALSE)</f>
        <v>Activa</v>
      </c>
    </row>
    <row r="258" spans="1:23" ht="13.5" customHeight="1" x14ac:dyDescent="0.25">
      <c r="A258" s="14" t="s">
        <v>868</v>
      </c>
      <c r="B258" s="14" t="s">
        <v>888</v>
      </c>
      <c r="C258" s="19">
        <v>9826</v>
      </c>
      <c r="D258" s="14" t="s">
        <v>889</v>
      </c>
      <c r="E258" s="14" t="s">
        <v>417</v>
      </c>
      <c r="F258" s="14" t="s">
        <v>1351</v>
      </c>
      <c r="G258" s="14" t="s">
        <v>215</v>
      </c>
      <c r="H258" s="55">
        <v>590896</v>
      </c>
      <c r="I258" s="55">
        <v>591723</v>
      </c>
      <c r="J258" s="55">
        <v>827</v>
      </c>
      <c r="K258" s="55">
        <v>593364</v>
      </c>
      <c r="L258" s="55">
        <v>1641</v>
      </c>
      <c r="M258" s="55">
        <v>595103</v>
      </c>
      <c r="N258" s="55">
        <v>1739</v>
      </c>
      <c r="O258" s="55">
        <v>596323</v>
      </c>
      <c r="P258" s="55">
        <v>1220</v>
      </c>
      <c r="Q258" s="55">
        <v>597967</v>
      </c>
      <c r="R258" s="55">
        <v>1644</v>
      </c>
      <c r="S258" s="90">
        <f t="shared" si="3"/>
        <v>7071</v>
      </c>
      <c r="T258" s="89">
        <v>46204</v>
      </c>
      <c r="U258" s="14"/>
      <c r="V258" s="105" t="s">
        <v>2375</v>
      </c>
      <c r="W258" s="105" t="str">
        <f>VLOOKUP(C258,'Status oficina'!$A$2:$C$208,3,FALSE)</f>
        <v>Activa</v>
      </c>
    </row>
    <row r="259" spans="1:23" ht="13.5" customHeight="1" x14ac:dyDescent="0.25">
      <c r="A259" s="14" t="s">
        <v>2442</v>
      </c>
      <c r="B259" s="14" t="s">
        <v>817</v>
      </c>
      <c r="C259" s="120">
        <v>9291</v>
      </c>
      <c r="D259" s="54" t="s">
        <v>818</v>
      </c>
      <c r="E259" s="14" t="s">
        <v>417</v>
      </c>
      <c r="F259" s="14" t="s">
        <v>1308</v>
      </c>
      <c r="G259" s="14" t="s">
        <v>177</v>
      </c>
      <c r="H259" s="55">
        <v>768953</v>
      </c>
      <c r="I259" s="55">
        <v>769667</v>
      </c>
      <c r="J259" s="55">
        <v>714</v>
      </c>
      <c r="K259" s="55">
        <v>771117</v>
      </c>
      <c r="L259" s="55">
        <v>1450</v>
      </c>
      <c r="M259" s="55">
        <v>772796</v>
      </c>
      <c r="N259" s="55">
        <v>1679</v>
      </c>
      <c r="O259" s="55">
        <v>773832</v>
      </c>
      <c r="P259" s="55">
        <v>1036</v>
      </c>
      <c r="Q259" s="55">
        <v>775441</v>
      </c>
      <c r="R259" s="55">
        <v>1609</v>
      </c>
      <c r="S259" s="90">
        <f t="shared" ref="S259:S322" si="4">R259+P259+N259+L259+J259</f>
        <v>6488</v>
      </c>
      <c r="T259" s="89">
        <v>46204</v>
      </c>
      <c r="U259" s="14"/>
      <c r="V259" s="105" t="s">
        <v>2375</v>
      </c>
      <c r="W259" s="105" t="str">
        <f>VLOOKUP(C259,'Status oficina'!$A$2:$C$208,3,FALSE)</f>
        <v>Activa</v>
      </c>
    </row>
    <row r="260" spans="1:23" ht="13.5" customHeight="1" x14ac:dyDescent="0.25">
      <c r="A260" s="14" t="s">
        <v>868</v>
      </c>
      <c r="B260" s="14" t="s">
        <v>922</v>
      </c>
      <c r="C260" s="120">
        <v>9814</v>
      </c>
      <c r="D260" s="14" t="s">
        <v>924</v>
      </c>
      <c r="E260" s="14" t="s">
        <v>417</v>
      </c>
      <c r="F260" s="14" t="s">
        <v>1379</v>
      </c>
      <c r="G260" s="14" t="s">
        <v>48</v>
      </c>
      <c r="H260" s="55">
        <v>240176</v>
      </c>
      <c r="I260" s="55">
        <v>240213</v>
      </c>
      <c r="J260" s="55">
        <v>37</v>
      </c>
      <c r="K260" s="55">
        <v>240283</v>
      </c>
      <c r="L260" s="55">
        <v>70</v>
      </c>
      <c r="M260" s="55">
        <v>240418</v>
      </c>
      <c r="N260" s="55">
        <v>135</v>
      </c>
      <c r="O260" s="55">
        <v>240450</v>
      </c>
      <c r="P260" s="55">
        <v>32</v>
      </c>
      <c r="Q260" s="55">
        <v>240876</v>
      </c>
      <c r="R260" s="55">
        <v>426</v>
      </c>
      <c r="S260" s="90">
        <f t="shared" si="4"/>
        <v>700</v>
      </c>
      <c r="T260" s="89">
        <v>46204</v>
      </c>
      <c r="U260" s="14"/>
      <c r="V260" s="105" t="s">
        <v>2375</v>
      </c>
      <c r="W260" s="105" t="str">
        <f>VLOOKUP(C260,'Status oficina'!$A$2:$C$208,3,FALSE)</f>
        <v>Activa</v>
      </c>
    </row>
    <row r="261" spans="1:23" ht="13.5" customHeight="1" x14ac:dyDescent="0.25">
      <c r="A261" s="53" t="s">
        <v>2441</v>
      </c>
      <c r="B261" s="14" t="s">
        <v>727</v>
      </c>
      <c r="C261" s="120">
        <v>9246</v>
      </c>
      <c r="D261" s="14" t="s">
        <v>728</v>
      </c>
      <c r="E261" s="14" t="s">
        <v>417</v>
      </c>
      <c r="F261" s="14" t="s">
        <v>1250</v>
      </c>
      <c r="G261" s="14" t="s">
        <v>137</v>
      </c>
      <c r="H261" s="55">
        <v>322450</v>
      </c>
      <c r="I261" s="55">
        <v>322689</v>
      </c>
      <c r="J261" s="55">
        <v>239</v>
      </c>
      <c r="K261" s="55">
        <v>322915</v>
      </c>
      <c r="L261" s="55">
        <v>226</v>
      </c>
      <c r="M261" s="55">
        <v>322932</v>
      </c>
      <c r="N261" s="55">
        <v>17</v>
      </c>
      <c r="O261" s="55">
        <v>322932</v>
      </c>
      <c r="P261" s="55">
        <v>0</v>
      </c>
      <c r="Q261" s="55">
        <v>322935</v>
      </c>
      <c r="R261" s="55">
        <v>3</v>
      </c>
      <c r="S261" s="90">
        <f t="shared" si="4"/>
        <v>485</v>
      </c>
      <c r="T261" s="89">
        <v>46204</v>
      </c>
      <c r="U261" s="14"/>
      <c r="V261" s="105" t="s">
        <v>2375</v>
      </c>
      <c r="W261" s="105" t="str">
        <f>VLOOKUP(C261,'Status oficina'!$A$2:$C$208,3,FALSE)</f>
        <v>Activa</v>
      </c>
    </row>
    <row r="262" spans="1:23" ht="13.5" customHeight="1" x14ac:dyDescent="0.25">
      <c r="A262" s="14" t="s">
        <v>868</v>
      </c>
      <c r="B262" s="14" t="s">
        <v>913</v>
      </c>
      <c r="C262" s="120">
        <v>9817</v>
      </c>
      <c r="D262" s="14" t="s">
        <v>914</v>
      </c>
      <c r="E262" s="14" t="s">
        <v>417</v>
      </c>
      <c r="F262" s="14" t="s">
        <v>1372</v>
      </c>
      <c r="G262" s="14" t="s">
        <v>53</v>
      </c>
      <c r="H262" s="55">
        <v>263005</v>
      </c>
      <c r="I262" s="55">
        <v>263065</v>
      </c>
      <c r="J262" s="55">
        <v>60</v>
      </c>
      <c r="K262" s="55">
        <v>263336</v>
      </c>
      <c r="L262" s="55">
        <v>271</v>
      </c>
      <c r="M262" s="55">
        <v>263713</v>
      </c>
      <c r="N262" s="55">
        <v>377</v>
      </c>
      <c r="O262" s="55">
        <v>263821</v>
      </c>
      <c r="P262" s="55">
        <v>108</v>
      </c>
      <c r="Q262" s="55">
        <v>264154</v>
      </c>
      <c r="R262" s="55">
        <v>333</v>
      </c>
      <c r="S262" s="90">
        <f t="shared" si="4"/>
        <v>1149</v>
      </c>
      <c r="T262" s="89">
        <v>46204</v>
      </c>
      <c r="U262" s="14"/>
      <c r="V262" s="105" t="s">
        <v>2375</v>
      </c>
      <c r="W262" s="105" t="str">
        <f>VLOOKUP(C262,'Status oficina'!$A$2:$C$208,3,FALSE)</f>
        <v>Activa</v>
      </c>
    </row>
    <row r="263" spans="1:23" ht="13.5" customHeight="1" x14ac:dyDescent="0.25">
      <c r="A263" s="14" t="s">
        <v>2442</v>
      </c>
      <c r="B263" s="14" t="s">
        <v>832</v>
      </c>
      <c r="C263" s="120">
        <v>9284</v>
      </c>
      <c r="D263" s="14" t="s">
        <v>833</v>
      </c>
      <c r="E263" s="14" t="s">
        <v>417</v>
      </c>
      <c r="F263" s="14" t="s">
        <v>1388</v>
      </c>
      <c r="G263" s="14" t="s">
        <v>8</v>
      </c>
      <c r="H263" s="55">
        <v>368625</v>
      </c>
      <c r="I263" s="55">
        <v>368625</v>
      </c>
      <c r="J263" s="55">
        <v>0</v>
      </c>
      <c r="K263" s="55">
        <v>368625</v>
      </c>
      <c r="L263" s="55">
        <v>0</v>
      </c>
      <c r="M263" s="55">
        <v>368625</v>
      </c>
      <c r="N263" s="55">
        <v>0</v>
      </c>
      <c r="O263" s="55">
        <v>368625</v>
      </c>
      <c r="P263" s="55">
        <v>0</v>
      </c>
      <c r="Q263" s="55">
        <v>368625</v>
      </c>
      <c r="R263" s="55">
        <v>0</v>
      </c>
      <c r="S263" s="90">
        <f t="shared" si="4"/>
        <v>0</v>
      </c>
      <c r="T263" s="89">
        <v>46204</v>
      </c>
      <c r="U263" s="14"/>
      <c r="V263" s="105" t="s">
        <v>2231</v>
      </c>
      <c r="W263" s="105" t="s">
        <v>2231</v>
      </c>
    </row>
    <row r="264" spans="1:23" ht="13.5" customHeight="1" x14ac:dyDescent="0.25">
      <c r="A264" s="14" t="s">
        <v>2082</v>
      </c>
      <c r="B264" s="14" t="s">
        <v>633</v>
      </c>
      <c r="C264" s="120">
        <v>9444</v>
      </c>
      <c r="D264" s="14" t="s">
        <v>634</v>
      </c>
      <c r="E264" s="14" t="s">
        <v>417</v>
      </c>
      <c r="F264" s="14" t="s">
        <v>1195</v>
      </c>
      <c r="G264" s="14" t="s">
        <v>222</v>
      </c>
      <c r="H264" s="55">
        <v>449112</v>
      </c>
      <c r="I264" s="55">
        <v>450048</v>
      </c>
      <c r="J264" s="55">
        <v>936</v>
      </c>
      <c r="K264" s="55">
        <v>451304</v>
      </c>
      <c r="L264" s="55">
        <v>1256</v>
      </c>
      <c r="M264" s="55">
        <v>452463</v>
      </c>
      <c r="N264" s="55">
        <v>1159</v>
      </c>
      <c r="O264" s="55">
        <v>453182</v>
      </c>
      <c r="P264" s="55">
        <v>719</v>
      </c>
      <c r="Q264" s="55">
        <v>454166</v>
      </c>
      <c r="R264" s="55">
        <v>984</v>
      </c>
      <c r="S264" s="90">
        <f t="shared" si="4"/>
        <v>5054</v>
      </c>
      <c r="T264" s="89">
        <v>46204</v>
      </c>
      <c r="U264" s="14"/>
      <c r="V264" s="105" t="s">
        <v>2375</v>
      </c>
      <c r="W264" s="105" t="str">
        <f>VLOOKUP(C264,'Status oficina'!$A$2:$C$208,3,FALSE)</f>
        <v>Activa</v>
      </c>
    </row>
    <row r="265" spans="1:23" ht="13.5" customHeight="1" x14ac:dyDescent="0.25">
      <c r="A265" s="14" t="s">
        <v>939</v>
      </c>
      <c r="B265" s="14" t="s">
        <v>980</v>
      </c>
      <c r="C265" s="120">
        <v>9655</v>
      </c>
      <c r="D265" s="14" t="s">
        <v>2117</v>
      </c>
      <c r="E265" s="14" t="s">
        <v>417</v>
      </c>
      <c r="F265" s="14" t="s">
        <v>1417</v>
      </c>
      <c r="G265" s="14" t="s">
        <v>2037</v>
      </c>
      <c r="H265" s="55">
        <v>275889</v>
      </c>
      <c r="I265" s="55">
        <v>276388</v>
      </c>
      <c r="J265" s="55">
        <v>499</v>
      </c>
      <c r="K265" s="55">
        <v>277351</v>
      </c>
      <c r="L265" s="55">
        <v>963</v>
      </c>
      <c r="M265" s="55">
        <v>278104</v>
      </c>
      <c r="N265" s="55">
        <v>753</v>
      </c>
      <c r="O265" s="55">
        <v>278974</v>
      </c>
      <c r="P265" s="55">
        <v>870</v>
      </c>
      <c r="Q265" s="55">
        <v>280006</v>
      </c>
      <c r="R265" s="55">
        <v>1032</v>
      </c>
      <c r="S265" s="90">
        <f t="shared" si="4"/>
        <v>4117</v>
      </c>
      <c r="T265" s="89">
        <v>46204</v>
      </c>
      <c r="U265" s="14"/>
      <c r="V265" s="108" t="s">
        <v>2375</v>
      </c>
      <c r="W265" s="105" t="str">
        <f>VLOOKUP(C265,'Status oficina'!$A$2:$C$208,3,FALSE)</f>
        <v>Activa</v>
      </c>
    </row>
    <row r="266" spans="1:23" ht="13.5" customHeight="1" x14ac:dyDescent="0.25">
      <c r="A266" s="14" t="s">
        <v>2082</v>
      </c>
      <c r="B266" s="14" t="s">
        <v>597</v>
      </c>
      <c r="C266" s="19">
        <v>9841</v>
      </c>
      <c r="D266" s="14" t="s">
        <v>598</v>
      </c>
      <c r="E266" s="14" t="s">
        <v>417</v>
      </c>
      <c r="F266" s="14" t="s">
        <v>1178</v>
      </c>
      <c r="G266" s="14" t="s">
        <v>273</v>
      </c>
      <c r="H266" s="55">
        <v>369555</v>
      </c>
      <c r="I266" s="55">
        <v>369555</v>
      </c>
      <c r="J266" s="55">
        <v>0</v>
      </c>
      <c r="K266" s="55">
        <v>369555</v>
      </c>
      <c r="L266" s="55">
        <v>0</v>
      </c>
      <c r="M266" s="55">
        <v>369555</v>
      </c>
      <c r="N266" s="55">
        <v>0</v>
      </c>
      <c r="O266" s="55">
        <v>369555</v>
      </c>
      <c r="P266" s="55">
        <v>0</v>
      </c>
      <c r="Q266" s="55">
        <v>369555</v>
      </c>
      <c r="R266" s="55">
        <v>0</v>
      </c>
      <c r="S266" s="90">
        <f t="shared" si="4"/>
        <v>0</v>
      </c>
      <c r="T266" s="89">
        <v>46204</v>
      </c>
      <c r="U266" s="14"/>
      <c r="V266" s="105" t="s">
        <v>2231</v>
      </c>
      <c r="W266" s="105" t="str">
        <f>VLOOKUP(C266,'Status oficina'!$A$2:$C$208,3,FALSE)</f>
        <v>Cierre temporal</v>
      </c>
    </row>
    <row r="267" spans="1:23" ht="13.5" customHeight="1" x14ac:dyDescent="0.25">
      <c r="A267" s="14" t="s">
        <v>2082</v>
      </c>
      <c r="B267" s="14" t="s">
        <v>597</v>
      </c>
      <c r="C267" s="19">
        <v>9841</v>
      </c>
      <c r="D267" s="14" t="s">
        <v>599</v>
      </c>
      <c r="E267" s="15" t="s">
        <v>413</v>
      </c>
      <c r="F267" s="14" t="s">
        <v>1179</v>
      </c>
      <c r="G267" s="15" t="s">
        <v>368</v>
      </c>
      <c r="H267" s="55">
        <v>76108</v>
      </c>
      <c r="I267" s="55">
        <v>76108</v>
      </c>
      <c r="J267" s="55">
        <v>0</v>
      </c>
      <c r="K267" s="55">
        <v>76108</v>
      </c>
      <c r="L267" s="55">
        <v>0</v>
      </c>
      <c r="M267" s="55">
        <v>76108</v>
      </c>
      <c r="N267" s="55">
        <v>0</v>
      </c>
      <c r="O267" s="55">
        <v>76108</v>
      </c>
      <c r="P267" s="55">
        <v>0</v>
      </c>
      <c r="Q267" s="55">
        <v>76108</v>
      </c>
      <c r="R267" s="55">
        <v>0</v>
      </c>
      <c r="S267" s="90">
        <f t="shared" si="4"/>
        <v>0</v>
      </c>
      <c r="T267" s="89">
        <v>46204</v>
      </c>
      <c r="U267" s="14"/>
      <c r="V267" s="105" t="s">
        <v>2231</v>
      </c>
      <c r="W267" s="105" t="str">
        <f>VLOOKUP(C267,'Status oficina'!$A$2:$C$208,3,FALSE)</f>
        <v>Cierre temporal</v>
      </c>
    </row>
    <row r="268" spans="1:23" ht="13.5" customHeight="1" x14ac:dyDescent="0.25">
      <c r="A268" s="14" t="s">
        <v>2082</v>
      </c>
      <c r="B268" s="14" t="s">
        <v>615</v>
      </c>
      <c r="C268" s="19">
        <v>9842</v>
      </c>
      <c r="D268" s="14" t="s">
        <v>616</v>
      </c>
      <c r="E268" s="14" t="s">
        <v>417</v>
      </c>
      <c r="F268" s="14" t="s">
        <v>1186</v>
      </c>
      <c r="G268" s="14" t="s">
        <v>102</v>
      </c>
      <c r="H268" s="55">
        <v>555430</v>
      </c>
      <c r="I268" s="55">
        <v>555430</v>
      </c>
      <c r="J268" s="55">
        <v>0</v>
      </c>
      <c r="K268" s="55">
        <v>555430</v>
      </c>
      <c r="L268" s="55">
        <v>0</v>
      </c>
      <c r="M268" s="55">
        <v>555430</v>
      </c>
      <c r="N268" s="55">
        <v>0</v>
      </c>
      <c r="O268" s="55">
        <v>555430</v>
      </c>
      <c r="P268" s="55">
        <v>0</v>
      </c>
      <c r="Q268" s="55">
        <v>555430</v>
      </c>
      <c r="R268" s="55">
        <v>0</v>
      </c>
      <c r="S268" s="90">
        <f t="shared" si="4"/>
        <v>0</v>
      </c>
      <c r="T268" s="89">
        <v>46204</v>
      </c>
      <c r="U268" s="14"/>
      <c r="V268" s="105" t="s">
        <v>2231</v>
      </c>
      <c r="W268" s="105" t="str">
        <f>VLOOKUP(C268,'Status oficina'!$A$2:$C$208,3,FALSE)</f>
        <v>Cierre temporal</v>
      </c>
    </row>
    <row r="269" spans="1:23" ht="13.5" customHeight="1" x14ac:dyDescent="0.25">
      <c r="A269" s="14" t="s">
        <v>868</v>
      </c>
      <c r="B269" s="14" t="s">
        <v>874</v>
      </c>
      <c r="C269" s="19">
        <v>9843</v>
      </c>
      <c r="D269" s="14" t="s">
        <v>875</v>
      </c>
      <c r="E269" s="14" t="s">
        <v>417</v>
      </c>
      <c r="F269" s="14" t="s">
        <v>1342</v>
      </c>
      <c r="G269" s="14" t="s">
        <v>74</v>
      </c>
      <c r="H269" s="55">
        <v>249130</v>
      </c>
      <c r="I269" s="55">
        <v>249130</v>
      </c>
      <c r="J269" s="55">
        <v>0</v>
      </c>
      <c r="K269" s="55">
        <v>249130</v>
      </c>
      <c r="L269" s="55">
        <v>0</v>
      </c>
      <c r="M269" s="55">
        <v>249130</v>
      </c>
      <c r="N269" s="55">
        <v>0</v>
      </c>
      <c r="O269" s="55">
        <v>249130</v>
      </c>
      <c r="P269" s="55">
        <v>0</v>
      </c>
      <c r="Q269" s="55">
        <v>249130</v>
      </c>
      <c r="R269" s="55">
        <v>0</v>
      </c>
      <c r="S269" s="90">
        <f t="shared" si="4"/>
        <v>0</v>
      </c>
      <c r="T269" s="89">
        <v>46204</v>
      </c>
      <c r="U269" s="105" t="s">
        <v>2373</v>
      </c>
      <c r="V269" s="105" t="s">
        <v>2238</v>
      </c>
      <c r="W269" s="105" t="str">
        <f>VLOOKUP(C269,'Status oficina'!$A$2:$C$208,3,FALSE)</f>
        <v>Cierre definitivo</v>
      </c>
    </row>
    <row r="270" spans="1:23" ht="13.5" customHeight="1" x14ac:dyDescent="0.25">
      <c r="A270" s="15" t="s">
        <v>868</v>
      </c>
      <c r="B270" s="15" t="s">
        <v>907</v>
      </c>
      <c r="C270" s="22">
        <v>9844</v>
      </c>
      <c r="D270" s="14" t="s">
        <v>908</v>
      </c>
      <c r="E270" s="15" t="s">
        <v>417</v>
      </c>
      <c r="F270" s="12" t="s">
        <v>1364</v>
      </c>
      <c r="G270" s="1" t="s">
        <v>347</v>
      </c>
      <c r="H270" s="55">
        <v>237202</v>
      </c>
      <c r="I270" s="55">
        <v>237202</v>
      </c>
      <c r="J270" s="55">
        <v>0</v>
      </c>
      <c r="K270" s="55">
        <v>237202</v>
      </c>
      <c r="L270" s="55">
        <v>0</v>
      </c>
      <c r="M270" s="55">
        <v>237202</v>
      </c>
      <c r="N270" s="55">
        <v>0</v>
      </c>
      <c r="O270" s="55">
        <v>237202</v>
      </c>
      <c r="P270" s="55">
        <v>0</v>
      </c>
      <c r="Q270" s="55">
        <v>237202</v>
      </c>
      <c r="R270" s="55">
        <v>0</v>
      </c>
      <c r="S270" s="90">
        <f t="shared" si="4"/>
        <v>0</v>
      </c>
      <c r="T270" s="89">
        <v>46204</v>
      </c>
      <c r="U270" s="105" t="s">
        <v>2030</v>
      </c>
      <c r="V270" s="105" t="s">
        <v>2231</v>
      </c>
      <c r="W270" s="105" t="str">
        <f>VLOOKUP(C270,'Status oficina'!$A$2:$C$208,3,FALSE)</f>
        <v>Cierre temporal</v>
      </c>
    </row>
    <row r="271" spans="1:23" ht="13.5" customHeight="1" x14ac:dyDescent="0.25">
      <c r="A271" s="14" t="s">
        <v>2442</v>
      </c>
      <c r="B271" s="14" t="s">
        <v>775</v>
      </c>
      <c r="C271" s="19">
        <v>9908</v>
      </c>
      <c r="D271" s="14" t="s">
        <v>777</v>
      </c>
      <c r="E271" s="14" t="s">
        <v>417</v>
      </c>
      <c r="F271" s="14" t="s">
        <v>1279</v>
      </c>
      <c r="G271" s="14" t="s">
        <v>40</v>
      </c>
      <c r="H271" s="55">
        <v>74083</v>
      </c>
      <c r="I271" s="55">
        <v>74083</v>
      </c>
      <c r="J271" s="55">
        <v>0</v>
      </c>
      <c r="K271" s="55">
        <v>74083</v>
      </c>
      <c r="L271" s="55">
        <v>0</v>
      </c>
      <c r="M271" s="55">
        <v>74083</v>
      </c>
      <c r="N271" s="55">
        <v>0</v>
      </c>
      <c r="O271" s="55">
        <v>74083</v>
      </c>
      <c r="P271" s="55">
        <v>0</v>
      </c>
      <c r="Q271" s="55">
        <v>74083</v>
      </c>
      <c r="R271" s="55">
        <v>0</v>
      </c>
      <c r="S271" s="90">
        <f t="shared" si="4"/>
        <v>0</v>
      </c>
      <c r="T271" s="89">
        <v>46204</v>
      </c>
      <c r="U271" s="14"/>
      <c r="V271" s="105" t="s">
        <v>2231</v>
      </c>
      <c r="W271" s="105" t="s">
        <v>2231</v>
      </c>
    </row>
    <row r="272" spans="1:23" ht="13.5" customHeight="1" x14ac:dyDescent="0.25">
      <c r="A272" s="14" t="s">
        <v>868</v>
      </c>
      <c r="B272" s="14" t="s">
        <v>909</v>
      </c>
      <c r="C272" s="97">
        <v>9847</v>
      </c>
      <c r="D272" s="14" t="s">
        <v>910</v>
      </c>
      <c r="E272" s="14" t="s">
        <v>413</v>
      </c>
      <c r="F272" s="14" t="s">
        <v>1366</v>
      </c>
      <c r="G272" s="14" t="s">
        <v>268</v>
      </c>
      <c r="H272" s="55">
        <v>208518</v>
      </c>
      <c r="I272" s="55">
        <v>208518</v>
      </c>
      <c r="J272" s="55">
        <v>0</v>
      </c>
      <c r="K272" s="55">
        <v>208518</v>
      </c>
      <c r="L272" s="55">
        <v>0</v>
      </c>
      <c r="M272" s="55">
        <v>208518</v>
      </c>
      <c r="N272" s="55">
        <v>0</v>
      </c>
      <c r="O272" s="55">
        <v>208518</v>
      </c>
      <c r="P272" s="55">
        <v>0</v>
      </c>
      <c r="Q272" s="55">
        <v>208518</v>
      </c>
      <c r="R272" s="55">
        <v>0</v>
      </c>
      <c r="S272" s="90">
        <f t="shared" si="4"/>
        <v>0</v>
      </c>
      <c r="T272" s="89">
        <v>46204</v>
      </c>
      <c r="U272" s="14" t="s">
        <v>2213</v>
      </c>
      <c r="V272" s="105" t="s">
        <v>2238</v>
      </c>
      <c r="W272" s="105" t="str">
        <f>VLOOKUP(C272,'Status oficina'!$A$2:$C$208,3,FALSE)</f>
        <v>Cierre definitivo</v>
      </c>
    </row>
    <row r="273" spans="1:23" ht="13.5" customHeight="1" x14ac:dyDescent="0.25">
      <c r="A273" s="14" t="s">
        <v>868</v>
      </c>
      <c r="B273" s="14" t="s">
        <v>911</v>
      </c>
      <c r="C273" s="19">
        <v>9813</v>
      </c>
      <c r="D273" s="14" t="s">
        <v>912</v>
      </c>
      <c r="E273" s="14" t="s">
        <v>417</v>
      </c>
      <c r="F273" s="14" t="s">
        <v>1353</v>
      </c>
      <c r="G273" s="14" t="s">
        <v>95</v>
      </c>
      <c r="H273" s="55">
        <v>456904</v>
      </c>
      <c r="I273" s="55">
        <v>458349</v>
      </c>
      <c r="J273" s="55">
        <v>1445</v>
      </c>
      <c r="K273" s="55">
        <v>460840</v>
      </c>
      <c r="L273" s="55">
        <v>2491</v>
      </c>
      <c r="M273" s="55">
        <v>463308</v>
      </c>
      <c r="N273" s="55">
        <v>2468</v>
      </c>
      <c r="O273" s="55">
        <v>465153</v>
      </c>
      <c r="P273" s="55">
        <v>1845</v>
      </c>
      <c r="Q273" s="55">
        <v>467818</v>
      </c>
      <c r="R273" s="55">
        <v>2665</v>
      </c>
      <c r="S273" s="90">
        <f t="shared" si="4"/>
        <v>10914</v>
      </c>
      <c r="T273" s="89">
        <v>46204</v>
      </c>
      <c r="U273" s="14" t="s">
        <v>2500</v>
      </c>
      <c r="V273" s="105" t="s">
        <v>2375</v>
      </c>
      <c r="W273" s="105" t="str">
        <f>VLOOKUP(C273,'Status oficina'!$A$2:$C$208,3,FALSE)</f>
        <v>Activa</v>
      </c>
    </row>
    <row r="274" spans="1:23" ht="13.5" customHeight="1" x14ac:dyDescent="0.25">
      <c r="A274" s="14" t="s">
        <v>868</v>
      </c>
      <c r="B274" s="14" t="s">
        <v>911</v>
      </c>
      <c r="C274" s="19">
        <v>9813</v>
      </c>
      <c r="D274" s="14" t="s">
        <v>2110</v>
      </c>
      <c r="E274" s="14" t="s">
        <v>413</v>
      </c>
      <c r="F274" s="14" t="s">
        <v>1354</v>
      </c>
      <c r="G274" s="14" t="s">
        <v>174</v>
      </c>
      <c r="H274" s="55">
        <v>341123</v>
      </c>
      <c r="I274" s="55">
        <v>341211</v>
      </c>
      <c r="J274" s="55">
        <v>88</v>
      </c>
      <c r="K274" s="55">
        <v>341438</v>
      </c>
      <c r="L274" s="55">
        <v>227</v>
      </c>
      <c r="M274" s="55">
        <v>341623</v>
      </c>
      <c r="N274" s="55">
        <v>185</v>
      </c>
      <c r="O274" s="55">
        <v>342003</v>
      </c>
      <c r="P274" s="55">
        <v>380</v>
      </c>
      <c r="Q274" s="55">
        <v>342206</v>
      </c>
      <c r="R274" s="55">
        <v>203</v>
      </c>
      <c r="S274" s="90">
        <f t="shared" si="4"/>
        <v>1083</v>
      </c>
      <c r="T274" s="89">
        <v>46204</v>
      </c>
      <c r="U274" s="14" t="s">
        <v>2502</v>
      </c>
      <c r="V274" s="105" t="s">
        <v>2375</v>
      </c>
      <c r="W274" s="105" t="str">
        <f>VLOOKUP(C274,'Status oficina'!$A$2:$C$208,3,FALSE)</f>
        <v>Activa</v>
      </c>
    </row>
    <row r="275" spans="1:23" ht="13.5" customHeight="1" x14ac:dyDescent="0.25">
      <c r="A275" s="14" t="s">
        <v>868</v>
      </c>
      <c r="B275" s="14" t="s">
        <v>899</v>
      </c>
      <c r="C275" s="122">
        <v>9849</v>
      </c>
      <c r="D275" s="14" t="s">
        <v>900</v>
      </c>
      <c r="E275" s="14" t="s">
        <v>417</v>
      </c>
      <c r="F275" s="14" t="s">
        <v>1359</v>
      </c>
      <c r="G275" s="14" t="s">
        <v>12</v>
      </c>
      <c r="H275" s="55">
        <v>257710</v>
      </c>
      <c r="I275" s="55">
        <v>257710</v>
      </c>
      <c r="J275" s="55">
        <v>0</v>
      </c>
      <c r="K275" s="55">
        <v>257710</v>
      </c>
      <c r="L275" s="55">
        <v>0</v>
      </c>
      <c r="M275" s="55">
        <v>257710</v>
      </c>
      <c r="N275" s="55">
        <v>0</v>
      </c>
      <c r="O275" s="55">
        <v>257710</v>
      </c>
      <c r="P275" s="55">
        <v>0</v>
      </c>
      <c r="Q275" s="55">
        <v>257710</v>
      </c>
      <c r="R275" s="55">
        <v>0</v>
      </c>
      <c r="S275" s="90">
        <f t="shared" si="4"/>
        <v>0</v>
      </c>
      <c r="T275" s="89">
        <v>46204</v>
      </c>
      <c r="U275" s="14" t="s">
        <v>2089</v>
      </c>
      <c r="V275" s="105" t="s">
        <v>2238</v>
      </c>
      <c r="W275" s="105" t="str">
        <f>VLOOKUP(C275,'Status oficina'!$A$2:$C$208,3,FALSE)</f>
        <v>Cierre definitivo</v>
      </c>
    </row>
    <row r="276" spans="1:23" ht="13.5" customHeight="1" x14ac:dyDescent="0.25">
      <c r="A276" s="15" t="s">
        <v>868</v>
      </c>
      <c r="B276" s="15" t="s">
        <v>899</v>
      </c>
      <c r="C276" s="22">
        <v>9849</v>
      </c>
      <c r="D276" s="14" t="s">
        <v>901</v>
      </c>
      <c r="E276" s="15" t="s">
        <v>413</v>
      </c>
      <c r="F276" s="14" t="s">
        <v>1360</v>
      </c>
      <c r="G276" s="15" t="s">
        <v>356</v>
      </c>
      <c r="H276" s="55">
        <v>81426</v>
      </c>
      <c r="I276" s="55">
        <v>81426</v>
      </c>
      <c r="J276" s="55">
        <v>0</v>
      </c>
      <c r="K276" s="55">
        <v>81426</v>
      </c>
      <c r="L276" s="55">
        <v>0</v>
      </c>
      <c r="M276" s="55">
        <v>81426</v>
      </c>
      <c r="N276" s="55">
        <v>0</v>
      </c>
      <c r="O276" s="55">
        <v>81426</v>
      </c>
      <c r="P276" s="55">
        <v>0</v>
      </c>
      <c r="Q276" s="55">
        <v>81426</v>
      </c>
      <c r="R276" s="55">
        <v>0</v>
      </c>
      <c r="S276" s="90">
        <f t="shared" si="4"/>
        <v>0</v>
      </c>
      <c r="T276" s="89">
        <v>46204</v>
      </c>
      <c r="U276" s="14" t="s">
        <v>2088</v>
      </c>
      <c r="V276" s="105" t="s">
        <v>2238</v>
      </c>
      <c r="W276" s="105" t="str">
        <f>VLOOKUP(C276,'Status oficina'!$A$2:$C$208,3,FALSE)</f>
        <v>Cierre definitivo</v>
      </c>
    </row>
    <row r="277" spans="1:23" ht="13.5" customHeight="1" x14ac:dyDescent="0.25">
      <c r="A277" s="14" t="s">
        <v>868</v>
      </c>
      <c r="B277" s="14" t="s">
        <v>917</v>
      </c>
      <c r="C277" s="120">
        <v>9878</v>
      </c>
      <c r="D277" s="14" t="s">
        <v>918</v>
      </c>
      <c r="E277" s="14" t="s">
        <v>417</v>
      </c>
      <c r="F277" s="14" t="s">
        <v>1375</v>
      </c>
      <c r="G277" s="14" t="s">
        <v>59</v>
      </c>
      <c r="H277" s="55">
        <v>428441</v>
      </c>
      <c r="I277" s="55">
        <v>428987</v>
      </c>
      <c r="J277" s="55">
        <v>546</v>
      </c>
      <c r="K277" s="55">
        <v>429387</v>
      </c>
      <c r="L277" s="55">
        <v>400</v>
      </c>
      <c r="M277" s="55">
        <v>429670</v>
      </c>
      <c r="N277" s="55">
        <v>283</v>
      </c>
      <c r="O277" s="55">
        <v>430246</v>
      </c>
      <c r="P277" s="55">
        <v>576</v>
      </c>
      <c r="Q277" s="55">
        <v>430884</v>
      </c>
      <c r="R277" s="55">
        <v>638</v>
      </c>
      <c r="S277" s="90">
        <f t="shared" si="4"/>
        <v>2443</v>
      </c>
      <c r="T277" s="89">
        <v>46204</v>
      </c>
      <c r="U277" s="14"/>
      <c r="V277" s="105" t="s">
        <v>2375</v>
      </c>
      <c r="W277" s="105" t="str">
        <f>VLOOKUP(C277,'Status oficina'!$A$2:$C$208,3,FALSE)</f>
        <v>Activa</v>
      </c>
    </row>
    <row r="278" spans="1:23" ht="13.5" customHeight="1" x14ac:dyDescent="0.25">
      <c r="A278" s="14" t="s">
        <v>2082</v>
      </c>
      <c r="B278" s="14" t="s">
        <v>538</v>
      </c>
      <c r="C278" s="120">
        <v>9397</v>
      </c>
      <c r="D278" s="14" t="s">
        <v>539</v>
      </c>
      <c r="E278" s="14" t="s">
        <v>417</v>
      </c>
      <c r="F278" s="14" t="s">
        <v>1145</v>
      </c>
      <c r="G278" s="14" t="s">
        <v>140</v>
      </c>
      <c r="H278" s="55">
        <v>912268</v>
      </c>
      <c r="I278" s="55">
        <v>912847</v>
      </c>
      <c r="J278" s="55">
        <v>579</v>
      </c>
      <c r="K278" s="55">
        <v>913739</v>
      </c>
      <c r="L278" s="55">
        <v>892</v>
      </c>
      <c r="M278" s="55">
        <v>915332</v>
      </c>
      <c r="N278" s="55">
        <v>1593</v>
      </c>
      <c r="O278" s="55">
        <v>916677</v>
      </c>
      <c r="P278" s="55">
        <v>1345</v>
      </c>
      <c r="Q278" s="55">
        <v>917695</v>
      </c>
      <c r="R278" s="55">
        <v>1018</v>
      </c>
      <c r="S278" s="90">
        <f t="shared" si="4"/>
        <v>5427</v>
      </c>
      <c r="T278" s="89">
        <v>46204</v>
      </c>
      <c r="U278" s="14"/>
      <c r="V278" s="105" t="s">
        <v>2375</v>
      </c>
      <c r="W278" s="105" t="str">
        <f>VLOOKUP(C278,'Status oficina'!$A$2:$C$208,3,FALSE)</f>
        <v>Activa</v>
      </c>
    </row>
    <row r="279" spans="1:23" ht="13.5" customHeight="1" x14ac:dyDescent="0.25">
      <c r="A279" s="14" t="s">
        <v>868</v>
      </c>
      <c r="B279" s="14" t="s">
        <v>904</v>
      </c>
      <c r="C279" s="22">
        <v>9820</v>
      </c>
      <c r="D279" s="10" t="s">
        <v>905</v>
      </c>
      <c r="E279" s="14" t="s">
        <v>417</v>
      </c>
      <c r="F279" s="14" t="s">
        <v>1363</v>
      </c>
      <c r="G279" s="14" t="s">
        <v>88</v>
      </c>
      <c r="H279" s="55">
        <v>378744</v>
      </c>
      <c r="I279" s="55">
        <v>378744</v>
      </c>
      <c r="J279" s="55">
        <v>0</v>
      </c>
      <c r="K279" s="55">
        <v>378744</v>
      </c>
      <c r="L279" s="55">
        <v>0</v>
      </c>
      <c r="M279" s="55">
        <v>378744</v>
      </c>
      <c r="N279" s="55">
        <v>0</v>
      </c>
      <c r="O279" s="55">
        <v>378744</v>
      </c>
      <c r="P279" s="55">
        <v>0</v>
      </c>
      <c r="Q279" s="55">
        <v>378744</v>
      </c>
      <c r="R279" s="55">
        <v>0</v>
      </c>
      <c r="S279" s="90">
        <f t="shared" si="4"/>
        <v>0</v>
      </c>
      <c r="T279" s="89">
        <v>46204</v>
      </c>
      <c r="U279" s="14"/>
      <c r="V279" s="105" t="s">
        <v>2231</v>
      </c>
      <c r="W279" s="105" t="s">
        <v>2231</v>
      </c>
    </row>
    <row r="280" spans="1:23" ht="13.5" customHeight="1" x14ac:dyDescent="0.25">
      <c r="A280" s="14" t="s">
        <v>939</v>
      </c>
      <c r="B280" s="14" t="s">
        <v>1035</v>
      </c>
      <c r="C280" s="120">
        <v>9510</v>
      </c>
      <c r="D280" s="14" t="s">
        <v>2109</v>
      </c>
      <c r="E280" s="14" t="s">
        <v>417</v>
      </c>
      <c r="F280" s="14" t="s">
        <v>1453</v>
      </c>
      <c r="G280" s="14" t="s">
        <v>108</v>
      </c>
      <c r="H280" s="55">
        <v>382403</v>
      </c>
      <c r="I280" s="55">
        <v>382644</v>
      </c>
      <c r="J280" s="55">
        <v>241</v>
      </c>
      <c r="K280" s="55">
        <v>383049</v>
      </c>
      <c r="L280" s="55">
        <v>405</v>
      </c>
      <c r="M280" s="55">
        <v>384022</v>
      </c>
      <c r="N280" s="55">
        <v>973</v>
      </c>
      <c r="O280" s="55">
        <v>384579</v>
      </c>
      <c r="P280" s="55">
        <v>557</v>
      </c>
      <c r="Q280" s="55">
        <v>384890</v>
      </c>
      <c r="R280" s="55">
        <v>311</v>
      </c>
      <c r="S280" s="90">
        <f t="shared" si="4"/>
        <v>2487</v>
      </c>
      <c r="T280" s="89">
        <v>46204</v>
      </c>
      <c r="U280" s="14"/>
      <c r="V280" s="108" t="s">
        <v>2375</v>
      </c>
      <c r="W280" s="105" t="str">
        <f>VLOOKUP(C280,'Status oficina'!$A$2:$C$208,3,FALSE)</f>
        <v>Activa</v>
      </c>
    </row>
    <row r="281" spans="1:23" ht="13.5" customHeight="1" x14ac:dyDescent="0.25">
      <c r="A281" s="14" t="s">
        <v>2082</v>
      </c>
      <c r="B281" s="14" t="s">
        <v>460</v>
      </c>
      <c r="C281" s="19">
        <v>9485</v>
      </c>
      <c r="D281" s="14" t="s">
        <v>461</v>
      </c>
      <c r="E281" s="14" t="s">
        <v>417</v>
      </c>
      <c r="F281" s="14" t="s">
        <v>1090</v>
      </c>
      <c r="G281" s="14" t="s">
        <v>13</v>
      </c>
      <c r="H281" s="55">
        <v>820604</v>
      </c>
      <c r="I281" s="55">
        <v>821386</v>
      </c>
      <c r="J281" s="55">
        <v>782</v>
      </c>
      <c r="K281" s="55">
        <v>822685</v>
      </c>
      <c r="L281" s="55">
        <v>1299</v>
      </c>
      <c r="M281" s="55">
        <v>823423</v>
      </c>
      <c r="N281" s="55">
        <v>738</v>
      </c>
      <c r="O281" s="55">
        <v>824220</v>
      </c>
      <c r="P281" s="55">
        <v>797</v>
      </c>
      <c r="Q281" s="55">
        <v>825430</v>
      </c>
      <c r="R281" s="55">
        <v>1210</v>
      </c>
      <c r="S281" s="90">
        <f t="shared" si="4"/>
        <v>4826</v>
      </c>
      <c r="T281" s="89">
        <v>46204</v>
      </c>
      <c r="U281" s="14"/>
      <c r="V281" s="108" t="s">
        <v>2375</v>
      </c>
      <c r="W281" s="105" t="str">
        <f>VLOOKUP(C281,'Status oficina'!$A$2:$C$208,3,FALSE)</f>
        <v>Activa</v>
      </c>
    </row>
    <row r="282" spans="1:23" ht="13.5" customHeight="1" x14ac:dyDescent="0.25">
      <c r="A282" s="14" t="s">
        <v>2082</v>
      </c>
      <c r="B282" s="14" t="s">
        <v>579</v>
      </c>
      <c r="C282" s="19">
        <v>9845</v>
      </c>
      <c r="D282" s="14" t="s">
        <v>580</v>
      </c>
      <c r="E282" s="14" t="s">
        <v>417</v>
      </c>
      <c r="F282" s="14" t="s">
        <v>581</v>
      </c>
      <c r="G282" s="14" t="s">
        <v>239</v>
      </c>
      <c r="H282" s="55">
        <v>649672</v>
      </c>
      <c r="I282" s="55">
        <v>650779</v>
      </c>
      <c r="J282" s="55">
        <v>1107</v>
      </c>
      <c r="K282" s="55">
        <v>652288</v>
      </c>
      <c r="L282" s="55">
        <v>1509</v>
      </c>
      <c r="M282" s="55">
        <v>653732</v>
      </c>
      <c r="N282" s="55">
        <v>1444</v>
      </c>
      <c r="O282" s="55">
        <v>654571</v>
      </c>
      <c r="P282" s="55">
        <v>839</v>
      </c>
      <c r="Q282" s="55">
        <v>655925</v>
      </c>
      <c r="R282" s="55">
        <v>1354</v>
      </c>
      <c r="S282" s="90">
        <f t="shared" si="4"/>
        <v>6253</v>
      </c>
      <c r="T282" s="89">
        <v>46204</v>
      </c>
      <c r="U282" s="14"/>
      <c r="V282" s="105" t="s">
        <v>2375</v>
      </c>
      <c r="W282" s="105" t="str">
        <f>VLOOKUP(C282,'Status oficina'!$A$2:$C$208,3,FALSE)</f>
        <v>Activa</v>
      </c>
    </row>
    <row r="283" spans="1:23" ht="13.5" customHeight="1" x14ac:dyDescent="0.25">
      <c r="A283" s="14" t="s">
        <v>868</v>
      </c>
      <c r="B283" s="14" t="s">
        <v>920</v>
      </c>
      <c r="C283" s="120">
        <v>9499</v>
      </c>
      <c r="D283" s="14" t="s">
        <v>921</v>
      </c>
      <c r="E283" s="14" t="s">
        <v>417</v>
      </c>
      <c r="F283" s="14" t="s">
        <v>1377</v>
      </c>
      <c r="G283" s="14" t="s">
        <v>153</v>
      </c>
      <c r="H283" s="55">
        <v>403778</v>
      </c>
      <c r="I283" s="55">
        <v>404500</v>
      </c>
      <c r="J283" s="55">
        <v>722</v>
      </c>
      <c r="K283" s="55">
        <v>405484</v>
      </c>
      <c r="L283" s="55">
        <v>984</v>
      </c>
      <c r="M283" s="55">
        <v>406305</v>
      </c>
      <c r="N283" s="55">
        <v>821</v>
      </c>
      <c r="O283" s="55">
        <v>407060</v>
      </c>
      <c r="P283" s="55">
        <v>755</v>
      </c>
      <c r="Q283" s="55">
        <v>408062</v>
      </c>
      <c r="R283" s="55">
        <v>1002</v>
      </c>
      <c r="S283" s="90">
        <f t="shared" si="4"/>
        <v>4284</v>
      </c>
      <c r="T283" s="89">
        <v>46204</v>
      </c>
      <c r="U283" s="14"/>
      <c r="V283" s="108" t="s">
        <v>2375</v>
      </c>
      <c r="W283" s="105" t="str">
        <f>VLOOKUP(C283,'Status oficina'!$A$2:$C$208,3,FALSE)</f>
        <v>Activa</v>
      </c>
    </row>
    <row r="284" spans="1:23" ht="13.5" customHeight="1" x14ac:dyDescent="0.25">
      <c r="A284" s="53" t="s">
        <v>868</v>
      </c>
      <c r="B284" s="53" t="s">
        <v>420</v>
      </c>
      <c r="C284" s="105">
        <v>9864</v>
      </c>
      <c r="D284" s="14" t="s">
        <v>422</v>
      </c>
      <c r="E284" s="14" t="s">
        <v>417</v>
      </c>
      <c r="F284" s="14" t="s">
        <v>1068</v>
      </c>
      <c r="G284" s="14" t="s">
        <v>279</v>
      </c>
      <c r="H284" s="55">
        <v>326399</v>
      </c>
      <c r="I284" s="55">
        <v>326399</v>
      </c>
      <c r="J284" s="55">
        <v>0</v>
      </c>
      <c r="K284" s="55">
        <v>326399</v>
      </c>
      <c r="L284" s="55">
        <v>0</v>
      </c>
      <c r="M284" s="55">
        <v>326399</v>
      </c>
      <c r="N284" s="55">
        <v>0</v>
      </c>
      <c r="O284" s="55">
        <v>326399</v>
      </c>
      <c r="P284" s="55">
        <v>0</v>
      </c>
      <c r="Q284" s="55">
        <v>326399</v>
      </c>
      <c r="R284" s="55">
        <v>0</v>
      </c>
      <c r="S284" s="90">
        <f t="shared" si="4"/>
        <v>0</v>
      </c>
      <c r="T284" s="89">
        <v>46204</v>
      </c>
      <c r="U284" s="14"/>
      <c r="V284" s="105" t="s">
        <v>2238</v>
      </c>
      <c r="W284" s="105" t="s">
        <v>2238</v>
      </c>
    </row>
    <row r="285" spans="1:23" ht="13.5" customHeight="1" x14ac:dyDescent="0.25">
      <c r="A285" s="53" t="s">
        <v>868</v>
      </c>
      <c r="B285" s="53" t="s">
        <v>420</v>
      </c>
      <c r="C285" s="105">
        <v>9864</v>
      </c>
      <c r="D285" s="14" t="s">
        <v>421</v>
      </c>
      <c r="E285" s="14" t="s">
        <v>413</v>
      </c>
      <c r="F285" s="14" t="s">
        <v>1067</v>
      </c>
      <c r="G285" s="14" t="s">
        <v>115</v>
      </c>
      <c r="H285" s="55">
        <v>144092</v>
      </c>
      <c r="I285" s="55">
        <v>144092</v>
      </c>
      <c r="J285" s="55">
        <v>0</v>
      </c>
      <c r="K285" s="55">
        <v>144092</v>
      </c>
      <c r="L285" s="55">
        <v>0</v>
      </c>
      <c r="M285" s="55">
        <v>144092</v>
      </c>
      <c r="N285" s="55">
        <v>0</v>
      </c>
      <c r="O285" s="55">
        <v>144092</v>
      </c>
      <c r="P285" s="55">
        <v>0</v>
      </c>
      <c r="Q285" s="55">
        <v>144092</v>
      </c>
      <c r="R285" s="55">
        <v>0</v>
      </c>
      <c r="S285" s="90">
        <f t="shared" si="4"/>
        <v>0</v>
      </c>
      <c r="T285" s="89">
        <v>46204</v>
      </c>
      <c r="U285" s="14" t="s">
        <v>2451</v>
      </c>
      <c r="V285" s="105" t="s">
        <v>2238</v>
      </c>
      <c r="W285" s="105" t="s">
        <v>2238</v>
      </c>
    </row>
    <row r="286" spans="1:23" ht="13.5" customHeight="1" x14ac:dyDescent="0.25">
      <c r="A286" s="14" t="s">
        <v>2082</v>
      </c>
      <c r="B286" s="14" t="s">
        <v>559</v>
      </c>
      <c r="C286" s="120">
        <v>9370</v>
      </c>
      <c r="D286" s="54" t="s">
        <v>562</v>
      </c>
      <c r="E286" s="54" t="s">
        <v>417</v>
      </c>
      <c r="F286" s="54" t="s">
        <v>1162</v>
      </c>
      <c r="G286" s="54" t="s">
        <v>180</v>
      </c>
      <c r="H286" s="55">
        <v>623749</v>
      </c>
      <c r="I286" s="55">
        <v>624350</v>
      </c>
      <c r="J286" s="55">
        <v>601</v>
      </c>
      <c r="K286" s="55">
        <v>625609</v>
      </c>
      <c r="L286" s="55">
        <v>1259</v>
      </c>
      <c r="M286" s="55">
        <v>626848</v>
      </c>
      <c r="N286" s="55">
        <v>1239</v>
      </c>
      <c r="O286" s="55">
        <v>627881</v>
      </c>
      <c r="P286" s="55">
        <v>1033</v>
      </c>
      <c r="Q286" s="55">
        <v>629238</v>
      </c>
      <c r="R286" s="55">
        <v>1357</v>
      </c>
      <c r="S286" s="90">
        <f t="shared" si="4"/>
        <v>5489</v>
      </c>
      <c r="T286" s="89">
        <v>46204</v>
      </c>
      <c r="U286" s="14"/>
      <c r="V286" s="105" t="s">
        <v>2375</v>
      </c>
      <c r="W286" s="105" t="str">
        <f>VLOOKUP(C286,'Status oficina'!$A$2:$C$208,3,FALSE)</f>
        <v>Activa</v>
      </c>
    </row>
    <row r="287" spans="1:23" ht="13.5" customHeight="1" x14ac:dyDescent="0.25">
      <c r="A287" s="14" t="s">
        <v>2442</v>
      </c>
      <c r="B287" s="14" t="s">
        <v>852</v>
      </c>
      <c r="C287" s="120">
        <v>9289</v>
      </c>
      <c r="D287" s="14" t="s">
        <v>853</v>
      </c>
      <c r="E287" s="14" t="s">
        <v>417</v>
      </c>
      <c r="F287" s="14" t="s">
        <v>1328</v>
      </c>
      <c r="G287" s="14" t="s">
        <v>242</v>
      </c>
      <c r="H287" s="55">
        <v>380440</v>
      </c>
      <c r="I287" s="55">
        <v>380617</v>
      </c>
      <c r="J287" s="55">
        <v>177</v>
      </c>
      <c r="K287" s="55">
        <v>381012</v>
      </c>
      <c r="L287" s="55">
        <v>395</v>
      </c>
      <c r="M287" s="55">
        <v>381320</v>
      </c>
      <c r="N287" s="55">
        <v>308</v>
      </c>
      <c r="O287" s="55">
        <v>381490</v>
      </c>
      <c r="P287" s="55">
        <v>170</v>
      </c>
      <c r="Q287" s="55">
        <v>381748</v>
      </c>
      <c r="R287" s="55">
        <v>258</v>
      </c>
      <c r="S287" s="90">
        <f t="shared" si="4"/>
        <v>1308</v>
      </c>
      <c r="T287" s="89">
        <v>46204</v>
      </c>
      <c r="U287" s="14"/>
      <c r="V287" s="105" t="s">
        <v>2375</v>
      </c>
      <c r="W287" s="105" t="str">
        <f>VLOOKUP(C287,'Status oficina'!$A$2:$C$208,3,FALSE)</f>
        <v>Activa</v>
      </c>
    </row>
    <row r="288" spans="1:23" ht="13.5" customHeight="1" x14ac:dyDescent="0.25">
      <c r="A288" s="54" t="s">
        <v>2082</v>
      </c>
      <c r="B288" s="14" t="s">
        <v>547</v>
      </c>
      <c r="C288" s="120">
        <v>9311</v>
      </c>
      <c r="D288" s="54" t="s">
        <v>2203</v>
      </c>
      <c r="E288" s="54" t="s">
        <v>417</v>
      </c>
      <c r="F288" s="54" t="s">
        <v>1153</v>
      </c>
      <c r="G288" s="54" t="s">
        <v>281</v>
      </c>
      <c r="H288" s="55">
        <v>158524</v>
      </c>
      <c r="I288" s="55">
        <v>158567</v>
      </c>
      <c r="J288" s="55">
        <v>43</v>
      </c>
      <c r="K288" s="55">
        <v>158634</v>
      </c>
      <c r="L288" s="55">
        <v>67</v>
      </c>
      <c r="M288" s="55">
        <v>158634</v>
      </c>
      <c r="N288" s="55">
        <v>0</v>
      </c>
      <c r="O288" s="55">
        <v>158667</v>
      </c>
      <c r="P288" s="55">
        <v>33</v>
      </c>
      <c r="Q288" s="55">
        <v>159271</v>
      </c>
      <c r="R288" s="55">
        <v>604</v>
      </c>
      <c r="S288" s="90">
        <f t="shared" si="4"/>
        <v>747</v>
      </c>
      <c r="T288" s="89">
        <v>46204</v>
      </c>
      <c r="U288" s="14"/>
      <c r="V288" s="105" t="s">
        <v>2375</v>
      </c>
      <c r="W288" s="105" t="str">
        <f>VLOOKUP(C288,'Status oficina'!$A$2:$C$208,3,FALSE)</f>
        <v>Activa</v>
      </c>
    </row>
    <row r="289" spans="1:23" ht="13.5" customHeight="1" x14ac:dyDescent="0.25">
      <c r="A289" s="14" t="s">
        <v>2442</v>
      </c>
      <c r="B289" s="14" t="s">
        <v>780</v>
      </c>
      <c r="C289" s="19">
        <v>9282</v>
      </c>
      <c r="D289" s="14" t="s">
        <v>781</v>
      </c>
      <c r="E289" s="14" t="s">
        <v>417</v>
      </c>
      <c r="F289" s="14" t="s">
        <v>1282</v>
      </c>
      <c r="G289" s="14" t="s">
        <v>16</v>
      </c>
      <c r="H289" s="55">
        <v>133063</v>
      </c>
      <c r="I289" s="55">
        <v>133494</v>
      </c>
      <c r="J289" s="55">
        <v>431</v>
      </c>
      <c r="K289" s="55">
        <v>134351</v>
      </c>
      <c r="L289" s="55">
        <v>857</v>
      </c>
      <c r="M289" s="55">
        <v>134835</v>
      </c>
      <c r="N289" s="55">
        <v>484</v>
      </c>
      <c r="O289" s="55">
        <v>135126</v>
      </c>
      <c r="P289" s="55">
        <v>291</v>
      </c>
      <c r="Q289" s="55">
        <v>135431</v>
      </c>
      <c r="R289" s="55">
        <v>305</v>
      </c>
      <c r="S289" s="90">
        <f t="shared" si="4"/>
        <v>2368</v>
      </c>
      <c r="T289" s="89">
        <v>46204</v>
      </c>
      <c r="U289" s="14"/>
      <c r="V289" s="105" t="s">
        <v>2375</v>
      </c>
      <c r="W289" s="105" t="str">
        <f>VLOOKUP(C289,'Status oficina'!$A$2:$C$208,3,FALSE)</f>
        <v>Activa</v>
      </c>
    </row>
    <row r="290" spans="1:23" ht="13.5" customHeight="1" x14ac:dyDescent="0.25">
      <c r="A290" s="14" t="s">
        <v>868</v>
      </c>
      <c r="B290" s="14" t="s">
        <v>411</v>
      </c>
      <c r="C290" s="19">
        <v>9875</v>
      </c>
      <c r="D290" s="14" t="s">
        <v>412</v>
      </c>
      <c r="E290" s="14" t="s">
        <v>413</v>
      </c>
      <c r="F290" s="14" t="s">
        <v>1056</v>
      </c>
      <c r="G290" s="14" t="s">
        <v>30</v>
      </c>
      <c r="H290" s="55">
        <v>161448</v>
      </c>
      <c r="I290" s="55">
        <v>161448</v>
      </c>
      <c r="J290" s="55">
        <v>0</v>
      </c>
      <c r="K290" s="55">
        <v>161448</v>
      </c>
      <c r="L290" s="55">
        <v>0</v>
      </c>
      <c r="M290" s="55">
        <v>161448</v>
      </c>
      <c r="N290" s="55">
        <v>0</v>
      </c>
      <c r="O290" s="55">
        <v>161448</v>
      </c>
      <c r="P290" s="55">
        <v>0</v>
      </c>
      <c r="Q290" s="55">
        <v>161448</v>
      </c>
      <c r="R290" s="55">
        <v>0</v>
      </c>
      <c r="S290" s="90">
        <f t="shared" si="4"/>
        <v>0</v>
      </c>
      <c r="T290" s="89">
        <v>46204</v>
      </c>
      <c r="U290" s="51" t="s">
        <v>2206</v>
      </c>
      <c r="V290" s="105" t="s">
        <v>2231</v>
      </c>
      <c r="W290" s="105" t="str">
        <f>VLOOKUP(C290,'Status oficina'!$A$2:$C$208,3,FALSE)</f>
        <v>Cierre temporal</v>
      </c>
    </row>
    <row r="291" spans="1:23" ht="13.5" customHeight="1" x14ac:dyDescent="0.25">
      <c r="A291" s="53" t="s">
        <v>868</v>
      </c>
      <c r="B291" s="53" t="s">
        <v>452</v>
      </c>
      <c r="C291" s="97">
        <v>9876</v>
      </c>
      <c r="D291" s="14" t="s">
        <v>453</v>
      </c>
      <c r="E291" s="14" t="s">
        <v>417</v>
      </c>
      <c r="F291" s="14" t="s">
        <v>1087</v>
      </c>
      <c r="G291" s="14" t="s">
        <v>221</v>
      </c>
      <c r="H291" s="55">
        <v>405747</v>
      </c>
      <c r="I291" s="55">
        <v>405747</v>
      </c>
      <c r="J291" s="55">
        <v>0</v>
      </c>
      <c r="K291" s="55">
        <v>405747</v>
      </c>
      <c r="L291" s="55">
        <v>0</v>
      </c>
      <c r="M291" s="55">
        <v>405747</v>
      </c>
      <c r="N291" s="55">
        <v>0</v>
      </c>
      <c r="O291" s="55">
        <v>405747</v>
      </c>
      <c r="P291" s="55">
        <v>0</v>
      </c>
      <c r="Q291" s="55">
        <v>405747</v>
      </c>
      <c r="R291" s="55">
        <v>0</v>
      </c>
      <c r="S291" s="90">
        <f t="shared" si="4"/>
        <v>0</v>
      </c>
      <c r="T291" s="89">
        <v>46204</v>
      </c>
      <c r="U291" s="14" t="s">
        <v>2404</v>
      </c>
      <c r="V291" s="105" t="s">
        <v>2238</v>
      </c>
      <c r="W291" s="105" t="str">
        <f>VLOOKUP(C291,'Status oficina'!$A$2:$C$208,3,FALSE)</f>
        <v>Cierre definitivo</v>
      </c>
    </row>
    <row r="292" spans="1:23" ht="13.5" customHeight="1" x14ac:dyDescent="0.25">
      <c r="A292" s="53" t="s">
        <v>868</v>
      </c>
      <c r="B292" s="53" t="s">
        <v>435</v>
      </c>
      <c r="C292" s="97">
        <v>9877</v>
      </c>
      <c r="D292" s="14" t="s">
        <v>443</v>
      </c>
      <c r="E292" s="14" t="s">
        <v>417</v>
      </c>
      <c r="F292" s="14" t="s">
        <v>1082</v>
      </c>
      <c r="G292" s="14" t="s">
        <v>187</v>
      </c>
      <c r="H292" s="55">
        <v>415974</v>
      </c>
      <c r="I292" s="55">
        <v>415974</v>
      </c>
      <c r="J292" s="55">
        <v>0</v>
      </c>
      <c r="K292" s="55">
        <v>415974</v>
      </c>
      <c r="L292" s="55">
        <v>0</v>
      </c>
      <c r="M292" s="55">
        <v>415974</v>
      </c>
      <c r="N292" s="55">
        <v>0</v>
      </c>
      <c r="O292" s="55">
        <v>415974</v>
      </c>
      <c r="P292" s="55">
        <v>0</v>
      </c>
      <c r="Q292" s="55">
        <v>415974</v>
      </c>
      <c r="R292" s="55">
        <v>0</v>
      </c>
      <c r="S292" s="90">
        <f t="shared" si="4"/>
        <v>0</v>
      </c>
      <c r="T292" s="89">
        <v>46204</v>
      </c>
      <c r="U292" s="42" t="s">
        <v>2444</v>
      </c>
      <c r="V292" s="105" t="s">
        <v>2238</v>
      </c>
      <c r="W292" s="105" t="s">
        <v>2238</v>
      </c>
    </row>
    <row r="293" spans="1:23" ht="13.5" customHeight="1" x14ac:dyDescent="0.25">
      <c r="A293" s="53" t="s">
        <v>868</v>
      </c>
      <c r="B293" s="53" t="s">
        <v>435</v>
      </c>
      <c r="C293" s="97">
        <v>9877</v>
      </c>
      <c r="D293" s="14" t="s">
        <v>436</v>
      </c>
      <c r="E293" s="14" t="s">
        <v>413</v>
      </c>
      <c r="F293" s="14" t="s">
        <v>1077</v>
      </c>
      <c r="G293" s="14" t="s">
        <v>90</v>
      </c>
      <c r="H293" s="55">
        <v>38208</v>
      </c>
      <c r="I293" s="55">
        <v>38208</v>
      </c>
      <c r="J293" s="55">
        <v>0</v>
      </c>
      <c r="K293" s="55">
        <v>38208</v>
      </c>
      <c r="L293" s="55">
        <v>0</v>
      </c>
      <c r="M293" s="55">
        <v>38208</v>
      </c>
      <c r="N293" s="55">
        <v>0</v>
      </c>
      <c r="O293" s="55">
        <v>38208</v>
      </c>
      <c r="P293" s="55">
        <v>0</v>
      </c>
      <c r="Q293" s="55">
        <v>38208</v>
      </c>
      <c r="R293" s="55">
        <v>0</v>
      </c>
      <c r="S293" s="90">
        <f t="shared" si="4"/>
        <v>0</v>
      </c>
      <c r="T293" s="89">
        <v>46204</v>
      </c>
      <c r="U293" s="14" t="s">
        <v>2443</v>
      </c>
      <c r="V293" s="105" t="s">
        <v>2231</v>
      </c>
      <c r="W293" s="105" t="str">
        <f>VLOOKUP(C293,'Status oficina'!$A$2:$C$208,3,FALSE)</f>
        <v>Cierre definitivo</v>
      </c>
    </row>
    <row r="294" spans="1:23" ht="13.5" customHeight="1" x14ac:dyDescent="0.25">
      <c r="A294" s="14" t="s">
        <v>2442</v>
      </c>
      <c r="B294" s="14" t="s">
        <v>824</v>
      </c>
      <c r="C294" s="120">
        <v>9290</v>
      </c>
      <c r="D294" s="14" t="s">
        <v>825</v>
      </c>
      <c r="E294" s="14" t="s">
        <v>417</v>
      </c>
      <c r="F294" s="14" t="s">
        <v>1312</v>
      </c>
      <c r="G294" s="14" t="s">
        <v>250</v>
      </c>
      <c r="H294" s="55">
        <v>569422</v>
      </c>
      <c r="I294" s="55">
        <v>569422</v>
      </c>
      <c r="J294" s="55">
        <v>0</v>
      </c>
      <c r="K294" s="55">
        <v>570070</v>
      </c>
      <c r="L294" s="55">
        <v>648</v>
      </c>
      <c r="M294" s="55">
        <v>570575</v>
      </c>
      <c r="N294" s="55">
        <v>505</v>
      </c>
      <c r="O294" s="55">
        <v>571173</v>
      </c>
      <c r="P294" s="55">
        <v>598</v>
      </c>
      <c r="Q294" s="55">
        <v>571908</v>
      </c>
      <c r="R294" s="55">
        <v>735</v>
      </c>
      <c r="S294" s="90">
        <f t="shared" si="4"/>
        <v>2486</v>
      </c>
      <c r="T294" s="89">
        <v>46204</v>
      </c>
      <c r="U294" s="14"/>
      <c r="V294" s="105" t="s">
        <v>2375</v>
      </c>
      <c r="W294" s="105" t="str">
        <f>VLOOKUP(C294,'Status oficina'!$A$2:$C$208,3,FALSE)</f>
        <v>Activa</v>
      </c>
    </row>
    <row r="295" spans="1:23" ht="13.5" customHeight="1" x14ac:dyDescent="0.25">
      <c r="A295" s="14" t="s">
        <v>2442</v>
      </c>
      <c r="B295" s="14" t="s">
        <v>807</v>
      </c>
      <c r="C295" s="19">
        <v>9231</v>
      </c>
      <c r="D295" s="14" t="s">
        <v>808</v>
      </c>
      <c r="E295" s="14" t="s">
        <v>417</v>
      </c>
      <c r="F295" s="14" t="s">
        <v>1301</v>
      </c>
      <c r="G295" s="14" t="s">
        <v>203</v>
      </c>
      <c r="H295" s="55">
        <v>528823</v>
      </c>
      <c r="I295" s="55">
        <v>529146</v>
      </c>
      <c r="J295" s="55">
        <v>323</v>
      </c>
      <c r="K295" s="55">
        <v>529704</v>
      </c>
      <c r="L295" s="55">
        <v>558</v>
      </c>
      <c r="M295" s="55">
        <v>530263</v>
      </c>
      <c r="N295" s="55">
        <v>559</v>
      </c>
      <c r="O295" s="55">
        <v>530687</v>
      </c>
      <c r="P295" s="55">
        <v>424</v>
      </c>
      <c r="Q295" s="55">
        <v>531403</v>
      </c>
      <c r="R295" s="55">
        <v>716</v>
      </c>
      <c r="S295" s="90">
        <f t="shared" si="4"/>
        <v>2580</v>
      </c>
      <c r="T295" s="89">
        <v>46204</v>
      </c>
      <c r="U295" s="14"/>
      <c r="V295" s="105" t="s">
        <v>2375</v>
      </c>
      <c r="W295" s="105" t="str">
        <f>VLOOKUP(C295,'Status oficina'!$A$2:$C$208,3,FALSE)</f>
        <v>Activa</v>
      </c>
    </row>
    <row r="296" spans="1:23" ht="13.5" customHeight="1" x14ac:dyDescent="0.25">
      <c r="A296" s="53" t="s">
        <v>2441</v>
      </c>
      <c r="B296" s="14" t="s">
        <v>752</v>
      </c>
      <c r="C296" s="120">
        <v>9299</v>
      </c>
      <c r="D296" s="14" t="s">
        <v>753</v>
      </c>
      <c r="E296" s="14" t="s">
        <v>417</v>
      </c>
      <c r="F296" s="14" t="s">
        <v>1267</v>
      </c>
      <c r="G296" s="14" t="s">
        <v>51</v>
      </c>
      <c r="H296" s="55">
        <v>625041</v>
      </c>
      <c r="I296" s="55">
        <v>625426</v>
      </c>
      <c r="J296" s="55">
        <v>385</v>
      </c>
      <c r="K296" s="55">
        <v>625969</v>
      </c>
      <c r="L296" s="55">
        <v>543</v>
      </c>
      <c r="M296" s="55">
        <v>626689</v>
      </c>
      <c r="N296" s="55">
        <v>720</v>
      </c>
      <c r="O296" s="55">
        <v>627589</v>
      </c>
      <c r="P296" s="55">
        <v>900</v>
      </c>
      <c r="Q296" s="55">
        <v>628544</v>
      </c>
      <c r="R296" s="55">
        <v>955</v>
      </c>
      <c r="S296" s="90">
        <f t="shared" si="4"/>
        <v>3503</v>
      </c>
      <c r="T296" s="89">
        <v>46204</v>
      </c>
      <c r="U296" s="14"/>
      <c r="V296" s="105" t="s">
        <v>2375</v>
      </c>
      <c r="W296" s="105" t="str">
        <f>VLOOKUP(C296,'Status oficina'!$A$2:$C$208,3,FALSE)</f>
        <v>Activa</v>
      </c>
    </row>
    <row r="297" spans="1:23" ht="13.5" customHeight="1" x14ac:dyDescent="0.25">
      <c r="A297" s="53" t="s">
        <v>2441</v>
      </c>
      <c r="B297" s="14" t="s">
        <v>752</v>
      </c>
      <c r="C297" s="131">
        <v>9299</v>
      </c>
      <c r="D297" s="14" t="s">
        <v>2432</v>
      </c>
      <c r="E297" s="70" t="s">
        <v>413</v>
      </c>
      <c r="F297" s="14" t="s">
        <v>1135</v>
      </c>
      <c r="G297" s="14" t="s">
        <v>295</v>
      </c>
      <c r="H297" s="55">
        <v>131145</v>
      </c>
      <c r="I297" s="55">
        <v>131207</v>
      </c>
      <c r="J297" s="55">
        <v>62</v>
      </c>
      <c r="K297" s="55">
        <v>131267</v>
      </c>
      <c r="L297" s="55">
        <v>60</v>
      </c>
      <c r="M297" s="55">
        <v>131502</v>
      </c>
      <c r="N297" s="55">
        <v>235</v>
      </c>
      <c r="O297" s="55">
        <v>131595</v>
      </c>
      <c r="P297" s="55">
        <v>93</v>
      </c>
      <c r="Q297" s="55">
        <v>131971</v>
      </c>
      <c r="R297" s="55">
        <v>376</v>
      </c>
      <c r="S297" s="90">
        <f t="shared" si="4"/>
        <v>826</v>
      </c>
      <c r="T297" s="89">
        <v>46204</v>
      </c>
      <c r="U297" s="14" t="s">
        <v>2487</v>
      </c>
      <c r="V297" s="105" t="s">
        <v>2375</v>
      </c>
      <c r="W297" s="105" t="s">
        <v>2228</v>
      </c>
    </row>
    <row r="298" spans="1:23" ht="13.5" customHeight="1" x14ac:dyDescent="0.25">
      <c r="A298" s="14" t="s">
        <v>2442</v>
      </c>
      <c r="B298" s="14" t="s">
        <v>793</v>
      </c>
      <c r="C298" s="19">
        <v>9294</v>
      </c>
      <c r="D298" s="14" t="s">
        <v>794</v>
      </c>
      <c r="E298" s="14" t="s">
        <v>417</v>
      </c>
      <c r="F298" s="14" t="s">
        <v>1291</v>
      </c>
      <c r="G298" s="14" t="s">
        <v>271</v>
      </c>
      <c r="H298" s="55">
        <v>535563</v>
      </c>
      <c r="I298" s="55">
        <v>535801</v>
      </c>
      <c r="J298" s="55">
        <v>238</v>
      </c>
      <c r="K298" s="55">
        <v>536154</v>
      </c>
      <c r="L298" s="55">
        <v>353</v>
      </c>
      <c r="M298" s="55">
        <v>536733</v>
      </c>
      <c r="N298" s="55">
        <v>579</v>
      </c>
      <c r="O298" s="55">
        <v>537083</v>
      </c>
      <c r="P298" s="55">
        <v>350</v>
      </c>
      <c r="Q298" s="55">
        <v>537535</v>
      </c>
      <c r="R298" s="55">
        <v>452</v>
      </c>
      <c r="S298" s="90">
        <f t="shared" si="4"/>
        <v>1972</v>
      </c>
      <c r="T298" s="89">
        <v>46204</v>
      </c>
      <c r="U298" s="14"/>
      <c r="V298" s="105" t="s">
        <v>2375</v>
      </c>
      <c r="W298" s="105" t="str">
        <f>VLOOKUP(C298,'Status oficina'!$A$2:$C$208,3,FALSE)</f>
        <v>Activa</v>
      </c>
    </row>
    <row r="299" spans="1:23" ht="13.5" customHeight="1" x14ac:dyDescent="0.25">
      <c r="A299" s="14" t="s">
        <v>868</v>
      </c>
      <c r="B299" s="14" t="s">
        <v>879</v>
      </c>
      <c r="C299" s="19">
        <v>9830</v>
      </c>
      <c r="D299" s="14" t="s">
        <v>880</v>
      </c>
      <c r="E299" s="14" t="s">
        <v>417</v>
      </c>
      <c r="F299" s="14" t="s">
        <v>1344</v>
      </c>
      <c r="G299" s="14" t="s">
        <v>31</v>
      </c>
      <c r="H299" s="55">
        <v>210796</v>
      </c>
      <c r="I299" s="55">
        <v>210796</v>
      </c>
      <c r="J299" s="55">
        <v>0</v>
      </c>
      <c r="K299" s="55">
        <v>210796</v>
      </c>
      <c r="L299" s="55">
        <v>0</v>
      </c>
      <c r="M299" s="55">
        <v>210796</v>
      </c>
      <c r="N299" s="55">
        <v>0</v>
      </c>
      <c r="O299" s="55">
        <v>210796</v>
      </c>
      <c r="P299" s="55">
        <v>0</v>
      </c>
      <c r="Q299" s="55">
        <v>210796</v>
      </c>
      <c r="R299" s="55">
        <v>0</v>
      </c>
      <c r="S299" s="90">
        <f t="shared" si="4"/>
        <v>0</v>
      </c>
      <c r="T299" s="89">
        <v>46204</v>
      </c>
      <c r="U299" s="57"/>
      <c r="V299" s="105" t="s">
        <v>2375</v>
      </c>
      <c r="W299" s="105" t="str">
        <f>VLOOKUP(C299,'Status oficina'!$A$2:$C$208,3,FALSE)</f>
        <v>Cierre temporal</v>
      </c>
    </row>
    <row r="300" spans="1:23" ht="13.5" customHeight="1" x14ac:dyDescent="0.25">
      <c r="A300" s="14" t="s">
        <v>2442</v>
      </c>
      <c r="B300" s="15" t="s">
        <v>790</v>
      </c>
      <c r="C300" s="19">
        <v>9270</v>
      </c>
      <c r="D300" s="14" t="s">
        <v>791</v>
      </c>
      <c r="E300" s="15" t="s">
        <v>417</v>
      </c>
      <c r="F300" s="14" t="s">
        <v>1289</v>
      </c>
      <c r="G300" s="15" t="s">
        <v>342</v>
      </c>
      <c r="H300" s="55">
        <v>502138</v>
      </c>
      <c r="I300" s="55">
        <v>502138</v>
      </c>
      <c r="J300" s="55">
        <v>0</v>
      </c>
      <c r="K300" s="55">
        <v>502138</v>
      </c>
      <c r="L300" s="55">
        <v>0</v>
      </c>
      <c r="M300" s="55">
        <v>502138</v>
      </c>
      <c r="N300" s="55">
        <v>0</v>
      </c>
      <c r="O300" s="55">
        <v>502138</v>
      </c>
      <c r="P300" s="55">
        <v>0</v>
      </c>
      <c r="Q300" s="55">
        <v>502138</v>
      </c>
      <c r="R300" s="55">
        <v>0</v>
      </c>
      <c r="S300" s="90">
        <f t="shared" si="4"/>
        <v>0</v>
      </c>
      <c r="T300" s="89">
        <v>46204</v>
      </c>
      <c r="U300" s="14" t="s">
        <v>2428</v>
      </c>
      <c r="V300" s="105" t="s">
        <v>2374</v>
      </c>
      <c r="W300" s="105" t="str">
        <f>VLOOKUP(C300,'Status oficina'!$A$2:$C$208,3,FALSE)</f>
        <v>Activa</v>
      </c>
    </row>
    <row r="301" spans="1:23" ht="13.5" customHeight="1" x14ac:dyDescent="0.25">
      <c r="A301" s="14" t="s">
        <v>2082</v>
      </c>
      <c r="B301" s="14" t="s">
        <v>540</v>
      </c>
      <c r="C301" s="120">
        <v>9330</v>
      </c>
      <c r="D301" s="14" t="s">
        <v>541</v>
      </c>
      <c r="E301" s="14" t="s">
        <v>417</v>
      </c>
      <c r="F301" s="14" t="s">
        <v>1147</v>
      </c>
      <c r="G301" s="14" t="s">
        <v>254</v>
      </c>
      <c r="H301" s="55">
        <v>881470</v>
      </c>
      <c r="I301" s="55">
        <v>882218</v>
      </c>
      <c r="J301" s="55">
        <v>748</v>
      </c>
      <c r="K301" s="55">
        <v>884017</v>
      </c>
      <c r="L301" s="55">
        <v>1799</v>
      </c>
      <c r="M301" s="55">
        <v>885875</v>
      </c>
      <c r="N301" s="55">
        <v>1858</v>
      </c>
      <c r="O301" s="55">
        <v>887175</v>
      </c>
      <c r="P301" s="55">
        <v>1300</v>
      </c>
      <c r="Q301" s="55">
        <v>888278</v>
      </c>
      <c r="R301" s="55">
        <v>1103</v>
      </c>
      <c r="S301" s="90">
        <f t="shared" si="4"/>
        <v>6808</v>
      </c>
      <c r="T301" s="89">
        <v>46204</v>
      </c>
      <c r="U301" s="14"/>
      <c r="V301" s="105" t="s">
        <v>2375</v>
      </c>
      <c r="W301" s="105" t="str">
        <f>VLOOKUP(C301,'Status oficina'!$A$2:$C$208,3,FALSE)</f>
        <v>Activa</v>
      </c>
    </row>
    <row r="302" spans="1:23" ht="13.5" customHeight="1" x14ac:dyDescent="0.25">
      <c r="A302" s="53" t="s">
        <v>2441</v>
      </c>
      <c r="B302" s="14" t="s">
        <v>740</v>
      </c>
      <c r="C302" s="120">
        <v>9906</v>
      </c>
      <c r="D302" s="14" t="s">
        <v>741</v>
      </c>
      <c r="E302" s="14" t="s">
        <v>417</v>
      </c>
      <c r="F302" s="14" t="s">
        <v>1259</v>
      </c>
      <c r="G302" s="14" t="s">
        <v>265</v>
      </c>
      <c r="H302" s="55">
        <v>500161</v>
      </c>
      <c r="I302" s="55">
        <v>500161</v>
      </c>
      <c r="J302" s="55">
        <v>0</v>
      </c>
      <c r="K302" s="55">
        <v>500161</v>
      </c>
      <c r="L302" s="55">
        <v>0</v>
      </c>
      <c r="M302" s="55">
        <v>500161</v>
      </c>
      <c r="N302" s="55">
        <v>0</v>
      </c>
      <c r="O302" s="55">
        <v>500161</v>
      </c>
      <c r="P302" s="55">
        <v>0</v>
      </c>
      <c r="Q302" s="55">
        <v>500183</v>
      </c>
      <c r="R302" s="55">
        <v>22</v>
      </c>
      <c r="S302" s="90">
        <f t="shared" si="4"/>
        <v>22</v>
      </c>
      <c r="T302" s="89">
        <v>46204</v>
      </c>
      <c r="U302" s="14"/>
      <c r="V302" s="105" t="s">
        <v>2375</v>
      </c>
      <c r="W302" s="105" t="str">
        <f>VLOOKUP(C302,'Status oficina'!$A$2:$C$208,3,FALSE)</f>
        <v>Activa</v>
      </c>
    </row>
    <row r="303" spans="1:23" ht="13.5" customHeight="1" x14ac:dyDescent="0.25">
      <c r="A303" s="53" t="s">
        <v>2441</v>
      </c>
      <c r="B303" s="15" t="s">
        <v>738</v>
      </c>
      <c r="C303" s="22">
        <v>9345</v>
      </c>
      <c r="D303" s="14" t="s">
        <v>739</v>
      </c>
      <c r="E303" s="15" t="s">
        <v>417</v>
      </c>
      <c r="F303" s="14" t="s">
        <v>1258</v>
      </c>
      <c r="G303" s="15"/>
      <c r="H303" s="55">
        <v>401233</v>
      </c>
      <c r="I303" s="55">
        <v>401233</v>
      </c>
      <c r="J303" s="55">
        <v>0</v>
      </c>
      <c r="K303" s="55">
        <v>401233</v>
      </c>
      <c r="L303" s="55">
        <v>0</v>
      </c>
      <c r="M303" s="55">
        <v>401233</v>
      </c>
      <c r="N303" s="55">
        <v>0</v>
      </c>
      <c r="O303" s="55">
        <v>401233</v>
      </c>
      <c r="P303" s="55">
        <v>0</v>
      </c>
      <c r="Q303" s="55">
        <v>401233</v>
      </c>
      <c r="R303" s="55">
        <v>0</v>
      </c>
      <c r="S303" s="90">
        <f t="shared" si="4"/>
        <v>0</v>
      </c>
      <c r="T303" s="89">
        <v>46204</v>
      </c>
      <c r="U303" s="14" t="s">
        <v>2453</v>
      </c>
      <c r="V303" s="105" t="s">
        <v>2374</v>
      </c>
      <c r="W303" s="105" t="s">
        <v>2228</v>
      </c>
    </row>
    <row r="304" spans="1:23" ht="13.5" customHeight="1" x14ac:dyDescent="0.25">
      <c r="A304" s="14" t="s">
        <v>868</v>
      </c>
      <c r="B304" s="14" t="s">
        <v>925</v>
      </c>
      <c r="C304" s="120">
        <v>9824</v>
      </c>
      <c r="D304" s="14" t="s">
        <v>926</v>
      </c>
      <c r="E304" s="14" t="s">
        <v>417</v>
      </c>
      <c r="F304" s="14" t="s">
        <v>1381</v>
      </c>
      <c r="G304" s="14" t="s">
        <v>110</v>
      </c>
      <c r="H304" s="55">
        <v>955324</v>
      </c>
      <c r="I304" s="55">
        <v>955754</v>
      </c>
      <c r="J304" s="55">
        <v>430</v>
      </c>
      <c r="K304" s="55">
        <v>957348</v>
      </c>
      <c r="L304" s="55">
        <v>1594</v>
      </c>
      <c r="M304" s="55">
        <v>959548</v>
      </c>
      <c r="N304" s="55">
        <v>2200</v>
      </c>
      <c r="O304" s="55">
        <v>961079</v>
      </c>
      <c r="P304" s="55">
        <v>1531</v>
      </c>
      <c r="Q304" s="55">
        <v>963115</v>
      </c>
      <c r="R304" s="55">
        <v>2036</v>
      </c>
      <c r="S304" s="90">
        <f t="shared" si="4"/>
        <v>7791</v>
      </c>
      <c r="T304" s="89">
        <v>46204</v>
      </c>
      <c r="U304" s="14"/>
      <c r="V304" s="105" t="s">
        <v>2375</v>
      </c>
      <c r="W304" s="105" t="str">
        <f>VLOOKUP(C304,'Status oficina'!$A$2:$C$208,3,FALSE)</f>
        <v>Activa</v>
      </c>
    </row>
    <row r="305" spans="1:23" ht="13.5" customHeight="1" x14ac:dyDescent="0.25">
      <c r="A305" s="53" t="s">
        <v>2441</v>
      </c>
      <c r="B305" s="14" t="s">
        <v>750</v>
      </c>
      <c r="C305" s="120">
        <v>9349</v>
      </c>
      <c r="D305" s="14" t="s">
        <v>751</v>
      </c>
      <c r="E305" s="14" t="s">
        <v>417</v>
      </c>
      <c r="F305" s="14" t="s">
        <v>1266</v>
      </c>
      <c r="G305" s="14" t="s">
        <v>56</v>
      </c>
      <c r="H305" s="55">
        <v>384687</v>
      </c>
      <c r="I305" s="55">
        <v>384687</v>
      </c>
      <c r="J305" s="55">
        <v>0</v>
      </c>
      <c r="K305" s="55">
        <v>384687</v>
      </c>
      <c r="L305" s="55">
        <v>0</v>
      </c>
      <c r="M305" s="55">
        <v>384687</v>
      </c>
      <c r="N305" s="55">
        <v>0</v>
      </c>
      <c r="O305" s="55">
        <v>384687</v>
      </c>
      <c r="P305" s="55">
        <v>0</v>
      </c>
      <c r="Q305" s="55">
        <v>384687</v>
      </c>
      <c r="R305" s="55">
        <v>0</v>
      </c>
      <c r="S305" s="90">
        <f t="shared" si="4"/>
        <v>0</v>
      </c>
      <c r="T305" s="89">
        <v>46204</v>
      </c>
      <c r="U305" s="14"/>
      <c r="V305" s="105" t="s">
        <v>2231</v>
      </c>
      <c r="W305" s="105" t="s">
        <v>2231</v>
      </c>
    </row>
    <row r="306" spans="1:23" ht="13.5" customHeight="1" x14ac:dyDescent="0.25">
      <c r="A306" s="14" t="s">
        <v>939</v>
      </c>
      <c r="B306" s="14" t="s">
        <v>1022</v>
      </c>
      <c r="C306" s="120">
        <v>9615</v>
      </c>
      <c r="D306" s="14" t="s">
        <v>1023</v>
      </c>
      <c r="E306" s="14" t="s">
        <v>417</v>
      </c>
      <c r="F306" s="14" t="s">
        <v>1442</v>
      </c>
      <c r="G306" s="14" t="s">
        <v>217</v>
      </c>
      <c r="H306" s="55">
        <v>312358</v>
      </c>
      <c r="I306" s="55">
        <v>312358</v>
      </c>
      <c r="J306" s="55">
        <v>0</v>
      </c>
      <c r="K306" s="55">
        <v>313000</v>
      </c>
      <c r="L306" s="55">
        <v>642</v>
      </c>
      <c r="M306" s="55">
        <v>314452</v>
      </c>
      <c r="N306" s="55">
        <v>1452</v>
      </c>
      <c r="O306" s="55">
        <v>315464</v>
      </c>
      <c r="P306" s="55">
        <v>1012</v>
      </c>
      <c r="Q306" s="55">
        <v>316413</v>
      </c>
      <c r="R306" s="55">
        <v>949</v>
      </c>
      <c r="S306" s="90">
        <f t="shared" si="4"/>
        <v>4055</v>
      </c>
      <c r="T306" s="89">
        <v>46204</v>
      </c>
      <c r="U306" s="14" t="s">
        <v>2507</v>
      </c>
      <c r="V306" s="105" t="s">
        <v>2375</v>
      </c>
      <c r="W306" s="105" t="str">
        <f>VLOOKUP(C306,'Status oficina'!$A$2:$C$208,3,FALSE)</f>
        <v>Activa</v>
      </c>
    </row>
    <row r="307" spans="1:23" ht="13.5" customHeight="1" x14ac:dyDescent="0.25">
      <c r="A307" s="14" t="s">
        <v>2442</v>
      </c>
      <c r="B307" s="14" t="s">
        <v>842</v>
      </c>
      <c r="C307" s="120">
        <v>9238</v>
      </c>
      <c r="D307" s="14" t="s">
        <v>843</v>
      </c>
      <c r="E307" s="14" t="s">
        <v>417</v>
      </c>
      <c r="F307" s="14" t="s">
        <v>844</v>
      </c>
      <c r="G307" s="14" t="s">
        <v>148</v>
      </c>
      <c r="H307" s="55">
        <v>399380</v>
      </c>
      <c r="I307" s="55">
        <v>400015</v>
      </c>
      <c r="J307" s="55">
        <v>635</v>
      </c>
      <c r="K307" s="55">
        <v>401454</v>
      </c>
      <c r="L307" s="55">
        <v>1439</v>
      </c>
      <c r="M307" s="55">
        <v>403078</v>
      </c>
      <c r="N307" s="55">
        <v>1624</v>
      </c>
      <c r="O307" s="55">
        <v>404627</v>
      </c>
      <c r="P307" s="55">
        <v>1549</v>
      </c>
      <c r="Q307" s="55">
        <v>405977</v>
      </c>
      <c r="R307" s="55">
        <v>1350</v>
      </c>
      <c r="S307" s="90">
        <f t="shared" si="4"/>
        <v>6597</v>
      </c>
      <c r="T307" s="89">
        <v>46204</v>
      </c>
      <c r="U307" s="8"/>
      <c r="V307" s="105" t="s">
        <v>2375</v>
      </c>
      <c r="W307" s="105" t="str">
        <f>VLOOKUP(C307,'Status oficina'!$A$2:$C$208,3,FALSE)</f>
        <v>Activa</v>
      </c>
    </row>
    <row r="308" spans="1:23" ht="13.5" customHeight="1" x14ac:dyDescent="0.25">
      <c r="A308" s="14" t="s">
        <v>2082</v>
      </c>
      <c r="B308" s="14" t="s">
        <v>555</v>
      </c>
      <c r="C308" s="19">
        <v>9388</v>
      </c>
      <c r="D308" s="14" t="s">
        <v>556</v>
      </c>
      <c r="E308" s="14" t="s">
        <v>417</v>
      </c>
      <c r="F308" s="14" t="s">
        <v>1305</v>
      </c>
      <c r="G308" s="14" t="s">
        <v>6</v>
      </c>
      <c r="H308" s="55">
        <v>316998</v>
      </c>
      <c r="I308" s="55">
        <v>316998</v>
      </c>
      <c r="J308" s="55">
        <v>0</v>
      </c>
      <c r="K308" s="55">
        <v>316998</v>
      </c>
      <c r="L308" s="55">
        <v>0</v>
      </c>
      <c r="M308" s="55">
        <v>316998</v>
      </c>
      <c r="N308" s="55">
        <v>0</v>
      </c>
      <c r="O308" s="55">
        <v>316998</v>
      </c>
      <c r="P308" s="55">
        <v>0</v>
      </c>
      <c r="Q308" s="55">
        <v>316998</v>
      </c>
      <c r="R308" s="55">
        <v>0</v>
      </c>
      <c r="S308" s="90">
        <f t="shared" si="4"/>
        <v>0</v>
      </c>
      <c r="T308" s="89">
        <v>46204</v>
      </c>
      <c r="U308" s="14"/>
      <c r="V308" s="105" t="s">
        <v>2231</v>
      </c>
      <c r="W308" s="105" t="s">
        <v>2231</v>
      </c>
    </row>
    <row r="309" spans="1:23" ht="13.5" customHeight="1" x14ac:dyDescent="0.25">
      <c r="A309" s="53" t="s">
        <v>868</v>
      </c>
      <c r="B309" s="53" t="s">
        <v>428</v>
      </c>
      <c r="C309" s="120">
        <v>9837</v>
      </c>
      <c r="D309" s="14" t="s">
        <v>434</v>
      </c>
      <c r="E309" s="14" t="s">
        <v>417</v>
      </c>
      <c r="F309" s="14" t="s">
        <v>1076</v>
      </c>
      <c r="G309" s="14" t="s">
        <v>149</v>
      </c>
      <c r="H309" s="55">
        <v>510691</v>
      </c>
      <c r="I309" s="55">
        <v>511283</v>
      </c>
      <c r="J309" s="55">
        <v>592</v>
      </c>
      <c r="K309" s="55">
        <v>511780</v>
      </c>
      <c r="L309" s="55">
        <v>497</v>
      </c>
      <c r="M309" s="55">
        <v>512274</v>
      </c>
      <c r="N309" s="55">
        <v>494</v>
      </c>
      <c r="O309" s="55">
        <v>512615</v>
      </c>
      <c r="P309" s="55">
        <v>341</v>
      </c>
      <c r="Q309" s="55">
        <v>512870</v>
      </c>
      <c r="R309" s="55">
        <v>255</v>
      </c>
      <c r="S309" s="90">
        <f t="shared" si="4"/>
        <v>2179</v>
      </c>
      <c r="T309" s="89">
        <v>46204</v>
      </c>
      <c r="U309" s="14"/>
      <c r="V309" s="105" t="s">
        <v>2375</v>
      </c>
      <c r="W309" s="105" t="str">
        <f>VLOOKUP(C309,'Status oficina'!$A$2:$C$208,3,FALSE)</f>
        <v>Activa</v>
      </c>
    </row>
    <row r="310" spans="1:23" ht="13.5" customHeight="1" x14ac:dyDescent="0.25">
      <c r="A310" s="14" t="s">
        <v>939</v>
      </c>
      <c r="B310" s="14" t="s">
        <v>1011</v>
      </c>
      <c r="C310" s="19">
        <v>9653</v>
      </c>
      <c r="D310" s="14" t="s">
        <v>1719</v>
      </c>
      <c r="E310" s="14" t="s">
        <v>417</v>
      </c>
      <c r="F310" s="14" t="s">
        <v>1432</v>
      </c>
      <c r="G310" s="14" t="s">
        <v>21</v>
      </c>
      <c r="H310" s="55">
        <v>181950</v>
      </c>
      <c r="I310" s="55">
        <v>181950</v>
      </c>
      <c r="J310" s="55">
        <v>0</v>
      </c>
      <c r="K310" s="55">
        <v>181950</v>
      </c>
      <c r="L310" s="55">
        <v>0</v>
      </c>
      <c r="M310" s="55">
        <v>181950</v>
      </c>
      <c r="N310" s="55">
        <v>0</v>
      </c>
      <c r="O310" s="55">
        <v>181950</v>
      </c>
      <c r="P310" s="55">
        <v>0</v>
      </c>
      <c r="Q310" s="55">
        <v>181950</v>
      </c>
      <c r="R310" s="55">
        <v>0</v>
      </c>
      <c r="S310" s="90">
        <f t="shared" si="4"/>
        <v>0</v>
      </c>
      <c r="T310" s="89">
        <v>46204</v>
      </c>
      <c r="U310" s="14"/>
      <c r="V310" s="105" t="s">
        <v>2231</v>
      </c>
      <c r="W310" s="105" t="s">
        <v>2231</v>
      </c>
    </row>
    <row r="311" spans="1:23" ht="13.5" customHeight="1" x14ac:dyDescent="0.25">
      <c r="A311" s="14" t="s">
        <v>2442</v>
      </c>
      <c r="B311" s="14" t="s">
        <v>784</v>
      </c>
      <c r="C311" s="19">
        <v>9911</v>
      </c>
      <c r="D311" s="14" t="s">
        <v>785</v>
      </c>
      <c r="E311" s="14" t="s">
        <v>417</v>
      </c>
      <c r="F311" s="14" t="s">
        <v>1285</v>
      </c>
      <c r="G311" s="14" t="s">
        <v>225</v>
      </c>
      <c r="H311" s="55">
        <v>418784</v>
      </c>
      <c r="I311" s="55">
        <v>419120</v>
      </c>
      <c r="J311" s="55">
        <v>336</v>
      </c>
      <c r="K311" s="55">
        <v>419770</v>
      </c>
      <c r="L311" s="55">
        <v>650</v>
      </c>
      <c r="M311" s="55">
        <v>420307</v>
      </c>
      <c r="N311" s="55">
        <v>537</v>
      </c>
      <c r="O311" s="55">
        <v>420931</v>
      </c>
      <c r="P311" s="55">
        <v>624</v>
      </c>
      <c r="Q311" s="55">
        <v>421767</v>
      </c>
      <c r="R311" s="55">
        <v>836</v>
      </c>
      <c r="S311" s="90">
        <f t="shared" si="4"/>
        <v>2983</v>
      </c>
      <c r="T311" s="89">
        <v>46204</v>
      </c>
      <c r="U311" s="14"/>
      <c r="V311" s="105" t="s">
        <v>2375</v>
      </c>
      <c r="W311" s="105" t="str">
        <f>VLOOKUP(C311,'Status oficina'!$A$2:$C$208,3,FALSE)</f>
        <v>Activa</v>
      </c>
    </row>
    <row r="312" spans="1:23" ht="13.5" customHeight="1" x14ac:dyDescent="0.25">
      <c r="A312" s="14" t="s">
        <v>2442</v>
      </c>
      <c r="B312" s="14" t="s">
        <v>857</v>
      </c>
      <c r="C312" s="22">
        <v>9915</v>
      </c>
      <c r="D312" s="14" t="s">
        <v>859</v>
      </c>
      <c r="E312" s="14" t="s">
        <v>417</v>
      </c>
      <c r="F312" s="14" t="s">
        <v>1332</v>
      </c>
      <c r="G312" s="14" t="s">
        <v>188</v>
      </c>
      <c r="H312" s="55">
        <v>264946</v>
      </c>
      <c r="I312" s="55">
        <v>264946</v>
      </c>
      <c r="J312" s="55">
        <v>0</v>
      </c>
      <c r="K312" s="55">
        <v>264946</v>
      </c>
      <c r="L312" s="55">
        <v>0</v>
      </c>
      <c r="M312" s="55">
        <v>264946</v>
      </c>
      <c r="N312" s="55">
        <v>0</v>
      </c>
      <c r="O312" s="55">
        <v>264946</v>
      </c>
      <c r="P312" s="55">
        <v>0</v>
      </c>
      <c r="Q312" s="55">
        <v>264946</v>
      </c>
      <c r="R312" s="55">
        <v>0</v>
      </c>
      <c r="S312" s="90">
        <f t="shared" si="4"/>
        <v>0</v>
      </c>
      <c r="T312" s="89">
        <v>46204</v>
      </c>
      <c r="U312" s="14"/>
      <c r="V312" s="105" t="s">
        <v>2231</v>
      </c>
      <c r="W312" s="105" t="str">
        <f>VLOOKUP(C312,'Status oficina'!$A$2:$C$208,3,FALSE)</f>
        <v>Cierre temporal</v>
      </c>
    </row>
    <row r="313" spans="1:23" ht="13.5" customHeight="1" x14ac:dyDescent="0.25">
      <c r="A313" s="14" t="s">
        <v>2442</v>
      </c>
      <c r="B313" s="14" t="s">
        <v>857</v>
      </c>
      <c r="C313" s="22">
        <v>9915</v>
      </c>
      <c r="D313" s="14" t="s">
        <v>858</v>
      </c>
      <c r="E313" s="14" t="s">
        <v>413</v>
      </c>
      <c r="F313" s="14" t="s">
        <v>1331</v>
      </c>
      <c r="G313" s="14" t="s">
        <v>119</v>
      </c>
      <c r="H313" s="55">
        <v>103947</v>
      </c>
      <c r="I313" s="55">
        <v>103947</v>
      </c>
      <c r="J313" s="55">
        <v>0</v>
      </c>
      <c r="K313" s="55">
        <v>103947</v>
      </c>
      <c r="L313" s="55">
        <v>0</v>
      </c>
      <c r="M313" s="55">
        <v>103947</v>
      </c>
      <c r="N313" s="55">
        <v>0</v>
      </c>
      <c r="O313" s="55">
        <v>103947</v>
      </c>
      <c r="P313" s="55">
        <v>0</v>
      </c>
      <c r="Q313" s="55">
        <v>103947</v>
      </c>
      <c r="R313" s="55">
        <v>0</v>
      </c>
      <c r="S313" s="90">
        <f t="shared" si="4"/>
        <v>0</v>
      </c>
      <c r="T313" s="89">
        <v>46204</v>
      </c>
      <c r="U313" s="14"/>
      <c r="V313" s="105" t="s">
        <v>2231</v>
      </c>
      <c r="W313" s="105" t="str">
        <f>VLOOKUP(C313,'Status oficina'!$A$2:$C$208,3,FALSE)</f>
        <v>Cierre temporal</v>
      </c>
    </row>
    <row r="314" spans="1:23" ht="13.5" customHeight="1" x14ac:dyDescent="0.25">
      <c r="A314" s="53" t="s">
        <v>2441</v>
      </c>
      <c r="B314" s="14" t="s">
        <v>2394</v>
      </c>
      <c r="C314" s="120">
        <v>9217</v>
      </c>
      <c r="D314" s="14" t="s">
        <v>689</v>
      </c>
      <c r="E314" s="14" t="s">
        <v>417</v>
      </c>
      <c r="F314" s="14" t="s">
        <v>1955</v>
      </c>
      <c r="G314" s="14" t="s">
        <v>2171</v>
      </c>
      <c r="H314" s="55">
        <v>332113</v>
      </c>
      <c r="I314" s="55">
        <v>332493</v>
      </c>
      <c r="J314" s="55">
        <v>380</v>
      </c>
      <c r="K314" s="55">
        <v>333606</v>
      </c>
      <c r="L314" s="55">
        <v>1113</v>
      </c>
      <c r="M314" s="55">
        <v>334861</v>
      </c>
      <c r="N314" s="55">
        <v>1255</v>
      </c>
      <c r="O314" s="55">
        <v>335787</v>
      </c>
      <c r="P314" s="55">
        <v>926</v>
      </c>
      <c r="Q314" s="55">
        <v>337200</v>
      </c>
      <c r="R314" s="55">
        <v>1413</v>
      </c>
      <c r="S314" s="90">
        <f t="shared" si="4"/>
        <v>5087</v>
      </c>
      <c r="T314" s="89">
        <v>46204</v>
      </c>
      <c r="U314" s="14"/>
      <c r="V314" s="105" t="s">
        <v>2375</v>
      </c>
      <c r="W314" s="105" t="str">
        <f>VLOOKUP(C314,'Status oficina'!$A$2:$C$208,3,FALSE)</f>
        <v>Activa</v>
      </c>
    </row>
    <row r="315" spans="1:23" ht="13.5" customHeight="1" x14ac:dyDescent="0.25">
      <c r="A315" s="14" t="s">
        <v>2442</v>
      </c>
      <c r="B315" s="14" t="s">
        <v>865</v>
      </c>
      <c r="C315" s="22">
        <v>9928</v>
      </c>
      <c r="D315" s="14" t="s">
        <v>866</v>
      </c>
      <c r="E315" s="14" t="s">
        <v>413</v>
      </c>
      <c r="F315" s="14" t="s">
        <v>867</v>
      </c>
      <c r="G315" s="14" t="s">
        <v>401</v>
      </c>
      <c r="H315" s="55">
        <v>96469</v>
      </c>
      <c r="I315" s="55">
        <v>96469</v>
      </c>
      <c r="J315" s="55">
        <v>0</v>
      </c>
      <c r="K315" s="55">
        <v>96469</v>
      </c>
      <c r="L315" s="55">
        <v>0</v>
      </c>
      <c r="M315" s="55">
        <v>96469</v>
      </c>
      <c r="N315" s="55">
        <v>0</v>
      </c>
      <c r="O315" s="55">
        <v>96469</v>
      </c>
      <c r="P315" s="55">
        <v>0</v>
      </c>
      <c r="Q315" s="55">
        <v>96469</v>
      </c>
      <c r="R315" s="55">
        <v>0</v>
      </c>
      <c r="S315" s="90">
        <f t="shared" si="4"/>
        <v>0</v>
      </c>
      <c r="T315" s="89">
        <v>46204</v>
      </c>
      <c r="U315" s="8"/>
      <c r="V315" s="105" t="s">
        <v>2231</v>
      </c>
      <c r="W315" s="105" t="str">
        <f>VLOOKUP(C315,'Status oficina'!$A$2:$C$208,3,FALSE)</f>
        <v>Cierre temporal</v>
      </c>
    </row>
    <row r="316" spans="1:23" ht="13.5" customHeight="1" x14ac:dyDescent="0.25">
      <c r="A316" s="14" t="s">
        <v>2082</v>
      </c>
      <c r="B316" s="14" t="s">
        <v>617</v>
      </c>
      <c r="C316" s="19">
        <v>9448</v>
      </c>
      <c r="D316" s="14" t="s">
        <v>618</v>
      </c>
      <c r="E316" s="14" t="s">
        <v>417</v>
      </c>
      <c r="F316" s="14" t="s">
        <v>1058</v>
      </c>
      <c r="G316" s="14" t="s">
        <v>195</v>
      </c>
      <c r="H316" s="55">
        <v>422968</v>
      </c>
      <c r="I316" s="55">
        <v>422968</v>
      </c>
      <c r="J316" s="55">
        <v>0</v>
      </c>
      <c r="K316" s="55">
        <v>422970</v>
      </c>
      <c r="L316" s="55">
        <v>2</v>
      </c>
      <c r="M316" s="55">
        <v>422970</v>
      </c>
      <c r="N316" s="55">
        <v>0</v>
      </c>
      <c r="O316" s="55">
        <v>422970</v>
      </c>
      <c r="P316" s="55">
        <v>0</v>
      </c>
      <c r="Q316" s="55">
        <v>422970</v>
      </c>
      <c r="R316" s="55">
        <v>0</v>
      </c>
      <c r="S316" s="90">
        <f t="shared" si="4"/>
        <v>2</v>
      </c>
      <c r="T316" s="89">
        <v>46204</v>
      </c>
      <c r="U316" s="54"/>
      <c r="V316" s="105" t="s">
        <v>2375</v>
      </c>
      <c r="W316" s="105" t="str">
        <f>VLOOKUP(C316,'Status oficina'!$A$2:$C$208,3,FALSE)</f>
        <v>Activa</v>
      </c>
    </row>
    <row r="317" spans="1:23" ht="13.5" customHeight="1" x14ac:dyDescent="0.25">
      <c r="A317" s="14" t="s">
        <v>2442</v>
      </c>
      <c r="B317" s="14" t="s">
        <v>778</v>
      </c>
      <c r="C317" s="19">
        <v>9932</v>
      </c>
      <c r="D317" s="14" t="s">
        <v>779</v>
      </c>
      <c r="E317" s="14" t="s">
        <v>413</v>
      </c>
      <c r="F317" s="14" t="s">
        <v>1281</v>
      </c>
      <c r="G317" s="14" t="s">
        <v>334</v>
      </c>
      <c r="H317" s="55">
        <v>274989</v>
      </c>
      <c r="I317" s="55">
        <v>274989</v>
      </c>
      <c r="J317" s="55">
        <v>0</v>
      </c>
      <c r="K317" s="55">
        <v>274989</v>
      </c>
      <c r="L317" s="55">
        <v>0</v>
      </c>
      <c r="M317" s="55">
        <v>274989</v>
      </c>
      <c r="N317" s="55">
        <v>0</v>
      </c>
      <c r="O317" s="55">
        <v>274989</v>
      </c>
      <c r="P317" s="55">
        <v>0</v>
      </c>
      <c r="Q317" s="55">
        <v>274989</v>
      </c>
      <c r="R317" s="55">
        <v>0</v>
      </c>
      <c r="S317" s="90">
        <f t="shared" si="4"/>
        <v>0</v>
      </c>
      <c r="T317" s="89">
        <v>46204</v>
      </c>
      <c r="U317" s="14"/>
      <c r="V317" s="105" t="s">
        <v>2231</v>
      </c>
      <c r="W317" s="105" t="str">
        <f>VLOOKUP(C317,'Status oficina'!$A$2:$C$208,3,FALSE)</f>
        <v>Cierre temporal</v>
      </c>
    </row>
    <row r="318" spans="1:23" ht="13.5" customHeight="1" x14ac:dyDescent="0.25">
      <c r="A318" s="53" t="s">
        <v>868</v>
      </c>
      <c r="B318" s="53" t="s">
        <v>439</v>
      </c>
      <c r="C318" s="120">
        <v>9895</v>
      </c>
      <c r="D318" s="14" t="s">
        <v>449</v>
      </c>
      <c r="E318" s="14" t="s">
        <v>417</v>
      </c>
      <c r="F318" s="14" t="s">
        <v>450</v>
      </c>
      <c r="G318" s="14" t="s">
        <v>36</v>
      </c>
      <c r="H318" s="55">
        <v>512688</v>
      </c>
      <c r="I318" s="55">
        <v>512688</v>
      </c>
      <c r="J318" s="55">
        <v>0</v>
      </c>
      <c r="K318" s="55">
        <v>512688</v>
      </c>
      <c r="L318" s="55">
        <v>0</v>
      </c>
      <c r="M318" s="55">
        <v>512688</v>
      </c>
      <c r="N318" s="55">
        <v>0</v>
      </c>
      <c r="O318" s="55">
        <v>512688</v>
      </c>
      <c r="P318" s="55">
        <v>0</v>
      </c>
      <c r="Q318" s="55">
        <v>512688</v>
      </c>
      <c r="R318" s="55">
        <v>0</v>
      </c>
      <c r="S318" s="90">
        <f t="shared" si="4"/>
        <v>0</v>
      </c>
      <c r="T318" s="89">
        <v>46204</v>
      </c>
      <c r="U318" s="14" t="s">
        <v>2454</v>
      </c>
      <c r="V318" s="105" t="s">
        <v>2238</v>
      </c>
      <c r="W318" s="105" t="str">
        <f>VLOOKUP(C318,'Status oficina'!$A$2:$C$208,3,FALSE)</f>
        <v>Cierre definitivo</v>
      </c>
    </row>
    <row r="319" spans="1:23" ht="13.5" customHeight="1" x14ac:dyDescent="0.25">
      <c r="A319" s="14" t="s">
        <v>939</v>
      </c>
      <c r="B319" s="14" t="s">
        <v>1040</v>
      </c>
      <c r="C319" s="120">
        <v>9647</v>
      </c>
      <c r="D319" s="14" t="s">
        <v>1041</v>
      </c>
      <c r="E319" s="14" t="s">
        <v>417</v>
      </c>
      <c r="F319" s="14" t="s">
        <v>1455</v>
      </c>
      <c r="G319" s="14" t="s">
        <v>126</v>
      </c>
      <c r="H319" s="55">
        <v>321484</v>
      </c>
      <c r="I319" s="55">
        <v>321866</v>
      </c>
      <c r="J319" s="55">
        <v>382</v>
      </c>
      <c r="K319" s="55">
        <v>322547</v>
      </c>
      <c r="L319" s="55">
        <v>681</v>
      </c>
      <c r="M319" s="55">
        <v>323039</v>
      </c>
      <c r="N319" s="55">
        <v>492</v>
      </c>
      <c r="O319" s="55">
        <v>323457</v>
      </c>
      <c r="P319" s="55">
        <v>418</v>
      </c>
      <c r="Q319" s="55">
        <v>324094</v>
      </c>
      <c r="R319" s="55">
        <v>637</v>
      </c>
      <c r="S319" s="90">
        <f t="shared" si="4"/>
        <v>2610</v>
      </c>
      <c r="T319" s="89">
        <v>46204</v>
      </c>
      <c r="U319" s="14"/>
      <c r="V319" s="105" t="s">
        <v>2375</v>
      </c>
      <c r="W319" s="105" t="s">
        <v>2228</v>
      </c>
    </row>
    <row r="320" spans="1:23" ht="13.5" customHeight="1" x14ac:dyDescent="0.25">
      <c r="A320" s="14" t="s">
        <v>2082</v>
      </c>
      <c r="B320" s="14" t="s">
        <v>631</v>
      </c>
      <c r="C320" s="120">
        <v>9835</v>
      </c>
      <c r="D320" s="14" t="s">
        <v>632</v>
      </c>
      <c r="E320" s="14" t="s">
        <v>417</v>
      </c>
      <c r="F320" s="14" t="s">
        <v>1193</v>
      </c>
      <c r="G320" s="14" t="s">
        <v>166</v>
      </c>
      <c r="H320" s="55">
        <v>573526</v>
      </c>
      <c r="I320" s="55">
        <v>574518</v>
      </c>
      <c r="J320" s="55">
        <v>992</v>
      </c>
      <c r="K320" s="55">
        <v>576261</v>
      </c>
      <c r="L320" s="55">
        <v>1743</v>
      </c>
      <c r="M320" s="55">
        <v>578100</v>
      </c>
      <c r="N320" s="55">
        <v>1839</v>
      </c>
      <c r="O320" s="55">
        <v>579247</v>
      </c>
      <c r="P320" s="55">
        <v>1147</v>
      </c>
      <c r="Q320" s="55">
        <v>580673</v>
      </c>
      <c r="R320" s="55">
        <v>1426</v>
      </c>
      <c r="S320" s="90">
        <f t="shared" si="4"/>
        <v>7147</v>
      </c>
      <c r="T320" s="89">
        <v>46204</v>
      </c>
      <c r="U320" s="14"/>
      <c r="V320" s="105" t="s">
        <v>2375</v>
      </c>
      <c r="W320" s="105" t="str">
        <f>VLOOKUP(C320,'Status oficina'!$A$2:$C$208,3,FALSE)</f>
        <v>Activa</v>
      </c>
    </row>
    <row r="321" spans="1:23" ht="13.5" customHeight="1" x14ac:dyDescent="0.25">
      <c r="A321" s="14" t="s">
        <v>939</v>
      </c>
      <c r="B321" s="14" t="s">
        <v>980</v>
      </c>
      <c r="C321" s="123">
        <v>9655</v>
      </c>
      <c r="D321" s="14" t="s">
        <v>982</v>
      </c>
      <c r="E321" s="14" t="s">
        <v>417</v>
      </c>
      <c r="F321" s="14" t="s">
        <v>1419</v>
      </c>
      <c r="G321" s="14" t="s">
        <v>118</v>
      </c>
      <c r="H321" s="55">
        <v>1056346</v>
      </c>
      <c r="I321" s="55">
        <v>1057571</v>
      </c>
      <c r="J321" s="55">
        <v>1225</v>
      </c>
      <c r="K321" s="55">
        <v>1059798</v>
      </c>
      <c r="L321" s="55">
        <v>2227</v>
      </c>
      <c r="M321" s="55">
        <v>1062161</v>
      </c>
      <c r="N321" s="55">
        <v>2363</v>
      </c>
      <c r="O321" s="55">
        <v>1064027</v>
      </c>
      <c r="P321" s="55">
        <v>1866</v>
      </c>
      <c r="Q321" s="55">
        <v>1066266</v>
      </c>
      <c r="R321" s="55">
        <v>2239</v>
      </c>
      <c r="S321" s="90">
        <f t="shared" si="4"/>
        <v>9920</v>
      </c>
      <c r="T321" s="89">
        <v>46204</v>
      </c>
      <c r="U321" s="14"/>
      <c r="V321" s="108" t="s">
        <v>2375</v>
      </c>
      <c r="W321" s="105" t="str">
        <f>VLOOKUP(C321,'Status oficina'!$A$2:$C$208,3,FALSE)</f>
        <v>Activa</v>
      </c>
    </row>
    <row r="322" spans="1:23" ht="13.5" customHeight="1" x14ac:dyDescent="0.25">
      <c r="A322" s="14" t="s">
        <v>939</v>
      </c>
      <c r="B322" s="14" t="s">
        <v>1025</v>
      </c>
      <c r="C322" s="120">
        <v>9503</v>
      </c>
      <c r="D322" s="14" t="s">
        <v>1026</v>
      </c>
      <c r="E322" s="14" t="s">
        <v>417</v>
      </c>
      <c r="F322" s="14" t="s">
        <v>1444</v>
      </c>
      <c r="G322" s="12" t="s">
        <v>76</v>
      </c>
      <c r="H322" s="55">
        <v>508043</v>
      </c>
      <c r="I322" s="55">
        <v>508293</v>
      </c>
      <c r="J322" s="55">
        <v>250</v>
      </c>
      <c r="K322" s="55">
        <v>508847</v>
      </c>
      <c r="L322" s="55">
        <v>554</v>
      </c>
      <c r="M322" s="55">
        <v>509405</v>
      </c>
      <c r="N322" s="55">
        <v>558</v>
      </c>
      <c r="O322" s="55">
        <v>509678</v>
      </c>
      <c r="P322" s="55">
        <v>273</v>
      </c>
      <c r="Q322" s="55">
        <v>510110</v>
      </c>
      <c r="R322" s="55">
        <v>432</v>
      </c>
      <c r="S322" s="90">
        <f t="shared" si="4"/>
        <v>2067</v>
      </c>
      <c r="T322" s="89">
        <v>46204</v>
      </c>
      <c r="U322" s="14"/>
      <c r="V322" s="108" t="s">
        <v>2375</v>
      </c>
      <c r="W322" s="105" t="str">
        <f>VLOOKUP(C322,'Status oficina'!$A$2:$C$208,3,FALSE)</f>
        <v>Activa</v>
      </c>
    </row>
    <row r="323" spans="1:23" ht="13.5" customHeight="1" x14ac:dyDescent="0.25">
      <c r="A323" s="14" t="s">
        <v>939</v>
      </c>
      <c r="B323" s="14" t="s">
        <v>1043</v>
      </c>
      <c r="C323" s="19">
        <v>9650</v>
      </c>
      <c r="D323" s="53" t="s">
        <v>1044</v>
      </c>
      <c r="E323" s="53" t="s">
        <v>417</v>
      </c>
      <c r="F323" s="110" t="s">
        <v>1447</v>
      </c>
      <c r="G323" s="53" t="s">
        <v>120</v>
      </c>
      <c r="H323" s="55">
        <v>741667</v>
      </c>
      <c r="I323" s="55">
        <v>742396</v>
      </c>
      <c r="J323" s="55">
        <v>729</v>
      </c>
      <c r="K323" s="55">
        <v>744245</v>
      </c>
      <c r="L323" s="55">
        <v>1849</v>
      </c>
      <c r="M323" s="55">
        <v>745779</v>
      </c>
      <c r="N323" s="55">
        <v>1534</v>
      </c>
      <c r="O323" s="55">
        <v>747125</v>
      </c>
      <c r="P323" s="55">
        <v>1346</v>
      </c>
      <c r="Q323" s="55">
        <v>748794</v>
      </c>
      <c r="R323" s="55">
        <v>1669</v>
      </c>
      <c r="S323" s="90">
        <f t="shared" ref="S323:S326" si="5">R323+P323+N323+L323+J323</f>
        <v>7127</v>
      </c>
      <c r="T323" s="89">
        <v>46204</v>
      </c>
      <c r="U323" s="59"/>
      <c r="V323" s="105" t="s">
        <v>2375</v>
      </c>
      <c r="W323" s="105" t="str">
        <f>VLOOKUP(C323,'Status oficina'!$A$2:$C$208,3,FALSE)</f>
        <v>Activa</v>
      </c>
    </row>
    <row r="324" spans="1:23" ht="13.5" customHeight="1" x14ac:dyDescent="0.25">
      <c r="A324" s="14" t="s">
        <v>939</v>
      </c>
      <c r="B324" s="14" t="s">
        <v>1046</v>
      </c>
      <c r="C324" s="120">
        <v>9675</v>
      </c>
      <c r="D324" s="14" t="s">
        <v>1048</v>
      </c>
      <c r="E324" s="14" t="s">
        <v>417</v>
      </c>
      <c r="F324" s="13" t="s">
        <v>1460</v>
      </c>
      <c r="G324" s="14" t="s">
        <v>112</v>
      </c>
      <c r="H324" s="55">
        <v>414864</v>
      </c>
      <c r="I324" s="55">
        <v>415524</v>
      </c>
      <c r="J324" s="55">
        <v>660</v>
      </c>
      <c r="K324" s="55">
        <v>416539</v>
      </c>
      <c r="L324" s="55">
        <v>1015</v>
      </c>
      <c r="M324" s="55">
        <v>417540</v>
      </c>
      <c r="N324" s="55">
        <v>1001</v>
      </c>
      <c r="O324" s="55">
        <v>418128</v>
      </c>
      <c r="P324" s="55">
        <v>588</v>
      </c>
      <c r="Q324" s="55">
        <v>419071</v>
      </c>
      <c r="R324" s="55">
        <v>943</v>
      </c>
      <c r="S324" s="90">
        <f t="shared" si="5"/>
        <v>4207</v>
      </c>
      <c r="T324" s="89">
        <v>46204</v>
      </c>
      <c r="U324" s="14"/>
      <c r="V324" s="108" t="s">
        <v>2375</v>
      </c>
      <c r="W324" s="105" t="str">
        <f>VLOOKUP(C324,'Status oficina'!$A$2:$C$208,3,FALSE)</f>
        <v>Activa</v>
      </c>
    </row>
    <row r="325" spans="1:23" ht="13.5" customHeight="1" x14ac:dyDescent="0.25">
      <c r="A325" s="14" t="s">
        <v>939</v>
      </c>
      <c r="B325" s="14" t="s">
        <v>1035</v>
      </c>
      <c r="C325" s="120">
        <v>9510</v>
      </c>
      <c r="D325" s="14" t="s">
        <v>1039</v>
      </c>
      <c r="E325" s="14" t="s">
        <v>417</v>
      </c>
      <c r="F325" s="13" t="s">
        <v>1452</v>
      </c>
      <c r="G325" s="14" t="s">
        <v>389</v>
      </c>
      <c r="H325" s="55">
        <v>228920</v>
      </c>
      <c r="I325" s="55">
        <v>229001</v>
      </c>
      <c r="J325" s="55">
        <v>81</v>
      </c>
      <c r="K325" s="55">
        <v>229332</v>
      </c>
      <c r="L325" s="55">
        <v>331</v>
      </c>
      <c r="M325" s="55">
        <v>229930</v>
      </c>
      <c r="N325" s="55">
        <v>598</v>
      </c>
      <c r="O325" s="55">
        <v>230500</v>
      </c>
      <c r="P325" s="55">
        <v>570</v>
      </c>
      <c r="Q325" s="55">
        <v>230750</v>
      </c>
      <c r="R325" s="55">
        <v>250</v>
      </c>
      <c r="S325" s="90">
        <f t="shared" si="5"/>
        <v>1830</v>
      </c>
      <c r="T325" s="89">
        <v>46204</v>
      </c>
      <c r="U325" s="14"/>
      <c r="V325" s="108" t="s">
        <v>2375</v>
      </c>
      <c r="W325" s="105" t="str">
        <f>VLOOKUP(C325,'Status oficina'!$A$2:$C$208,3,FALSE)</f>
        <v>Activa</v>
      </c>
    </row>
    <row r="326" spans="1:23" ht="13.5" customHeight="1" x14ac:dyDescent="0.25">
      <c r="A326" s="14" t="s">
        <v>939</v>
      </c>
      <c r="B326" s="14" t="s">
        <v>949</v>
      </c>
      <c r="C326" s="120">
        <v>9560</v>
      </c>
      <c r="D326" s="14" t="s">
        <v>953</v>
      </c>
      <c r="E326" s="14" t="s">
        <v>417</v>
      </c>
      <c r="F326" s="13" t="s">
        <v>1423</v>
      </c>
      <c r="G326" s="14" t="s">
        <v>189</v>
      </c>
      <c r="H326" s="55">
        <v>691841</v>
      </c>
      <c r="I326" s="55">
        <v>692803</v>
      </c>
      <c r="J326" s="55">
        <v>962</v>
      </c>
      <c r="K326" s="55">
        <v>694667</v>
      </c>
      <c r="L326" s="55">
        <v>1864</v>
      </c>
      <c r="M326" s="55">
        <v>696381</v>
      </c>
      <c r="N326" s="55">
        <v>1714</v>
      </c>
      <c r="O326" s="55">
        <v>697695</v>
      </c>
      <c r="P326" s="55">
        <v>1314</v>
      </c>
      <c r="Q326" s="55">
        <v>699364</v>
      </c>
      <c r="R326" s="55">
        <v>1669</v>
      </c>
      <c r="S326" s="90">
        <f t="shared" si="5"/>
        <v>7523</v>
      </c>
      <c r="T326" s="89">
        <v>46204</v>
      </c>
      <c r="U326" s="14"/>
      <c r="V326" s="105" t="s">
        <v>2375</v>
      </c>
      <c r="W326" s="105" t="s">
        <v>2228</v>
      </c>
    </row>
    <row r="327" spans="1:23" ht="13.5" customHeight="1" x14ac:dyDescent="0.25">
      <c r="C327" s="7"/>
    </row>
    <row r="329" spans="1:23" ht="13.5" customHeight="1" x14ac:dyDescent="0.25">
      <c r="G329" s="14"/>
    </row>
  </sheetData>
  <autoFilter ref="A1:W326"/>
  <sortState ref="A402:BG437">
    <sortCondition ref="B2:B438"/>
  </sortState>
  <conditionalFormatting sqref="F208">
    <cfRule type="duplicateValues" dxfId="727" priority="1661"/>
    <cfRule type="duplicateValues" dxfId="726" priority="1662"/>
  </conditionalFormatting>
  <conditionalFormatting sqref="F208">
    <cfRule type="duplicateValues" dxfId="725" priority="1663"/>
  </conditionalFormatting>
  <conditionalFormatting sqref="F97">
    <cfRule type="duplicateValues" dxfId="724" priority="1655"/>
    <cfRule type="duplicateValues" dxfId="723" priority="1656"/>
  </conditionalFormatting>
  <conditionalFormatting sqref="F97">
    <cfRule type="duplicateValues" dxfId="722" priority="1657"/>
  </conditionalFormatting>
  <conditionalFormatting sqref="H2:T326">
    <cfRule type="cellIs" dxfId="721" priority="1654" operator="equal">
      <formula>0</formula>
    </cfRule>
  </conditionalFormatting>
  <conditionalFormatting sqref="F132">
    <cfRule type="duplicateValues" dxfId="720" priority="1640"/>
    <cfRule type="duplicateValues" dxfId="719" priority="1641"/>
  </conditionalFormatting>
  <conditionalFormatting sqref="F132">
    <cfRule type="duplicateValues" dxfId="718" priority="1642"/>
  </conditionalFormatting>
  <conditionalFormatting sqref="F28">
    <cfRule type="duplicateValues" dxfId="717" priority="1635"/>
    <cfRule type="duplicateValues" dxfId="716" priority="1636"/>
  </conditionalFormatting>
  <conditionalFormatting sqref="F28">
    <cfRule type="duplicateValues" dxfId="715" priority="1637"/>
  </conditionalFormatting>
  <conditionalFormatting sqref="F302">
    <cfRule type="duplicateValues" dxfId="714" priority="1625"/>
    <cfRule type="duplicateValues" dxfId="713" priority="1626"/>
  </conditionalFormatting>
  <conditionalFormatting sqref="F302">
    <cfRule type="duplicateValues" dxfId="712" priority="1627"/>
  </conditionalFormatting>
  <conditionalFormatting sqref="F183">
    <cfRule type="duplicateValues" dxfId="711" priority="1581"/>
    <cfRule type="duplicateValues" dxfId="710" priority="1582"/>
  </conditionalFormatting>
  <conditionalFormatting sqref="F183">
    <cfRule type="duplicateValues" dxfId="709" priority="1583"/>
  </conditionalFormatting>
  <conditionalFormatting sqref="F186">
    <cfRule type="duplicateValues" dxfId="708" priority="1577"/>
    <cfRule type="duplicateValues" dxfId="707" priority="1578"/>
  </conditionalFormatting>
  <conditionalFormatting sqref="F186">
    <cfRule type="duplicateValues" dxfId="706" priority="1579"/>
  </conditionalFormatting>
  <conditionalFormatting sqref="F323">
    <cfRule type="duplicateValues" dxfId="705" priority="1479"/>
  </conditionalFormatting>
  <conditionalFormatting sqref="F323">
    <cfRule type="duplicateValues" dxfId="704" priority="1476"/>
  </conditionalFormatting>
  <conditionalFormatting sqref="F323">
    <cfRule type="duplicateValues" dxfId="703" priority="1477"/>
    <cfRule type="duplicateValues" dxfId="702" priority="1478"/>
  </conditionalFormatting>
  <conditionalFormatting sqref="F263">
    <cfRule type="duplicateValues" dxfId="701" priority="1464"/>
  </conditionalFormatting>
  <conditionalFormatting sqref="F263">
    <cfRule type="duplicateValues" dxfId="700" priority="1465"/>
    <cfRule type="duplicateValues" dxfId="699" priority="1466"/>
  </conditionalFormatting>
  <conditionalFormatting sqref="F1">
    <cfRule type="duplicateValues" dxfId="698" priority="1100"/>
  </conditionalFormatting>
  <conditionalFormatting sqref="F324">
    <cfRule type="duplicateValues" dxfId="697" priority="397"/>
  </conditionalFormatting>
  <conditionalFormatting sqref="F324">
    <cfRule type="duplicateValues" dxfId="696" priority="394"/>
  </conditionalFormatting>
  <conditionalFormatting sqref="F324">
    <cfRule type="duplicateValues" dxfId="695" priority="395"/>
    <cfRule type="duplicateValues" dxfId="694" priority="396"/>
  </conditionalFormatting>
  <conditionalFormatting sqref="F325:F326">
    <cfRule type="duplicateValues" dxfId="693" priority="391"/>
  </conditionalFormatting>
  <conditionalFormatting sqref="F325:F326">
    <cfRule type="duplicateValues" dxfId="692" priority="388"/>
  </conditionalFormatting>
  <conditionalFormatting sqref="F325:F326">
    <cfRule type="duplicateValues" dxfId="691" priority="389"/>
    <cfRule type="duplicateValues" dxfId="690" priority="390"/>
  </conditionalFormatting>
  <conditionalFormatting sqref="F188">
    <cfRule type="duplicateValues" dxfId="689" priority="178"/>
    <cfRule type="duplicateValues" dxfId="688" priority="179"/>
  </conditionalFormatting>
  <conditionalFormatting sqref="F188">
    <cfRule type="duplicateValues" dxfId="687" priority="180"/>
  </conditionalFormatting>
  <conditionalFormatting sqref="F188">
    <cfRule type="duplicateValues" dxfId="686" priority="181"/>
  </conditionalFormatting>
  <conditionalFormatting sqref="F303:F322 F218:F230 F2:F3 F184:F185 F187 F209:F216 F264:F301 F232:F262 F10:F27 F133:F182 F29:F51 F189:F207 F98:F131 F53:F96">
    <cfRule type="duplicateValues" dxfId="685" priority="1895"/>
    <cfRule type="duplicateValues" dxfId="684" priority="1896"/>
  </conditionalFormatting>
  <conditionalFormatting sqref="F303:F322 F218:F230 F2:F3 F184:F185 F187 F209:F216 F264:F301 F232:F262 F10:F27 F133:F182 F29:F51 F189:F207 F98:F131 F53:F96">
    <cfRule type="duplicateValues" dxfId="683" priority="1925"/>
  </conditionalFormatting>
  <conditionalFormatting sqref="F52">
    <cfRule type="duplicateValues" dxfId="682" priority="73"/>
    <cfRule type="duplicateValues" dxfId="681" priority="74"/>
  </conditionalFormatting>
  <conditionalFormatting sqref="F52">
    <cfRule type="duplicateValues" dxfId="680" priority="75"/>
  </conditionalFormatting>
  <conditionalFormatting sqref="F52">
    <cfRule type="duplicateValues" dxfId="679" priority="76"/>
  </conditionalFormatting>
  <conditionalFormatting sqref="F264:F322 F184:F185 F2:F3 F232:F262 F187 F10:F51 F189:F230 F53:F182">
    <cfRule type="duplicateValues" dxfId="678" priority="1988"/>
  </conditionalFormatting>
  <conditionalFormatting sqref="F4:F9">
    <cfRule type="duplicateValues" dxfId="677" priority="1991"/>
  </conditionalFormatting>
  <conditionalFormatting sqref="F4:F9">
    <cfRule type="duplicateValues" dxfId="676" priority="1993"/>
    <cfRule type="duplicateValues" dxfId="675" priority="1994"/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249"/>
  <sheetViews>
    <sheetView topLeftCell="A217" workbookViewId="0">
      <selection activeCell="F233" sqref="F233"/>
    </sheetView>
  </sheetViews>
  <sheetFormatPr baseColWidth="10" defaultRowHeight="15" x14ac:dyDescent="0.25"/>
  <cols>
    <col min="3" max="3" width="11.85546875" bestFit="1" customWidth="1"/>
  </cols>
  <sheetData>
    <row r="1" spans="1:3" ht="15.75" x14ac:dyDescent="0.25">
      <c r="A1" s="98" t="s">
        <v>409</v>
      </c>
      <c r="B1" s="112" t="s">
        <v>409</v>
      </c>
    </row>
    <row r="2" spans="1:3" x14ac:dyDescent="0.25">
      <c r="A2" s="14" t="s">
        <v>1218</v>
      </c>
      <c r="B2" s="113" t="s">
        <v>1218</v>
      </c>
      <c r="C2" t="b">
        <f>IF(A2=B2,TRUE,FALSE)</f>
        <v>1</v>
      </c>
    </row>
    <row r="3" spans="1:3" x14ac:dyDescent="0.25">
      <c r="A3" s="14" t="s">
        <v>1028</v>
      </c>
      <c r="B3" s="113" t="s">
        <v>1028</v>
      </c>
      <c r="C3" s="3" t="b">
        <f t="shared" ref="C3:C66" si="0">IF(A3=B3,TRUE,FALSE)</f>
        <v>1</v>
      </c>
    </row>
    <row r="4" spans="1:3" x14ac:dyDescent="0.25">
      <c r="A4" s="53" t="s">
        <v>1074</v>
      </c>
      <c r="B4" s="113" t="s">
        <v>1074</v>
      </c>
      <c r="C4" s="3" t="b">
        <f t="shared" si="0"/>
        <v>1</v>
      </c>
    </row>
    <row r="5" spans="1:3" x14ac:dyDescent="0.25">
      <c r="A5" s="14" t="s">
        <v>1200</v>
      </c>
      <c r="B5" s="113" t="s">
        <v>1200</v>
      </c>
      <c r="C5" s="3" t="b">
        <f t="shared" si="0"/>
        <v>1</v>
      </c>
    </row>
    <row r="6" spans="1:3" x14ac:dyDescent="0.25">
      <c r="A6" s="14" t="s">
        <v>986</v>
      </c>
      <c r="B6" s="113" t="s">
        <v>986</v>
      </c>
      <c r="C6" s="3" t="b">
        <f t="shared" si="0"/>
        <v>1</v>
      </c>
    </row>
    <row r="7" spans="1:3" x14ac:dyDescent="0.25">
      <c r="A7" s="14" t="s">
        <v>1217</v>
      </c>
      <c r="B7" s="113" t="s">
        <v>1217</v>
      </c>
      <c r="C7" s="3" t="b">
        <f t="shared" si="0"/>
        <v>1</v>
      </c>
    </row>
    <row r="8" spans="1:3" x14ac:dyDescent="0.25">
      <c r="A8" s="14" t="s">
        <v>1135</v>
      </c>
      <c r="B8" s="113" t="s">
        <v>1135</v>
      </c>
      <c r="C8" s="3" t="b">
        <f t="shared" si="0"/>
        <v>1</v>
      </c>
    </row>
    <row r="9" spans="1:3" x14ac:dyDescent="0.25">
      <c r="A9" s="14" t="s">
        <v>1993</v>
      </c>
      <c r="B9" s="113" t="s">
        <v>1993</v>
      </c>
      <c r="C9" s="3" t="b">
        <f t="shared" si="0"/>
        <v>1</v>
      </c>
    </row>
    <row r="10" spans="1:3" x14ac:dyDescent="0.25">
      <c r="A10" s="14" t="s">
        <v>1075</v>
      </c>
      <c r="B10" s="113" t="s">
        <v>1075</v>
      </c>
      <c r="C10" s="3" t="b">
        <f t="shared" si="0"/>
        <v>1</v>
      </c>
    </row>
    <row r="11" spans="1:3" x14ac:dyDescent="0.25">
      <c r="A11" s="14" t="s">
        <v>1234</v>
      </c>
      <c r="B11" s="113" t="s">
        <v>1234</v>
      </c>
      <c r="C11" s="3" t="b">
        <f t="shared" si="0"/>
        <v>1</v>
      </c>
    </row>
    <row r="12" spans="1:3" x14ac:dyDescent="0.25">
      <c r="A12" s="14" t="s">
        <v>1466</v>
      </c>
      <c r="B12" s="113" t="s">
        <v>1466</v>
      </c>
      <c r="C12" s="3" t="b">
        <f t="shared" si="0"/>
        <v>1</v>
      </c>
    </row>
    <row r="13" spans="1:3" x14ac:dyDescent="0.25">
      <c r="A13" s="14" t="s">
        <v>1215</v>
      </c>
      <c r="B13" s="113" t="s">
        <v>1215</v>
      </c>
      <c r="C13" s="3" t="b">
        <f t="shared" si="0"/>
        <v>1</v>
      </c>
    </row>
    <row r="14" spans="1:3" x14ac:dyDescent="0.25">
      <c r="A14" s="14" t="s">
        <v>2212</v>
      </c>
      <c r="B14" s="113" t="s">
        <v>2212</v>
      </c>
      <c r="C14" s="3" t="b">
        <f t="shared" si="0"/>
        <v>1</v>
      </c>
    </row>
    <row r="15" spans="1:3" x14ac:dyDescent="0.25">
      <c r="A15" s="14" t="s">
        <v>656</v>
      </c>
      <c r="B15" s="113" t="s">
        <v>656</v>
      </c>
      <c r="C15" s="3" t="b">
        <f t="shared" si="0"/>
        <v>1</v>
      </c>
    </row>
    <row r="16" spans="1:3" x14ac:dyDescent="0.25">
      <c r="A16" s="53" t="s">
        <v>1064</v>
      </c>
      <c r="B16" s="113" t="s">
        <v>1064</v>
      </c>
      <c r="C16" s="3" t="b">
        <f t="shared" si="0"/>
        <v>1</v>
      </c>
    </row>
    <row r="17" spans="1:3" x14ac:dyDescent="0.25">
      <c r="A17" s="14" t="s">
        <v>1072</v>
      </c>
      <c r="B17" s="113" t="s">
        <v>1072</v>
      </c>
      <c r="C17" s="3" t="b">
        <f t="shared" si="0"/>
        <v>1</v>
      </c>
    </row>
    <row r="18" spans="1:3" x14ac:dyDescent="0.25">
      <c r="A18" s="14" t="s">
        <v>1079</v>
      </c>
      <c r="B18" s="113" t="s">
        <v>1079</v>
      </c>
      <c r="C18" s="3" t="b">
        <f t="shared" si="0"/>
        <v>1</v>
      </c>
    </row>
    <row r="19" spans="1:3" x14ac:dyDescent="0.25">
      <c r="A19" s="14" t="s">
        <v>1081</v>
      </c>
      <c r="B19" s="113" t="s">
        <v>1081</v>
      </c>
      <c r="C19" s="3" t="b">
        <f t="shared" si="0"/>
        <v>1</v>
      </c>
    </row>
    <row r="20" spans="1:3" x14ac:dyDescent="0.25">
      <c r="A20" s="14" t="s">
        <v>1114</v>
      </c>
      <c r="B20" s="113" t="s">
        <v>1114</v>
      </c>
      <c r="C20" s="3" t="b">
        <f t="shared" si="0"/>
        <v>1</v>
      </c>
    </row>
    <row r="21" spans="1:3" x14ac:dyDescent="0.25">
      <c r="A21" s="14" t="s">
        <v>1130</v>
      </c>
      <c r="B21" s="113" t="s">
        <v>1130</v>
      </c>
      <c r="C21" s="3" t="b">
        <f t="shared" si="0"/>
        <v>1</v>
      </c>
    </row>
    <row r="22" spans="1:3" x14ac:dyDescent="0.25">
      <c r="A22" s="14" t="s">
        <v>1109</v>
      </c>
      <c r="B22" s="113" t="s">
        <v>1109</v>
      </c>
      <c r="C22" s="3" t="b">
        <f t="shared" si="0"/>
        <v>1</v>
      </c>
    </row>
    <row r="23" spans="1:3" x14ac:dyDescent="0.25">
      <c r="A23" s="14" t="s">
        <v>1303</v>
      </c>
      <c r="B23" s="113" t="s">
        <v>1303</v>
      </c>
      <c r="C23" s="3" t="b">
        <f t="shared" si="0"/>
        <v>1</v>
      </c>
    </row>
    <row r="24" spans="1:3" x14ac:dyDescent="0.25">
      <c r="A24" s="14" t="s">
        <v>1103</v>
      </c>
      <c r="B24" s="113" t="s">
        <v>1103</v>
      </c>
      <c r="C24" s="3" t="b">
        <f t="shared" si="0"/>
        <v>1</v>
      </c>
    </row>
    <row r="25" spans="1:3" x14ac:dyDescent="0.25">
      <c r="A25" s="14" t="s">
        <v>1292</v>
      </c>
      <c r="B25" s="113" t="s">
        <v>1292</v>
      </c>
      <c r="C25" s="3" t="b">
        <f t="shared" si="0"/>
        <v>1</v>
      </c>
    </row>
    <row r="26" spans="1:3" x14ac:dyDescent="0.25">
      <c r="A26" s="14" t="s">
        <v>1335</v>
      </c>
      <c r="B26" s="113" t="s">
        <v>1335</v>
      </c>
      <c r="C26" s="3" t="b">
        <f t="shared" si="0"/>
        <v>1</v>
      </c>
    </row>
    <row r="27" spans="1:3" x14ac:dyDescent="0.25">
      <c r="A27" s="14" t="s">
        <v>1251</v>
      </c>
      <c r="B27" s="113" t="s">
        <v>1251</v>
      </c>
      <c r="C27" s="3" t="b">
        <f t="shared" si="0"/>
        <v>1</v>
      </c>
    </row>
    <row r="28" spans="1:3" x14ac:dyDescent="0.25">
      <c r="A28" s="14" t="s">
        <v>1424</v>
      </c>
      <c r="B28" s="113" t="s">
        <v>1424</v>
      </c>
      <c r="C28" s="3" t="b">
        <f t="shared" si="0"/>
        <v>1</v>
      </c>
    </row>
    <row r="29" spans="1:3" x14ac:dyDescent="0.25">
      <c r="A29" s="14" t="s">
        <v>1125</v>
      </c>
      <c r="B29" s="113" t="s">
        <v>1125</v>
      </c>
      <c r="C29" s="3" t="b">
        <f t="shared" si="0"/>
        <v>1</v>
      </c>
    </row>
    <row r="30" spans="1:3" x14ac:dyDescent="0.25">
      <c r="A30" s="14" t="s">
        <v>602</v>
      </c>
      <c r="B30" s="113" t="s">
        <v>602</v>
      </c>
      <c r="C30" s="3" t="b">
        <f t="shared" si="0"/>
        <v>1</v>
      </c>
    </row>
    <row r="31" spans="1:3" x14ac:dyDescent="0.25">
      <c r="A31" s="54" t="s">
        <v>1187</v>
      </c>
      <c r="B31" s="113" t="s">
        <v>1187</v>
      </c>
      <c r="C31" s="3" t="b">
        <f t="shared" si="0"/>
        <v>1</v>
      </c>
    </row>
    <row r="32" spans="1:3" x14ac:dyDescent="0.25">
      <c r="A32" s="14" t="s">
        <v>1297</v>
      </c>
      <c r="B32" s="113" t="s">
        <v>1297</v>
      </c>
      <c r="C32" s="3" t="b">
        <f t="shared" si="0"/>
        <v>1</v>
      </c>
    </row>
    <row r="33" spans="1:3" x14ac:dyDescent="0.25">
      <c r="A33" s="14" t="s">
        <v>1263</v>
      </c>
      <c r="B33" s="113" t="s">
        <v>1263</v>
      </c>
      <c r="C33" s="3" t="b">
        <f t="shared" si="0"/>
        <v>1</v>
      </c>
    </row>
    <row r="34" spans="1:3" x14ac:dyDescent="0.25">
      <c r="A34" s="14" t="s">
        <v>1300</v>
      </c>
      <c r="B34" s="113" t="s">
        <v>1300</v>
      </c>
      <c r="C34" s="3" t="b">
        <f t="shared" si="0"/>
        <v>1</v>
      </c>
    </row>
    <row r="35" spans="1:3" x14ac:dyDescent="0.25">
      <c r="A35" s="14" t="s">
        <v>1378</v>
      </c>
      <c r="B35" s="113" t="s">
        <v>1378</v>
      </c>
      <c r="C35" s="3" t="b">
        <f t="shared" si="0"/>
        <v>1</v>
      </c>
    </row>
    <row r="36" spans="1:3" x14ac:dyDescent="0.25">
      <c r="A36" s="14" t="s">
        <v>1414</v>
      </c>
      <c r="B36" s="113" t="s">
        <v>1414</v>
      </c>
      <c r="C36" s="3" t="b">
        <f t="shared" si="0"/>
        <v>1</v>
      </c>
    </row>
    <row r="37" spans="1:3" x14ac:dyDescent="0.25">
      <c r="A37" s="14" t="s">
        <v>1352</v>
      </c>
      <c r="B37" s="113" t="s">
        <v>1352</v>
      </c>
      <c r="C37" s="3" t="b">
        <f t="shared" si="0"/>
        <v>1</v>
      </c>
    </row>
    <row r="38" spans="1:3" x14ac:dyDescent="0.25">
      <c r="A38" s="14" t="s">
        <v>1369</v>
      </c>
      <c r="B38" s="113" t="s">
        <v>1369</v>
      </c>
      <c r="C38" s="3" t="b">
        <f t="shared" si="0"/>
        <v>1</v>
      </c>
    </row>
    <row r="39" spans="1:3" x14ac:dyDescent="0.25">
      <c r="A39" s="53" t="s">
        <v>1091</v>
      </c>
      <c r="B39" s="113" t="s">
        <v>1091</v>
      </c>
      <c r="C39" s="3" t="b">
        <f t="shared" si="0"/>
        <v>1</v>
      </c>
    </row>
    <row r="40" spans="1:3" x14ac:dyDescent="0.25">
      <c r="A40" s="14" t="s">
        <v>1121</v>
      </c>
      <c r="B40" s="113" t="s">
        <v>1121</v>
      </c>
      <c r="C40" s="3" t="b">
        <f t="shared" si="0"/>
        <v>1</v>
      </c>
    </row>
    <row r="41" spans="1:3" x14ac:dyDescent="0.25">
      <c r="A41" s="14" t="s">
        <v>1990</v>
      </c>
      <c r="B41" s="113" t="s">
        <v>1990</v>
      </c>
      <c r="C41" s="3" t="b">
        <f t="shared" si="0"/>
        <v>1</v>
      </c>
    </row>
    <row r="42" spans="1:3" x14ac:dyDescent="0.25">
      <c r="A42" s="14" t="s">
        <v>1350</v>
      </c>
      <c r="B42" s="113" t="s">
        <v>1350</v>
      </c>
      <c r="C42" s="3" t="b">
        <f t="shared" si="0"/>
        <v>1</v>
      </c>
    </row>
    <row r="43" spans="1:3" x14ac:dyDescent="0.25">
      <c r="A43" s="14" t="s">
        <v>1380</v>
      </c>
      <c r="B43" s="113" t="s">
        <v>1380</v>
      </c>
      <c r="C43" s="3" t="b">
        <f t="shared" si="0"/>
        <v>1</v>
      </c>
    </row>
    <row r="44" spans="1:3" x14ac:dyDescent="0.25">
      <c r="A44" s="14" t="s">
        <v>1357</v>
      </c>
      <c r="B44" s="113" t="s">
        <v>1357</v>
      </c>
      <c r="C44" s="3" t="b">
        <f t="shared" si="0"/>
        <v>1</v>
      </c>
    </row>
    <row r="45" spans="1:3" x14ac:dyDescent="0.25">
      <c r="A45" s="14" t="s">
        <v>1202</v>
      </c>
      <c r="B45" s="113" t="s">
        <v>1202</v>
      </c>
      <c r="C45" s="3" t="b">
        <f t="shared" si="0"/>
        <v>1</v>
      </c>
    </row>
    <row r="46" spans="1:3" x14ac:dyDescent="0.25">
      <c r="A46" s="14" t="s">
        <v>1290</v>
      </c>
      <c r="B46" s="113" t="s">
        <v>1290</v>
      </c>
      <c r="C46" s="3" t="b">
        <f t="shared" si="0"/>
        <v>1</v>
      </c>
    </row>
    <row r="47" spans="1:3" x14ac:dyDescent="0.25">
      <c r="A47" s="14" t="s">
        <v>1340</v>
      </c>
      <c r="B47" s="113" t="s">
        <v>1340</v>
      </c>
      <c r="C47" s="3" t="b">
        <f t="shared" si="0"/>
        <v>1</v>
      </c>
    </row>
    <row r="48" spans="1:3" x14ac:dyDescent="0.25">
      <c r="A48" s="14" t="s">
        <v>1192</v>
      </c>
      <c r="B48" s="113" t="s">
        <v>1192</v>
      </c>
      <c r="C48" s="3" t="b">
        <f t="shared" si="0"/>
        <v>1</v>
      </c>
    </row>
    <row r="49" spans="1:3" x14ac:dyDescent="0.25">
      <c r="A49" s="14" t="s">
        <v>1396</v>
      </c>
      <c r="B49" s="113" t="s">
        <v>1396</v>
      </c>
      <c r="C49" s="3" t="b">
        <f t="shared" si="0"/>
        <v>1</v>
      </c>
    </row>
    <row r="50" spans="1:3" x14ac:dyDescent="0.25">
      <c r="A50" s="14" t="s">
        <v>1427</v>
      </c>
      <c r="B50" s="113" t="s">
        <v>1427</v>
      </c>
      <c r="C50" s="3" t="b">
        <f t="shared" si="0"/>
        <v>1</v>
      </c>
    </row>
    <row r="51" spans="1:3" x14ac:dyDescent="0.25">
      <c r="A51" s="14" t="s">
        <v>754</v>
      </c>
      <c r="B51" s="113" t="s">
        <v>754</v>
      </c>
      <c r="C51" s="3" t="b">
        <f t="shared" si="0"/>
        <v>1</v>
      </c>
    </row>
    <row r="52" spans="1:3" x14ac:dyDescent="0.25">
      <c r="A52" s="54" t="s">
        <v>1422</v>
      </c>
      <c r="B52" s="113" t="s">
        <v>1422</v>
      </c>
      <c r="C52" s="3" t="b">
        <f t="shared" si="0"/>
        <v>1</v>
      </c>
    </row>
    <row r="53" spans="1:3" x14ac:dyDescent="0.25">
      <c r="A53" s="14" t="s">
        <v>1273</v>
      </c>
      <c r="B53" s="113" t="s">
        <v>1273</v>
      </c>
      <c r="C53" s="3" t="b">
        <f t="shared" si="0"/>
        <v>1</v>
      </c>
    </row>
    <row r="54" spans="1:3" x14ac:dyDescent="0.25">
      <c r="A54" s="14" t="s">
        <v>1404</v>
      </c>
      <c r="B54" s="113" t="s">
        <v>1404</v>
      </c>
      <c r="C54" s="3" t="b">
        <f t="shared" si="0"/>
        <v>1</v>
      </c>
    </row>
    <row r="55" spans="1:3" x14ac:dyDescent="0.25">
      <c r="A55" s="14" t="s">
        <v>1318</v>
      </c>
      <c r="B55" s="113" t="s">
        <v>1318</v>
      </c>
      <c r="C55" s="3" t="b">
        <f t="shared" si="0"/>
        <v>1</v>
      </c>
    </row>
    <row r="56" spans="1:3" x14ac:dyDescent="0.25">
      <c r="A56" s="14" t="s">
        <v>1260</v>
      </c>
      <c r="B56" s="113" t="s">
        <v>1260</v>
      </c>
      <c r="C56" s="3" t="b">
        <f t="shared" si="0"/>
        <v>1</v>
      </c>
    </row>
    <row r="57" spans="1:3" x14ac:dyDescent="0.25">
      <c r="A57" s="14" t="s">
        <v>1242</v>
      </c>
      <c r="B57" s="113" t="s">
        <v>1242</v>
      </c>
      <c r="C57" s="3" t="b">
        <f t="shared" si="0"/>
        <v>1</v>
      </c>
    </row>
    <row r="58" spans="1:3" x14ac:dyDescent="0.25">
      <c r="A58" s="14" t="s">
        <v>1339</v>
      </c>
      <c r="B58" s="113" t="s">
        <v>1339</v>
      </c>
      <c r="C58" s="3" t="b">
        <f t="shared" si="0"/>
        <v>1</v>
      </c>
    </row>
    <row r="59" spans="1:3" x14ac:dyDescent="0.25">
      <c r="A59" s="14" t="s">
        <v>1276</v>
      </c>
      <c r="B59" s="113" t="s">
        <v>1276</v>
      </c>
      <c r="C59" s="3" t="b">
        <f t="shared" si="0"/>
        <v>1</v>
      </c>
    </row>
    <row r="60" spans="1:3" x14ac:dyDescent="0.25">
      <c r="A60" s="54" t="s">
        <v>549</v>
      </c>
      <c r="B60" s="113" t="s">
        <v>549</v>
      </c>
      <c r="C60" s="3" t="b">
        <f t="shared" si="0"/>
        <v>1</v>
      </c>
    </row>
    <row r="61" spans="1:3" x14ac:dyDescent="0.25">
      <c r="A61" s="14" t="s">
        <v>1334</v>
      </c>
      <c r="B61" s="113" t="s">
        <v>1334</v>
      </c>
      <c r="C61" s="3" t="b">
        <f t="shared" si="0"/>
        <v>1</v>
      </c>
    </row>
    <row r="62" spans="1:3" x14ac:dyDescent="0.25">
      <c r="A62" s="14" t="s">
        <v>1385</v>
      </c>
      <c r="B62" s="113" t="s">
        <v>1385</v>
      </c>
      <c r="C62" s="3" t="b">
        <f t="shared" si="0"/>
        <v>1</v>
      </c>
    </row>
    <row r="63" spans="1:3" x14ac:dyDescent="0.25">
      <c r="A63" s="54" t="s">
        <v>1146</v>
      </c>
      <c r="B63" s="113" t="s">
        <v>1146</v>
      </c>
      <c r="C63" s="3" t="b">
        <f t="shared" si="0"/>
        <v>1</v>
      </c>
    </row>
    <row r="64" spans="1:3" x14ac:dyDescent="0.25">
      <c r="A64" s="14" t="s">
        <v>1324</v>
      </c>
      <c r="B64" s="113" t="s">
        <v>1324</v>
      </c>
      <c r="C64" s="3" t="b">
        <f t="shared" si="0"/>
        <v>1</v>
      </c>
    </row>
    <row r="65" spans="1:3" x14ac:dyDescent="0.25">
      <c r="A65" s="14" t="s">
        <v>1197</v>
      </c>
      <c r="B65" s="113" t="s">
        <v>1197</v>
      </c>
      <c r="C65" s="3" t="b">
        <f t="shared" si="0"/>
        <v>1</v>
      </c>
    </row>
    <row r="66" spans="1:3" x14ac:dyDescent="0.25">
      <c r="A66" s="54" t="s">
        <v>1151</v>
      </c>
      <c r="B66" s="113" t="s">
        <v>1151</v>
      </c>
      <c r="C66" s="3" t="b">
        <f t="shared" si="0"/>
        <v>1</v>
      </c>
    </row>
    <row r="67" spans="1:3" x14ac:dyDescent="0.25">
      <c r="A67" s="14" t="s">
        <v>1170</v>
      </c>
      <c r="B67" s="113" t="s">
        <v>1170</v>
      </c>
      <c r="C67" s="3" t="b">
        <f t="shared" ref="C67:C130" si="1">IF(A67=B67,TRUE,FALSE)</f>
        <v>1</v>
      </c>
    </row>
    <row r="68" spans="1:3" x14ac:dyDescent="0.25">
      <c r="A68" s="14" t="s">
        <v>1174</v>
      </c>
      <c r="B68" s="113" t="s">
        <v>1174</v>
      </c>
      <c r="C68" s="3" t="b">
        <f t="shared" si="1"/>
        <v>1</v>
      </c>
    </row>
    <row r="69" spans="1:3" x14ac:dyDescent="0.25">
      <c r="A69" s="54" t="s">
        <v>1148</v>
      </c>
      <c r="B69" s="113" t="s">
        <v>1148</v>
      </c>
      <c r="C69" s="3" t="b">
        <f t="shared" si="1"/>
        <v>1</v>
      </c>
    </row>
    <row r="70" spans="1:3" x14ac:dyDescent="0.25">
      <c r="A70" s="14" t="s">
        <v>1345</v>
      </c>
      <c r="B70" s="113" t="s">
        <v>1345</v>
      </c>
      <c r="C70" s="3" t="b">
        <f t="shared" si="1"/>
        <v>1</v>
      </c>
    </row>
    <row r="71" spans="1:3" x14ac:dyDescent="0.25">
      <c r="A71" s="14" t="s">
        <v>1304</v>
      </c>
      <c r="B71" s="113" t="s">
        <v>1304</v>
      </c>
      <c r="C71" s="3" t="b">
        <f t="shared" si="1"/>
        <v>1</v>
      </c>
    </row>
    <row r="72" spans="1:3" x14ac:dyDescent="0.25">
      <c r="A72" s="14" t="s">
        <v>1391</v>
      </c>
      <c r="B72" s="113" t="s">
        <v>1391</v>
      </c>
      <c r="C72" s="3" t="b">
        <f t="shared" si="1"/>
        <v>1</v>
      </c>
    </row>
    <row r="73" spans="1:3" x14ac:dyDescent="0.25">
      <c r="A73" s="14" t="s">
        <v>820</v>
      </c>
      <c r="B73" s="113" t="s">
        <v>820</v>
      </c>
      <c r="C73" s="3" t="b">
        <f t="shared" si="1"/>
        <v>1</v>
      </c>
    </row>
    <row r="74" spans="1:3" x14ac:dyDescent="0.25">
      <c r="A74" s="14" t="s">
        <v>1991</v>
      </c>
      <c r="B74" s="113" t="s">
        <v>1991</v>
      </c>
      <c r="C74" s="3" t="b">
        <f t="shared" si="1"/>
        <v>1</v>
      </c>
    </row>
    <row r="75" spans="1:3" x14ac:dyDescent="0.25">
      <c r="A75" s="14" t="s">
        <v>1313</v>
      </c>
      <c r="B75" s="113" t="s">
        <v>1313</v>
      </c>
      <c r="C75" s="3" t="b">
        <f t="shared" si="1"/>
        <v>1</v>
      </c>
    </row>
    <row r="76" spans="1:3" x14ac:dyDescent="0.25">
      <c r="A76" s="14" t="s">
        <v>1288</v>
      </c>
      <c r="B76" s="113" t="s">
        <v>1288</v>
      </c>
      <c r="C76" s="3" t="b">
        <f t="shared" si="1"/>
        <v>1</v>
      </c>
    </row>
    <row r="77" spans="1:3" x14ac:dyDescent="0.25">
      <c r="A77" s="14" t="s">
        <v>1244</v>
      </c>
      <c r="B77" s="113" t="s">
        <v>1244</v>
      </c>
      <c r="C77" s="3" t="b">
        <f t="shared" si="1"/>
        <v>1</v>
      </c>
    </row>
    <row r="78" spans="1:3" x14ac:dyDescent="0.25">
      <c r="A78" s="14" t="s">
        <v>2069</v>
      </c>
      <c r="B78" s="113" t="s">
        <v>2069</v>
      </c>
      <c r="C78" s="3" t="b">
        <f t="shared" si="1"/>
        <v>1</v>
      </c>
    </row>
    <row r="79" spans="1:3" x14ac:dyDescent="0.25">
      <c r="A79" s="14" t="s">
        <v>1298</v>
      </c>
      <c r="B79" s="113" t="s">
        <v>1298</v>
      </c>
      <c r="C79" s="3" t="b">
        <f t="shared" si="1"/>
        <v>1</v>
      </c>
    </row>
    <row r="80" spans="1:3" x14ac:dyDescent="0.25">
      <c r="A80" s="54" t="s">
        <v>1141</v>
      </c>
      <c r="B80" s="113" t="s">
        <v>1141</v>
      </c>
      <c r="C80" s="3" t="b">
        <f t="shared" si="1"/>
        <v>1</v>
      </c>
    </row>
    <row r="81" spans="1:3" x14ac:dyDescent="0.25">
      <c r="A81" s="14" t="s">
        <v>1194</v>
      </c>
      <c r="B81" s="113" t="s">
        <v>1194</v>
      </c>
      <c r="C81" s="3" t="b">
        <f t="shared" si="1"/>
        <v>1</v>
      </c>
    </row>
    <row r="82" spans="1:3" x14ac:dyDescent="0.25">
      <c r="A82" s="14" t="s">
        <v>1185</v>
      </c>
      <c r="B82" s="113" t="s">
        <v>1185</v>
      </c>
      <c r="C82" s="3" t="b">
        <f t="shared" si="1"/>
        <v>1</v>
      </c>
    </row>
    <row r="83" spans="1:3" x14ac:dyDescent="0.25">
      <c r="A83" s="54" t="s">
        <v>1409</v>
      </c>
      <c r="B83" s="113" t="s">
        <v>1409</v>
      </c>
      <c r="C83" s="3" t="b">
        <f t="shared" si="1"/>
        <v>1</v>
      </c>
    </row>
    <row r="84" spans="1:3" x14ac:dyDescent="0.25">
      <c r="A84" s="54" t="s">
        <v>1160</v>
      </c>
      <c r="B84" s="113" t="s">
        <v>1160</v>
      </c>
      <c r="C84" s="3" t="b">
        <f t="shared" si="1"/>
        <v>1</v>
      </c>
    </row>
    <row r="85" spans="1:3" x14ac:dyDescent="0.25">
      <c r="A85" s="14" t="s">
        <v>1240</v>
      </c>
      <c r="B85" s="113" t="s">
        <v>1240</v>
      </c>
      <c r="C85" s="3" t="b">
        <f t="shared" si="1"/>
        <v>1</v>
      </c>
    </row>
    <row r="86" spans="1:3" x14ac:dyDescent="0.25">
      <c r="A86" s="14" t="s">
        <v>1239</v>
      </c>
      <c r="B86" s="113" t="s">
        <v>1239</v>
      </c>
      <c r="C86" s="3" t="b">
        <f t="shared" si="1"/>
        <v>1</v>
      </c>
    </row>
    <row r="87" spans="1:3" x14ac:dyDescent="0.25">
      <c r="A87" s="14" t="s">
        <v>1346</v>
      </c>
      <c r="B87" s="113" t="s">
        <v>1346</v>
      </c>
      <c r="C87" s="3" t="b">
        <f t="shared" si="1"/>
        <v>1</v>
      </c>
    </row>
    <row r="88" spans="1:3" x14ac:dyDescent="0.25">
      <c r="A88" s="14" t="s">
        <v>479</v>
      </c>
      <c r="B88" s="113" t="s">
        <v>479</v>
      </c>
      <c r="C88" s="3" t="b">
        <f t="shared" si="1"/>
        <v>1</v>
      </c>
    </row>
    <row r="89" spans="1:3" x14ac:dyDescent="0.25">
      <c r="A89" s="14" t="s">
        <v>1393</v>
      </c>
      <c r="B89" s="113" t="s">
        <v>1393</v>
      </c>
      <c r="C89" s="3" t="b">
        <f t="shared" si="1"/>
        <v>1</v>
      </c>
    </row>
    <row r="90" spans="1:3" x14ac:dyDescent="0.25">
      <c r="A90" s="14" t="s">
        <v>1397</v>
      </c>
      <c r="B90" s="113" t="s">
        <v>1397</v>
      </c>
      <c r="C90" s="3" t="b">
        <f t="shared" si="1"/>
        <v>1</v>
      </c>
    </row>
    <row r="91" spans="1:3" x14ac:dyDescent="0.25">
      <c r="A91" s="14" t="s">
        <v>1094</v>
      </c>
      <c r="B91" s="113" t="s">
        <v>1094</v>
      </c>
      <c r="C91" s="3" t="b">
        <f t="shared" si="1"/>
        <v>1</v>
      </c>
    </row>
    <row r="92" spans="1:3" x14ac:dyDescent="0.25">
      <c r="A92" s="14" t="s">
        <v>2007</v>
      </c>
      <c r="B92" s="113" t="s">
        <v>2007</v>
      </c>
      <c r="C92" s="3" t="b">
        <f t="shared" si="1"/>
        <v>1</v>
      </c>
    </row>
    <row r="93" spans="1:3" x14ac:dyDescent="0.25">
      <c r="A93" s="14" t="s">
        <v>1434</v>
      </c>
      <c r="B93" s="113" t="s">
        <v>1434</v>
      </c>
      <c r="C93" s="3" t="b">
        <f t="shared" si="1"/>
        <v>1</v>
      </c>
    </row>
    <row r="94" spans="1:3" x14ac:dyDescent="0.25">
      <c r="A94" s="14" t="s">
        <v>2119</v>
      </c>
      <c r="B94" s="113" t="s">
        <v>2119</v>
      </c>
      <c r="C94" s="3" t="b">
        <f t="shared" si="1"/>
        <v>1</v>
      </c>
    </row>
    <row r="95" spans="1:3" x14ac:dyDescent="0.25">
      <c r="A95" s="14" t="s">
        <v>1063</v>
      </c>
      <c r="B95" s="113" t="s">
        <v>1063</v>
      </c>
      <c r="C95" s="3" t="b">
        <f t="shared" si="1"/>
        <v>1</v>
      </c>
    </row>
    <row r="96" spans="1:3" x14ac:dyDescent="0.25">
      <c r="A96" s="14" t="s">
        <v>1425</v>
      </c>
      <c r="B96" s="113" t="s">
        <v>1425</v>
      </c>
      <c r="C96" s="3" t="b">
        <f t="shared" si="1"/>
        <v>1</v>
      </c>
    </row>
    <row r="97" spans="1:3" x14ac:dyDescent="0.25">
      <c r="A97" s="14" t="s">
        <v>1286</v>
      </c>
      <c r="B97" s="113" t="s">
        <v>1286</v>
      </c>
      <c r="C97" s="3" t="b">
        <f t="shared" si="1"/>
        <v>1</v>
      </c>
    </row>
    <row r="98" spans="1:3" x14ac:dyDescent="0.25">
      <c r="A98" s="14" t="s">
        <v>1123</v>
      </c>
      <c r="B98" s="113" t="s">
        <v>1123</v>
      </c>
      <c r="C98" s="3" t="b">
        <f t="shared" si="1"/>
        <v>1</v>
      </c>
    </row>
    <row r="99" spans="1:3" x14ac:dyDescent="0.25">
      <c r="A99" s="14" t="s">
        <v>1443</v>
      </c>
      <c r="B99" s="113" t="s">
        <v>1443</v>
      </c>
      <c r="C99" s="3" t="b">
        <f t="shared" si="1"/>
        <v>1</v>
      </c>
    </row>
    <row r="100" spans="1:3" x14ac:dyDescent="0.25">
      <c r="A100" s="14" t="s">
        <v>1420</v>
      </c>
      <c r="B100" s="113" t="s">
        <v>1420</v>
      </c>
      <c r="C100" s="3" t="b">
        <f t="shared" si="1"/>
        <v>1</v>
      </c>
    </row>
    <row r="101" spans="1:3" x14ac:dyDescent="0.25">
      <c r="A101" s="14" t="s">
        <v>1459</v>
      </c>
      <c r="B101" s="113" t="s">
        <v>1459</v>
      </c>
      <c r="C101" s="3" t="b">
        <f t="shared" si="1"/>
        <v>1</v>
      </c>
    </row>
    <row r="102" spans="1:3" x14ac:dyDescent="0.25">
      <c r="A102" s="14" t="s">
        <v>1974</v>
      </c>
      <c r="B102" s="113" t="s">
        <v>1974</v>
      </c>
      <c r="C102" s="3" t="b">
        <f t="shared" si="1"/>
        <v>1</v>
      </c>
    </row>
    <row r="103" spans="1:3" x14ac:dyDescent="0.25">
      <c r="A103" s="14" t="s">
        <v>1451</v>
      </c>
      <c r="B103" s="113" t="s">
        <v>1437</v>
      </c>
      <c r="C103" s="3" t="b">
        <f t="shared" si="1"/>
        <v>0</v>
      </c>
    </row>
    <row r="104" spans="1:3" x14ac:dyDescent="0.25">
      <c r="A104" s="14" t="s">
        <v>1437</v>
      </c>
      <c r="B104" s="113" t="s">
        <v>1007</v>
      </c>
      <c r="C104" s="3" t="b">
        <f t="shared" si="1"/>
        <v>0</v>
      </c>
    </row>
    <row r="105" spans="1:3" x14ac:dyDescent="0.25">
      <c r="A105" s="54" t="s">
        <v>1007</v>
      </c>
      <c r="B105" s="113" t="s">
        <v>2170</v>
      </c>
      <c r="C105" s="3" t="b">
        <f t="shared" si="1"/>
        <v>0</v>
      </c>
    </row>
    <row r="106" spans="1:3" x14ac:dyDescent="0.25">
      <c r="A106" s="14" t="s">
        <v>2170</v>
      </c>
      <c r="B106" s="113" t="s">
        <v>1102</v>
      </c>
      <c r="C106" s="3" t="b">
        <f t="shared" si="1"/>
        <v>0</v>
      </c>
    </row>
    <row r="107" spans="1:3" x14ac:dyDescent="0.25">
      <c r="A107" s="14" t="s">
        <v>1102</v>
      </c>
      <c r="B107" s="113" t="s">
        <v>1222</v>
      </c>
      <c r="C107" s="3" t="b">
        <f t="shared" si="1"/>
        <v>0</v>
      </c>
    </row>
    <row r="108" spans="1:3" x14ac:dyDescent="0.25">
      <c r="A108" s="14" t="s">
        <v>1222</v>
      </c>
      <c r="B108" s="113" t="s">
        <v>1229</v>
      </c>
      <c r="C108" s="3" t="b">
        <f t="shared" si="1"/>
        <v>0</v>
      </c>
    </row>
    <row r="109" spans="1:3" x14ac:dyDescent="0.25">
      <c r="A109" s="14" t="s">
        <v>1229</v>
      </c>
      <c r="B109" s="113" t="s">
        <v>1212</v>
      </c>
      <c r="C109" s="3" t="b">
        <f t="shared" si="1"/>
        <v>0</v>
      </c>
    </row>
    <row r="110" spans="1:3" x14ac:dyDescent="0.25">
      <c r="A110" s="14" t="s">
        <v>1212</v>
      </c>
      <c r="B110" s="113" t="s">
        <v>1221</v>
      </c>
      <c r="C110" s="3" t="b">
        <f t="shared" si="1"/>
        <v>0</v>
      </c>
    </row>
    <row r="111" spans="1:3" x14ac:dyDescent="0.25">
      <c r="A111" s="14" t="s">
        <v>1221</v>
      </c>
      <c r="B111" s="113" t="s">
        <v>1199</v>
      </c>
      <c r="C111" s="3" t="b">
        <f t="shared" si="1"/>
        <v>0</v>
      </c>
    </row>
    <row r="112" spans="1:3" x14ac:dyDescent="0.25">
      <c r="A112" s="10" t="s">
        <v>1199</v>
      </c>
      <c r="B112" s="113" t="s">
        <v>1080</v>
      </c>
      <c r="C112" s="3" t="b">
        <f t="shared" si="1"/>
        <v>0</v>
      </c>
    </row>
    <row r="113" spans="1:3" x14ac:dyDescent="0.25">
      <c r="A113" s="14" t="s">
        <v>1080</v>
      </c>
      <c r="B113" s="113" t="s">
        <v>1204</v>
      </c>
      <c r="C113" s="3" t="b">
        <f t="shared" si="1"/>
        <v>0</v>
      </c>
    </row>
    <row r="114" spans="1:3" x14ac:dyDescent="0.25">
      <c r="A114" s="14" t="s">
        <v>1204</v>
      </c>
      <c r="B114" s="113" t="s">
        <v>1235</v>
      </c>
      <c r="C114" s="3" t="b">
        <f t="shared" si="1"/>
        <v>0</v>
      </c>
    </row>
    <row r="115" spans="1:3" x14ac:dyDescent="0.25">
      <c r="A115" s="14" t="s">
        <v>1235</v>
      </c>
      <c r="B115" s="113" t="s">
        <v>1071</v>
      </c>
      <c r="C115" s="3" t="b">
        <f t="shared" si="1"/>
        <v>0</v>
      </c>
    </row>
    <row r="116" spans="1:3" x14ac:dyDescent="0.25">
      <c r="A116" s="14" t="s">
        <v>1071</v>
      </c>
      <c r="B116" s="113" t="s">
        <v>1214</v>
      </c>
      <c r="C116" s="3" t="b">
        <f t="shared" si="1"/>
        <v>0</v>
      </c>
    </row>
    <row r="117" spans="1:3" x14ac:dyDescent="0.25">
      <c r="A117" s="14" t="s">
        <v>1214</v>
      </c>
      <c r="B117" s="113" t="s">
        <v>1233</v>
      </c>
      <c r="C117" s="3" t="b">
        <f t="shared" si="1"/>
        <v>0</v>
      </c>
    </row>
    <row r="118" spans="1:3" x14ac:dyDescent="0.25">
      <c r="A118" s="14" t="s">
        <v>1233</v>
      </c>
      <c r="B118" s="113" t="s">
        <v>1090</v>
      </c>
      <c r="C118" s="3" t="b">
        <f t="shared" si="1"/>
        <v>0</v>
      </c>
    </row>
    <row r="119" spans="1:3" x14ac:dyDescent="0.25">
      <c r="A119" s="14" t="s">
        <v>1090</v>
      </c>
      <c r="B119" s="113" t="s">
        <v>1211</v>
      </c>
      <c r="C119" s="3" t="b">
        <f t="shared" si="1"/>
        <v>0</v>
      </c>
    </row>
    <row r="120" spans="1:3" x14ac:dyDescent="0.25">
      <c r="A120" s="14" t="s">
        <v>1211</v>
      </c>
      <c r="B120" s="113" t="s">
        <v>1078</v>
      </c>
      <c r="C120" s="3" t="b">
        <f t="shared" si="1"/>
        <v>0</v>
      </c>
    </row>
    <row r="121" spans="1:3" x14ac:dyDescent="0.25">
      <c r="A121" s="14" t="s">
        <v>1078</v>
      </c>
      <c r="B121" s="113" t="s">
        <v>1129</v>
      </c>
      <c r="C121" s="3" t="b">
        <f t="shared" si="1"/>
        <v>0</v>
      </c>
    </row>
    <row r="122" spans="1:3" x14ac:dyDescent="0.25">
      <c r="A122" s="14" t="s">
        <v>1129</v>
      </c>
      <c r="B122" s="113" t="s">
        <v>1208</v>
      </c>
      <c r="C122" s="3" t="b">
        <f t="shared" si="1"/>
        <v>0</v>
      </c>
    </row>
    <row r="123" spans="1:3" x14ac:dyDescent="0.25">
      <c r="A123" s="14" t="s">
        <v>1208</v>
      </c>
      <c r="B123" s="113" t="s">
        <v>1201</v>
      </c>
      <c r="C123" s="3" t="b">
        <f t="shared" si="1"/>
        <v>0</v>
      </c>
    </row>
    <row r="124" spans="1:3" x14ac:dyDescent="0.25">
      <c r="A124" s="14" t="s">
        <v>1201</v>
      </c>
      <c r="B124" s="113" t="s">
        <v>1059</v>
      </c>
      <c r="C124" s="3" t="b">
        <f t="shared" si="1"/>
        <v>0</v>
      </c>
    </row>
    <row r="125" spans="1:3" x14ac:dyDescent="0.25">
      <c r="A125" s="14" t="s">
        <v>1059</v>
      </c>
      <c r="B125" s="113" t="s">
        <v>1101</v>
      </c>
      <c r="C125" s="3" t="b">
        <f t="shared" si="1"/>
        <v>0</v>
      </c>
    </row>
    <row r="126" spans="1:3" x14ac:dyDescent="0.25">
      <c r="A126" s="14" t="s">
        <v>1101</v>
      </c>
      <c r="B126" s="113" t="s">
        <v>1110</v>
      </c>
      <c r="C126" s="3" t="b">
        <f t="shared" si="1"/>
        <v>0</v>
      </c>
    </row>
    <row r="127" spans="1:3" x14ac:dyDescent="0.25">
      <c r="A127" s="14" t="s">
        <v>1110</v>
      </c>
      <c r="B127" s="113" t="s">
        <v>1115</v>
      </c>
      <c r="C127" s="3" t="b">
        <f t="shared" si="1"/>
        <v>0</v>
      </c>
    </row>
    <row r="128" spans="1:3" x14ac:dyDescent="0.25">
      <c r="A128" s="14" t="s">
        <v>1115</v>
      </c>
      <c r="B128" s="113" t="s">
        <v>1092</v>
      </c>
      <c r="C128" s="3" t="b">
        <f t="shared" si="1"/>
        <v>0</v>
      </c>
    </row>
    <row r="129" spans="1:3" x14ac:dyDescent="0.25">
      <c r="A129" s="14" t="s">
        <v>1092</v>
      </c>
      <c r="B129" s="113" t="s">
        <v>1095</v>
      </c>
      <c r="C129" s="3" t="b">
        <f t="shared" si="1"/>
        <v>0</v>
      </c>
    </row>
    <row r="130" spans="1:3" x14ac:dyDescent="0.25">
      <c r="A130" s="14" t="s">
        <v>1095</v>
      </c>
      <c r="B130" s="113" t="s">
        <v>1111</v>
      </c>
      <c r="C130" s="3" t="b">
        <f t="shared" si="1"/>
        <v>0</v>
      </c>
    </row>
    <row r="131" spans="1:3" x14ac:dyDescent="0.25">
      <c r="A131" s="14" t="s">
        <v>1111</v>
      </c>
      <c r="B131" s="113" t="s">
        <v>1120</v>
      </c>
      <c r="C131" s="3" t="b">
        <f t="shared" ref="C131:C194" si="2">IF(A131=B131,TRUE,FALSE)</f>
        <v>0</v>
      </c>
    </row>
    <row r="132" spans="1:3" x14ac:dyDescent="0.25">
      <c r="A132" s="14" t="s">
        <v>1120</v>
      </c>
      <c r="B132" s="113" t="s">
        <v>1128</v>
      </c>
      <c r="C132" s="3" t="b">
        <f t="shared" si="2"/>
        <v>0</v>
      </c>
    </row>
    <row r="133" spans="1:3" x14ac:dyDescent="0.25">
      <c r="A133" s="14" t="s">
        <v>1128</v>
      </c>
      <c r="B133" s="113" t="s">
        <v>1126</v>
      </c>
      <c r="C133" s="3" t="b">
        <f t="shared" si="2"/>
        <v>0</v>
      </c>
    </row>
    <row r="134" spans="1:3" x14ac:dyDescent="0.25">
      <c r="A134" s="14" t="s">
        <v>1126</v>
      </c>
      <c r="B134" s="113" t="s">
        <v>1137</v>
      </c>
      <c r="C134" s="3" t="b">
        <f t="shared" si="2"/>
        <v>0</v>
      </c>
    </row>
    <row r="135" spans="1:3" x14ac:dyDescent="0.25">
      <c r="A135" s="14" t="s">
        <v>1137</v>
      </c>
      <c r="B135" s="113" t="s">
        <v>1122</v>
      </c>
      <c r="C135" s="3" t="b">
        <f t="shared" si="2"/>
        <v>0</v>
      </c>
    </row>
    <row r="136" spans="1:3" x14ac:dyDescent="0.25">
      <c r="A136" s="14" t="s">
        <v>1122</v>
      </c>
      <c r="B136" s="113" t="s">
        <v>1131</v>
      </c>
      <c r="C136" s="3" t="b">
        <f t="shared" si="2"/>
        <v>0</v>
      </c>
    </row>
    <row r="137" spans="1:3" x14ac:dyDescent="0.25">
      <c r="A137" s="14" t="s">
        <v>1131</v>
      </c>
      <c r="B137" s="113" t="s">
        <v>1104</v>
      </c>
      <c r="C137" s="3" t="b">
        <f t="shared" si="2"/>
        <v>0</v>
      </c>
    </row>
    <row r="138" spans="1:3" x14ac:dyDescent="0.25">
      <c r="A138" s="14" t="s">
        <v>1104</v>
      </c>
      <c r="B138" s="113" t="s">
        <v>1269</v>
      </c>
      <c r="C138" s="3" t="b">
        <f t="shared" si="2"/>
        <v>0</v>
      </c>
    </row>
    <row r="139" spans="1:3" x14ac:dyDescent="0.25">
      <c r="A139" s="14" t="s">
        <v>1269</v>
      </c>
      <c r="B139" s="113" t="s">
        <v>1257</v>
      </c>
      <c r="C139" s="3" t="b">
        <f t="shared" si="2"/>
        <v>0</v>
      </c>
    </row>
    <row r="140" spans="1:3" x14ac:dyDescent="0.25">
      <c r="A140" s="14" t="s">
        <v>1257</v>
      </c>
      <c r="B140" s="113" t="s">
        <v>1150</v>
      </c>
      <c r="C140" s="3" t="b">
        <f t="shared" si="2"/>
        <v>0</v>
      </c>
    </row>
    <row r="141" spans="1:3" x14ac:dyDescent="0.25">
      <c r="A141" s="14" t="s">
        <v>1150</v>
      </c>
      <c r="B141" s="113" t="s">
        <v>1065</v>
      </c>
      <c r="C141" s="3" t="b">
        <f t="shared" si="2"/>
        <v>0</v>
      </c>
    </row>
    <row r="142" spans="1:3" x14ac:dyDescent="0.25">
      <c r="A142" s="14" t="s">
        <v>1065</v>
      </c>
      <c r="B142" s="113" t="s">
        <v>1132</v>
      </c>
      <c r="C142" s="3" t="b">
        <f t="shared" si="2"/>
        <v>0</v>
      </c>
    </row>
    <row r="143" spans="1:3" x14ac:dyDescent="0.25">
      <c r="A143" s="14" t="s">
        <v>1132</v>
      </c>
      <c r="B143" s="113" t="s">
        <v>1070</v>
      </c>
      <c r="C143" s="3" t="b">
        <f t="shared" si="2"/>
        <v>0</v>
      </c>
    </row>
    <row r="144" spans="1:3" x14ac:dyDescent="0.25">
      <c r="A144" s="14" t="s">
        <v>1070</v>
      </c>
      <c r="B144" s="113" t="s">
        <v>1419</v>
      </c>
      <c r="C144" s="3" t="b">
        <f t="shared" si="2"/>
        <v>0</v>
      </c>
    </row>
    <row r="145" spans="1:3" x14ac:dyDescent="0.25">
      <c r="A145" s="14" t="s">
        <v>1419</v>
      </c>
      <c r="B145" s="113" t="s">
        <v>1237</v>
      </c>
      <c r="C145" s="3" t="b">
        <f t="shared" si="2"/>
        <v>0</v>
      </c>
    </row>
    <row r="146" spans="1:3" x14ac:dyDescent="0.25">
      <c r="A146" s="14" t="s">
        <v>1237</v>
      </c>
      <c r="B146" s="113" t="s">
        <v>1311</v>
      </c>
      <c r="C146" s="3" t="b">
        <f t="shared" si="2"/>
        <v>0</v>
      </c>
    </row>
    <row r="147" spans="1:3" x14ac:dyDescent="0.25">
      <c r="A147" s="14" t="s">
        <v>1311</v>
      </c>
      <c r="B147" s="113" t="s">
        <v>1145</v>
      </c>
      <c r="C147" s="3" t="b">
        <f t="shared" si="2"/>
        <v>0</v>
      </c>
    </row>
    <row r="148" spans="1:3" x14ac:dyDescent="0.25">
      <c r="A148" s="14" t="s">
        <v>1145</v>
      </c>
      <c r="B148" s="113" t="s">
        <v>1468</v>
      </c>
      <c r="C148" s="3" t="b">
        <f t="shared" si="2"/>
        <v>0</v>
      </c>
    </row>
    <row r="149" spans="1:3" x14ac:dyDescent="0.25">
      <c r="A149" s="14" t="s">
        <v>1468</v>
      </c>
      <c r="B149" s="113" t="s">
        <v>1445</v>
      </c>
      <c r="C149" s="3" t="b">
        <f t="shared" si="2"/>
        <v>0</v>
      </c>
    </row>
    <row r="150" spans="1:3" x14ac:dyDescent="0.25">
      <c r="A150" s="14" t="s">
        <v>1445</v>
      </c>
      <c r="B150" s="113" t="s">
        <v>1144</v>
      </c>
      <c r="C150" s="3" t="b">
        <f t="shared" si="2"/>
        <v>0</v>
      </c>
    </row>
    <row r="151" spans="1:3" x14ac:dyDescent="0.25">
      <c r="A151" s="14" t="s">
        <v>1144</v>
      </c>
      <c r="B151" s="113" t="s">
        <v>942</v>
      </c>
      <c r="C151" s="3" t="b">
        <f t="shared" si="2"/>
        <v>0</v>
      </c>
    </row>
    <row r="152" spans="1:3" x14ac:dyDescent="0.25">
      <c r="A152" s="14" t="s">
        <v>942</v>
      </c>
      <c r="B152" s="113" t="s">
        <v>1161</v>
      </c>
      <c r="C152" s="3" t="b">
        <f t="shared" si="2"/>
        <v>0</v>
      </c>
    </row>
    <row r="153" spans="1:3" x14ac:dyDescent="0.25">
      <c r="A153" s="14" t="s">
        <v>1161</v>
      </c>
      <c r="B153" s="113" t="s">
        <v>1188</v>
      </c>
      <c r="C153" s="3" t="b">
        <f t="shared" si="2"/>
        <v>0</v>
      </c>
    </row>
    <row r="154" spans="1:3" x14ac:dyDescent="0.25">
      <c r="A154" s="14" t="s">
        <v>1188</v>
      </c>
      <c r="B154" s="113" t="s">
        <v>1175</v>
      </c>
      <c r="C154" s="3" t="b">
        <f t="shared" si="2"/>
        <v>0</v>
      </c>
    </row>
    <row r="155" spans="1:3" x14ac:dyDescent="0.25">
      <c r="A155" s="14" t="s">
        <v>1175</v>
      </c>
      <c r="B155" s="113" t="s">
        <v>1411</v>
      </c>
      <c r="C155" s="3" t="b">
        <f t="shared" si="2"/>
        <v>0</v>
      </c>
    </row>
    <row r="156" spans="1:3" x14ac:dyDescent="0.25">
      <c r="A156" s="14" t="s">
        <v>1411</v>
      </c>
      <c r="B156" s="113" t="s">
        <v>1191</v>
      </c>
      <c r="C156" s="3" t="b">
        <f t="shared" si="2"/>
        <v>0</v>
      </c>
    </row>
    <row r="157" spans="1:3" x14ac:dyDescent="0.25">
      <c r="A157" s="14" t="s">
        <v>1191</v>
      </c>
      <c r="B157" s="113" t="s">
        <v>1341</v>
      </c>
      <c r="C157" s="3" t="b">
        <f t="shared" si="2"/>
        <v>0</v>
      </c>
    </row>
    <row r="158" spans="1:3" x14ac:dyDescent="0.25">
      <c r="A158" s="14" t="s">
        <v>1341</v>
      </c>
      <c r="B158" s="113" t="s">
        <v>1426</v>
      </c>
      <c r="C158" s="3" t="b">
        <f t="shared" si="2"/>
        <v>0</v>
      </c>
    </row>
    <row r="159" spans="1:3" x14ac:dyDescent="0.25">
      <c r="A159" s="14" t="s">
        <v>1426</v>
      </c>
      <c r="B159" s="113" t="s">
        <v>1407</v>
      </c>
      <c r="C159" s="3" t="b">
        <f t="shared" si="2"/>
        <v>0</v>
      </c>
    </row>
    <row r="160" spans="1:3" x14ac:dyDescent="0.25">
      <c r="A160" s="14" t="s">
        <v>1407</v>
      </c>
      <c r="B160" s="113" t="s">
        <v>1073</v>
      </c>
      <c r="C160" s="3" t="b">
        <f t="shared" si="2"/>
        <v>0</v>
      </c>
    </row>
    <row r="161" spans="1:3" x14ac:dyDescent="0.25">
      <c r="A161" s="14" t="s">
        <v>1073</v>
      </c>
      <c r="B161" s="113" t="s">
        <v>581</v>
      </c>
      <c r="C161" s="3" t="b">
        <f t="shared" si="2"/>
        <v>0</v>
      </c>
    </row>
    <row r="162" spans="1:3" x14ac:dyDescent="0.25">
      <c r="A162" s="14" t="s">
        <v>581</v>
      </c>
      <c r="B162" s="113" t="s">
        <v>1139</v>
      </c>
      <c r="C162" s="3" t="b">
        <f t="shared" si="2"/>
        <v>0</v>
      </c>
    </row>
    <row r="163" spans="1:3" x14ac:dyDescent="0.25">
      <c r="A163" s="14" t="s">
        <v>1139</v>
      </c>
      <c r="B163" s="113" t="s">
        <v>1083</v>
      </c>
      <c r="C163" s="3" t="b">
        <f t="shared" si="2"/>
        <v>0</v>
      </c>
    </row>
    <row r="164" spans="1:3" x14ac:dyDescent="0.25">
      <c r="A164" s="14" t="s">
        <v>1083</v>
      </c>
      <c r="B164" s="113" t="s">
        <v>1089</v>
      </c>
      <c r="C164" s="3" t="b">
        <f t="shared" si="2"/>
        <v>0</v>
      </c>
    </row>
    <row r="165" spans="1:3" x14ac:dyDescent="0.25">
      <c r="A165" s="14" t="s">
        <v>1089</v>
      </c>
      <c r="B165" s="113" t="s">
        <v>1402</v>
      </c>
      <c r="C165" s="3" t="b">
        <f t="shared" si="2"/>
        <v>0</v>
      </c>
    </row>
    <row r="166" spans="1:3" x14ac:dyDescent="0.25">
      <c r="A166" s="14" t="s">
        <v>1402</v>
      </c>
      <c r="B166" s="113" t="s">
        <v>1066</v>
      </c>
      <c r="C166" s="3" t="b">
        <f t="shared" si="2"/>
        <v>0</v>
      </c>
    </row>
    <row r="167" spans="1:3" x14ac:dyDescent="0.25">
      <c r="A167" s="14" t="s">
        <v>1066</v>
      </c>
      <c r="B167" s="113" t="s">
        <v>1138</v>
      </c>
      <c r="C167" s="3" t="b">
        <f t="shared" si="2"/>
        <v>0</v>
      </c>
    </row>
    <row r="168" spans="1:3" x14ac:dyDescent="0.25">
      <c r="A168" s="14" t="s">
        <v>1138</v>
      </c>
      <c r="B168" s="113" t="s">
        <v>1347</v>
      </c>
      <c r="C168" s="3" t="b">
        <f t="shared" si="2"/>
        <v>0</v>
      </c>
    </row>
    <row r="169" spans="1:3" x14ac:dyDescent="0.25">
      <c r="A169" s="14" t="s">
        <v>1347</v>
      </c>
      <c r="B169" s="113" t="s">
        <v>590</v>
      </c>
      <c r="C169" s="3" t="b">
        <f t="shared" si="2"/>
        <v>0</v>
      </c>
    </row>
    <row r="170" spans="1:3" x14ac:dyDescent="0.25">
      <c r="A170" s="14" t="s">
        <v>590</v>
      </c>
      <c r="B170" s="113" t="s">
        <v>1274</v>
      </c>
      <c r="C170" s="3" t="b">
        <f t="shared" si="2"/>
        <v>0</v>
      </c>
    </row>
    <row r="171" spans="1:3" x14ac:dyDescent="0.25">
      <c r="A171" s="14" t="s">
        <v>1274</v>
      </c>
      <c r="B171" s="113" t="s">
        <v>1368</v>
      </c>
      <c r="C171" s="3" t="b">
        <f t="shared" si="2"/>
        <v>0</v>
      </c>
    </row>
    <row r="172" spans="1:3" x14ac:dyDescent="0.25">
      <c r="A172" s="14" t="s">
        <v>1368</v>
      </c>
      <c r="B172" s="113" t="s">
        <v>1450</v>
      </c>
      <c r="C172" s="3" t="b">
        <f t="shared" si="2"/>
        <v>0</v>
      </c>
    </row>
    <row r="173" spans="1:3" x14ac:dyDescent="0.25">
      <c r="A173" s="14" t="s">
        <v>1450</v>
      </c>
      <c r="B173" s="113" t="s">
        <v>1005</v>
      </c>
      <c r="C173" s="3" t="b">
        <f t="shared" si="2"/>
        <v>0</v>
      </c>
    </row>
    <row r="174" spans="1:3" x14ac:dyDescent="0.25">
      <c r="A174" s="54" t="s">
        <v>1005</v>
      </c>
      <c r="B174" s="113" t="s">
        <v>1394</v>
      </c>
      <c r="C174" s="3" t="b">
        <f t="shared" si="2"/>
        <v>0</v>
      </c>
    </row>
    <row r="175" spans="1:3" x14ac:dyDescent="0.25">
      <c r="A175" s="14" t="s">
        <v>1394</v>
      </c>
      <c r="B175" s="113" t="s">
        <v>1356</v>
      </c>
      <c r="C175" s="3" t="b">
        <f t="shared" si="2"/>
        <v>0</v>
      </c>
    </row>
    <row r="176" spans="1:3" x14ac:dyDescent="0.25">
      <c r="A176" s="14" t="s">
        <v>1356</v>
      </c>
      <c r="B176" s="113" t="s">
        <v>1241</v>
      </c>
      <c r="C176" s="3" t="b">
        <f t="shared" si="2"/>
        <v>0</v>
      </c>
    </row>
    <row r="177" spans="1:3" x14ac:dyDescent="0.25">
      <c r="A177" s="14" t="s">
        <v>1241</v>
      </c>
      <c r="B177" s="113" t="s">
        <v>1441</v>
      </c>
      <c r="C177" s="3" t="b">
        <f t="shared" si="2"/>
        <v>0</v>
      </c>
    </row>
    <row r="178" spans="1:3" x14ac:dyDescent="0.25">
      <c r="A178" s="14" t="s">
        <v>1441</v>
      </c>
      <c r="B178" s="113" t="s">
        <v>1243</v>
      </c>
      <c r="C178" s="3" t="b">
        <f t="shared" si="2"/>
        <v>0</v>
      </c>
    </row>
    <row r="179" spans="1:3" x14ac:dyDescent="0.25">
      <c r="A179" s="14" t="s">
        <v>1243</v>
      </c>
      <c r="B179" s="113" t="s">
        <v>1365</v>
      </c>
      <c r="C179" s="3" t="b">
        <f t="shared" si="2"/>
        <v>0</v>
      </c>
    </row>
    <row r="180" spans="1:3" x14ac:dyDescent="0.25">
      <c r="A180" s="14" t="s">
        <v>1365</v>
      </c>
      <c r="B180" s="113" t="s">
        <v>1140</v>
      </c>
      <c r="C180" s="3" t="b">
        <f t="shared" si="2"/>
        <v>0</v>
      </c>
    </row>
    <row r="181" spans="1:3" x14ac:dyDescent="0.25">
      <c r="A181" s="54" t="s">
        <v>1140</v>
      </c>
      <c r="B181" s="113" t="s">
        <v>1167</v>
      </c>
      <c r="C181" s="3" t="b">
        <f t="shared" si="2"/>
        <v>0</v>
      </c>
    </row>
    <row r="182" spans="1:3" x14ac:dyDescent="0.25">
      <c r="A182" s="54" t="s">
        <v>1167</v>
      </c>
      <c r="B182" s="113" t="s">
        <v>1149</v>
      </c>
      <c r="C182" s="3" t="b">
        <f t="shared" si="2"/>
        <v>0</v>
      </c>
    </row>
    <row r="183" spans="1:3" x14ac:dyDescent="0.25">
      <c r="A183" s="54" t="s">
        <v>1149</v>
      </c>
      <c r="B183" s="113" t="s">
        <v>1295</v>
      </c>
      <c r="C183" s="3" t="b">
        <f t="shared" si="2"/>
        <v>0</v>
      </c>
    </row>
    <row r="184" spans="1:3" x14ac:dyDescent="0.25">
      <c r="A184" s="14" t="s">
        <v>1295</v>
      </c>
      <c r="B184" s="113" t="s">
        <v>1247</v>
      </c>
      <c r="C184" s="3" t="b">
        <f t="shared" si="2"/>
        <v>0</v>
      </c>
    </row>
    <row r="185" spans="1:3" x14ac:dyDescent="0.25">
      <c r="A185" s="14" t="s">
        <v>1247</v>
      </c>
      <c r="B185" s="113" t="s">
        <v>1454</v>
      </c>
      <c r="C185" s="3" t="b">
        <f t="shared" si="2"/>
        <v>0</v>
      </c>
    </row>
    <row r="186" spans="1:3" x14ac:dyDescent="0.25">
      <c r="A186" s="14" t="s">
        <v>1454</v>
      </c>
      <c r="B186" s="113" t="s">
        <v>1358</v>
      </c>
      <c r="C186" s="3" t="b">
        <f t="shared" si="2"/>
        <v>0</v>
      </c>
    </row>
    <row r="187" spans="1:3" x14ac:dyDescent="0.25">
      <c r="A187" s="14" t="s">
        <v>1358</v>
      </c>
      <c r="B187" s="113" t="s">
        <v>1389</v>
      </c>
      <c r="C187" s="3" t="b">
        <f t="shared" si="2"/>
        <v>0</v>
      </c>
    </row>
    <row r="188" spans="1:3" x14ac:dyDescent="0.25">
      <c r="A188" s="14" t="s">
        <v>1389</v>
      </c>
      <c r="B188" s="113" t="s">
        <v>1405</v>
      </c>
      <c r="C188" s="3" t="b">
        <f t="shared" si="2"/>
        <v>0</v>
      </c>
    </row>
    <row r="189" spans="1:3" x14ac:dyDescent="0.25">
      <c r="A189" s="14" t="s">
        <v>1405</v>
      </c>
      <c r="B189" s="113" t="s">
        <v>1238</v>
      </c>
      <c r="C189" s="3" t="b">
        <f t="shared" si="2"/>
        <v>0</v>
      </c>
    </row>
    <row r="190" spans="1:3" x14ac:dyDescent="0.25">
      <c r="A190" s="14" t="s">
        <v>1238</v>
      </c>
      <c r="B190" s="113" t="s">
        <v>1327</v>
      </c>
      <c r="C190" s="3" t="b">
        <f t="shared" si="2"/>
        <v>0</v>
      </c>
    </row>
    <row r="191" spans="1:3" x14ac:dyDescent="0.25">
      <c r="A191" s="14" t="s">
        <v>1327</v>
      </c>
      <c r="B191" s="113" t="s">
        <v>1320</v>
      </c>
      <c r="C191" s="3" t="b">
        <f t="shared" si="2"/>
        <v>0</v>
      </c>
    </row>
    <row r="192" spans="1:3" x14ac:dyDescent="0.25">
      <c r="A192" s="14" t="s">
        <v>1320</v>
      </c>
      <c r="B192" s="113" t="s">
        <v>1249</v>
      </c>
      <c r="C192" s="3" t="b">
        <f t="shared" si="2"/>
        <v>0</v>
      </c>
    </row>
    <row r="193" spans="1:3" x14ac:dyDescent="0.25">
      <c r="A193" s="14" t="s">
        <v>1249</v>
      </c>
      <c r="B193" s="113" t="s">
        <v>2164</v>
      </c>
      <c r="C193" s="3" t="b">
        <f t="shared" si="2"/>
        <v>0</v>
      </c>
    </row>
    <row r="194" spans="1:3" x14ac:dyDescent="0.25">
      <c r="A194" s="54" t="s">
        <v>2164</v>
      </c>
      <c r="B194" s="113" t="s">
        <v>1190</v>
      </c>
      <c r="C194" s="3" t="b">
        <f t="shared" si="2"/>
        <v>0</v>
      </c>
    </row>
    <row r="195" spans="1:3" x14ac:dyDescent="0.25">
      <c r="A195" s="14" t="s">
        <v>1190</v>
      </c>
      <c r="B195" s="113" t="s">
        <v>1316</v>
      </c>
      <c r="C195" s="3" t="b">
        <f t="shared" ref="C195:C249" si="3">IF(A195=B195,TRUE,FALSE)</f>
        <v>0</v>
      </c>
    </row>
    <row r="196" spans="1:3" x14ac:dyDescent="0.25">
      <c r="A196" s="14" t="s">
        <v>1316</v>
      </c>
      <c r="B196" s="113" t="s">
        <v>1370</v>
      </c>
      <c r="C196" s="3" t="b">
        <f t="shared" si="3"/>
        <v>0</v>
      </c>
    </row>
    <row r="197" spans="1:3" x14ac:dyDescent="0.25">
      <c r="A197" s="14" t="s">
        <v>1370</v>
      </c>
      <c r="B197" s="113" t="s">
        <v>1261</v>
      </c>
      <c r="C197" s="3" t="b">
        <f t="shared" si="3"/>
        <v>0</v>
      </c>
    </row>
    <row r="198" spans="1:3" x14ac:dyDescent="0.25">
      <c r="A198" s="14" t="s">
        <v>1261</v>
      </c>
      <c r="B198" s="113" t="s">
        <v>1168</v>
      </c>
      <c r="C198" s="3" t="b">
        <f t="shared" si="3"/>
        <v>0</v>
      </c>
    </row>
    <row r="199" spans="1:3" x14ac:dyDescent="0.25">
      <c r="A199" s="14" t="s">
        <v>1168</v>
      </c>
      <c r="B199" s="113" t="s">
        <v>1173</v>
      </c>
      <c r="C199" s="3" t="b">
        <f t="shared" si="3"/>
        <v>0</v>
      </c>
    </row>
    <row r="200" spans="1:3" x14ac:dyDescent="0.25">
      <c r="A200" s="14" t="s">
        <v>1173</v>
      </c>
      <c r="B200" s="113" t="s">
        <v>1386</v>
      </c>
      <c r="C200" s="3" t="b">
        <f t="shared" si="3"/>
        <v>0</v>
      </c>
    </row>
    <row r="201" spans="1:3" x14ac:dyDescent="0.25">
      <c r="A201" s="14" t="s">
        <v>1386</v>
      </c>
      <c r="B201" s="113" t="s">
        <v>1351</v>
      </c>
      <c r="C201" s="3" t="b">
        <f t="shared" si="3"/>
        <v>0</v>
      </c>
    </row>
    <row r="202" spans="1:3" x14ac:dyDescent="0.25">
      <c r="A202" s="14" t="s">
        <v>1351</v>
      </c>
      <c r="B202" s="113" t="s">
        <v>1308</v>
      </c>
      <c r="C202" s="3" t="b">
        <f t="shared" si="3"/>
        <v>0</v>
      </c>
    </row>
    <row r="203" spans="1:3" x14ac:dyDescent="0.25">
      <c r="A203" s="14" t="s">
        <v>1308</v>
      </c>
      <c r="B203" s="113" t="s">
        <v>1379</v>
      </c>
      <c r="C203" s="3" t="b">
        <f t="shared" si="3"/>
        <v>0</v>
      </c>
    </row>
    <row r="204" spans="1:3" x14ac:dyDescent="0.25">
      <c r="A204" s="14" t="s">
        <v>1379</v>
      </c>
      <c r="B204" s="113" t="s">
        <v>1250</v>
      </c>
      <c r="C204" s="3" t="b">
        <f t="shared" si="3"/>
        <v>0</v>
      </c>
    </row>
    <row r="205" spans="1:3" x14ac:dyDescent="0.25">
      <c r="A205" s="14" t="s">
        <v>1250</v>
      </c>
      <c r="B205" s="113" t="s">
        <v>1372</v>
      </c>
      <c r="C205" s="3" t="b">
        <f t="shared" si="3"/>
        <v>0</v>
      </c>
    </row>
    <row r="206" spans="1:3" x14ac:dyDescent="0.25">
      <c r="A206" s="14" t="s">
        <v>1372</v>
      </c>
      <c r="B206" s="113" t="s">
        <v>1388</v>
      </c>
      <c r="C206" s="3" t="b">
        <f t="shared" si="3"/>
        <v>0</v>
      </c>
    </row>
    <row r="207" spans="1:3" x14ac:dyDescent="0.25">
      <c r="A207" s="14" t="s">
        <v>1388</v>
      </c>
      <c r="B207" s="113" t="s">
        <v>1195</v>
      </c>
      <c r="C207" s="3" t="b">
        <f t="shared" si="3"/>
        <v>0</v>
      </c>
    </row>
    <row r="208" spans="1:3" x14ac:dyDescent="0.25">
      <c r="A208" s="14" t="s">
        <v>1195</v>
      </c>
      <c r="B208" s="113" t="s">
        <v>1417</v>
      </c>
      <c r="C208" s="3" t="b">
        <f t="shared" si="3"/>
        <v>0</v>
      </c>
    </row>
    <row r="209" spans="1:3" x14ac:dyDescent="0.25">
      <c r="A209" s="14" t="s">
        <v>1417</v>
      </c>
      <c r="B209" s="113" t="s">
        <v>1279</v>
      </c>
      <c r="C209" s="3" t="b">
        <f t="shared" si="3"/>
        <v>0</v>
      </c>
    </row>
    <row r="210" spans="1:3" x14ac:dyDescent="0.25">
      <c r="A210" s="14" t="s">
        <v>1279</v>
      </c>
      <c r="B210" s="113" t="s">
        <v>1375</v>
      </c>
      <c r="C210" s="3" t="b">
        <f t="shared" si="3"/>
        <v>0</v>
      </c>
    </row>
    <row r="211" spans="1:3" x14ac:dyDescent="0.25">
      <c r="A211" s="14" t="s">
        <v>1375</v>
      </c>
      <c r="B211" s="113" t="s">
        <v>1373</v>
      </c>
      <c r="C211" s="3" t="b">
        <f t="shared" si="3"/>
        <v>0</v>
      </c>
    </row>
    <row r="212" spans="1:3" x14ac:dyDescent="0.25">
      <c r="A212" s="14" t="s">
        <v>1373</v>
      </c>
      <c r="B212" s="113" t="s">
        <v>1363</v>
      </c>
      <c r="C212" s="3" t="b">
        <f t="shared" si="3"/>
        <v>0</v>
      </c>
    </row>
    <row r="213" spans="1:3" x14ac:dyDescent="0.25">
      <c r="A213" s="14" t="s">
        <v>1363</v>
      </c>
      <c r="B213" s="113" t="s">
        <v>1453</v>
      </c>
      <c r="C213" s="3" t="b">
        <f t="shared" si="3"/>
        <v>0</v>
      </c>
    </row>
    <row r="214" spans="1:3" x14ac:dyDescent="0.25">
      <c r="A214" s="14" t="s">
        <v>1453</v>
      </c>
      <c r="B214" s="113" t="s">
        <v>588</v>
      </c>
      <c r="C214" s="3" t="b">
        <f t="shared" si="3"/>
        <v>0</v>
      </c>
    </row>
    <row r="215" spans="1:3" x14ac:dyDescent="0.25">
      <c r="A215" s="14" t="s">
        <v>588</v>
      </c>
      <c r="B215" s="113" t="s">
        <v>1193</v>
      </c>
      <c r="C215" s="3" t="b">
        <f t="shared" si="3"/>
        <v>0</v>
      </c>
    </row>
    <row r="216" spans="1:3" x14ac:dyDescent="0.25">
      <c r="A216" s="14" t="s">
        <v>1193</v>
      </c>
      <c r="B216" s="113" t="s">
        <v>1377</v>
      </c>
      <c r="C216" s="3" t="b">
        <f t="shared" si="3"/>
        <v>0</v>
      </c>
    </row>
    <row r="217" spans="1:3" x14ac:dyDescent="0.25">
      <c r="A217" s="14" t="s">
        <v>1377</v>
      </c>
      <c r="B217" s="113" t="s">
        <v>1162</v>
      </c>
      <c r="C217" s="3" t="b">
        <f t="shared" si="3"/>
        <v>0</v>
      </c>
    </row>
    <row r="218" spans="1:3" x14ac:dyDescent="0.25">
      <c r="A218" s="54" t="s">
        <v>1162</v>
      </c>
      <c r="B218" s="113" t="s">
        <v>1328</v>
      </c>
      <c r="C218" s="3" t="b">
        <f t="shared" si="3"/>
        <v>0</v>
      </c>
    </row>
    <row r="219" spans="1:3" x14ac:dyDescent="0.25">
      <c r="A219" s="14" t="s">
        <v>1328</v>
      </c>
      <c r="B219" s="113" t="s">
        <v>1153</v>
      </c>
      <c r="C219" s="3" t="b">
        <f t="shared" si="3"/>
        <v>0</v>
      </c>
    </row>
    <row r="220" spans="1:3" x14ac:dyDescent="0.25">
      <c r="A220" s="54" t="s">
        <v>1153</v>
      </c>
      <c r="B220" s="113" t="s">
        <v>1282</v>
      </c>
      <c r="C220" s="3" t="b">
        <f t="shared" si="3"/>
        <v>0</v>
      </c>
    </row>
    <row r="221" spans="1:3" x14ac:dyDescent="0.25">
      <c r="A221" s="14" t="s">
        <v>1282</v>
      </c>
      <c r="B221" s="113" t="s">
        <v>1312</v>
      </c>
      <c r="C221" s="3" t="b">
        <f t="shared" si="3"/>
        <v>0</v>
      </c>
    </row>
    <row r="222" spans="1:3" x14ac:dyDescent="0.25">
      <c r="A222" s="14" t="s">
        <v>1312</v>
      </c>
      <c r="B222" s="113" t="s">
        <v>1301</v>
      </c>
      <c r="C222" s="3" t="b">
        <f t="shared" si="3"/>
        <v>0</v>
      </c>
    </row>
    <row r="223" spans="1:3" x14ac:dyDescent="0.25">
      <c r="A223" s="14" t="s">
        <v>1301</v>
      </c>
      <c r="B223" s="113" t="s">
        <v>1267</v>
      </c>
      <c r="C223" s="3" t="b">
        <f t="shared" si="3"/>
        <v>0</v>
      </c>
    </row>
    <row r="224" spans="1:3" x14ac:dyDescent="0.25">
      <c r="A224" s="14" t="s">
        <v>1267</v>
      </c>
      <c r="B224" s="113" t="s">
        <v>1291</v>
      </c>
      <c r="C224" s="3" t="b">
        <f t="shared" si="3"/>
        <v>0</v>
      </c>
    </row>
    <row r="225" spans="1:3" x14ac:dyDescent="0.25">
      <c r="A225" s="14" t="s">
        <v>1291</v>
      </c>
      <c r="B225" s="113" t="s">
        <v>1344</v>
      </c>
      <c r="C225" s="3" t="b">
        <f t="shared" si="3"/>
        <v>0</v>
      </c>
    </row>
    <row r="226" spans="1:3" x14ac:dyDescent="0.25">
      <c r="A226" s="14" t="s">
        <v>1344</v>
      </c>
      <c r="B226" s="113" t="s">
        <v>1289</v>
      </c>
      <c r="C226" s="3" t="b">
        <f t="shared" si="3"/>
        <v>0</v>
      </c>
    </row>
    <row r="227" spans="1:3" x14ac:dyDescent="0.25">
      <c r="A227" s="14" t="s">
        <v>1289</v>
      </c>
      <c r="B227" s="113" t="s">
        <v>1147</v>
      </c>
      <c r="C227" s="3" t="b">
        <f t="shared" si="3"/>
        <v>0</v>
      </c>
    </row>
    <row r="228" spans="1:3" x14ac:dyDescent="0.25">
      <c r="A228" s="14" t="s">
        <v>1147</v>
      </c>
      <c r="B228" s="113" t="s">
        <v>1259</v>
      </c>
      <c r="C228" s="3" t="b">
        <f t="shared" si="3"/>
        <v>0</v>
      </c>
    </row>
    <row r="229" spans="1:3" x14ac:dyDescent="0.25">
      <c r="A229" s="14" t="s">
        <v>1259</v>
      </c>
      <c r="B229" s="113" t="s">
        <v>1258</v>
      </c>
      <c r="C229" s="3" t="b">
        <f t="shared" si="3"/>
        <v>0</v>
      </c>
    </row>
    <row r="230" spans="1:3" x14ac:dyDescent="0.25">
      <c r="A230" s="14" t="s">
        <v>1258</v>
      </c>
      <c r="B230" s="113" t="s">
        <v>1381</v>
      </c>
      <c r="C230" s="3" t="b">
        <f t="shared" si="3"/>
        <v>0</v>
      </c>
    </row>
    <row r="231" spans="1:3" x14ac:dyDescent="0.25">
      <c r="A231" s="14" t="s">
        <v>1381</v>
      </c>
      <c r="B231" s="113" t="s">
        <v>1266</v>
      </c>
      <c r="C231" s="3" t="b">
        <f t="shared" si="3"/>
        <v>0</v>
      </c>
    </row>
    <row r="232" spans="1:3" x14ac:dyDescent="0.25">
      <c r="A232" s="14" t="s">
        <v>1266</v>
      </c>
      <c r="B232" s="113" t="s">
        <v>1442</v>
      </c>
      <c r="C232" s="3" t="b">
        <f t="shared" si="3"/>
        <v>0</v>
      </c>
    </row>
    <row r="233" spans="1:3" x14ac:dyDescent="0.25">
      <c r="A233" s="14" t="s">
        <v>1442</v>
      </c>
      <c r="B233" s="113" t="s">
        <v>844</v>
      </c>
      <c r="C233" s="3" t="b">
        <f t="shared" si="3"/>
        <v>0</v>
      </c>
    </row>
    <row r="234" spans="1:3" x14ac:dyDescent="0.25">
      <c r="A234" s="14" t="s">
        <v>844</v>
      </c>
      <c r="B234" s="113" t="s">
        <v>1305</v>
      </c>
      <c r="C234" s="3" t="b">
        <f t="shared" si="3"/>
        <v>0</v>
      </c>
    </row>
    <row r="235" spans="1:3" x14ac:dyDescent="0.25">
      <c r="A235" s="14" t="s">
        <v>1305</v>
      </c>
      <c r="B235" s="113" t="s">
        <v>1076</v>
      </c>
      <c r="C235" s="3" t="b">
        <f t="shared" si="3"/>
        <v>0</v>
      </c>
    </row>
    <row r="236" spans="1:3" x14ac:dyDescent="0.25">
      <c r="A236" s="14" t="s">
        <v>1076</v>
      </c>
      <c r="B236" s="113" t="s">
        <v>1432</v>
      </c>
      <c r="C236" s="3" t="b">
        <f t="shared" si="3"/>
        <v>0</v>
      </c>
    </row>
    <row r="237" spans="1:3" x14ac:dyDescent="0.25">
      <c r="A237" s="14" t="s">
        <v>1432</v>
      </c>
      <c r="B237" s="113" t="s">
        <v>1285</v>
      </c>
      <c r="C237" s="3" t="b">
        <f t="shared" si="3"/>
        <v>0</v>
      </c>
    </row>
    <row r="238" spans="1:3" x14ac:dyDescent="0.25">
      <c r="A238" s="14" t="s">
        <v>1285</v>
      </c>
      <c r="B238" s="113" t="s">
        <v>1955</v>
      </c>
      <c r="C238" s="3" t="b">
        <f t="shared" si="3"/>
        <v>0</v>
      </c>
    </row>
    <row r="239" spans="1:3" x14ac:dyDescent="0.25">
      <c r="A239" s="14" t="s">
        <v>1955</v>
      </c>
      <c r="B239" s="113" t="s">
        <v>1058</v>
      </c>
      <c r="C239" s="3" t="b">
        <f t="shared" si="3"/>
        <v>0</v>
      </c>
    </row>
    <row r="240" spans="1:3" x14ac:dyDescent="0.25">
      <c r="A240" s="14" t="s">
        <v>1058</v>
      </c>
      <c r="B240" s="113" t="s">
        <v>450</v>
      </c>
      <c r="C240" s="3" t="b">
        <f t="shared" si="3"/>
        <v>0</v>
      </c>
    </row>
    <row r="241" spans="1:3" x14ac:dyDescent="0.25">
      <c r="A241" s="14" t="s">
        <v>450</v>
      </c>
      <c r="B241" s="113" t="s">
        <v>1455</v>
      </c>
      <c r="C241" s="3" t="b">
        <f t="shared" si="3"/>
        <v>0</v>
      </c>
    </row>
    <row r="242" spans="1:3" x14ac:dyDescent="0.25">
      <c r="A242" s="14" t="s">
        <v>1455</v>
      </c>
      <c r="B242" s="113" t="s">
        <v>1439</v>
      </c>
      <c r="C242" s="3" t="b">
        <f t="shared" si="3"/>
        <v>0</v>
      </c>
    </row>
    <row r="243" spans="1:3" x14ac:dyDescent="0.25">
      <c r="A243" s="14" t="s">
        <v>1439</v>
      </c>
      <c r="B243" s="113" t="s">
        <v>1060</v>
      </c>
      <c r="C243" s="3" t="b">
        <f t="shared" si="3"/>
        <v>0</v>
      </c>
    </row>
    <row r="244" spans="1:3" x14ac:dyDescent="0.25">
      <c r="A244" s="54" t="s">
        <v>1060</v>
      </c>
      <c r="B244" s="113" t="s">
        <v>1444</v>
      </c>
      <c r="C244" s="3" t="b">
        <f t="shared" si="3"/>
        <v>0</v>
      </c>
    </row>
    <row r="245" spans="1:3" x14ac:dyDescent="0.25">
      <c r="A245" s="14" t="s">
        <v>1444</v>
      </c>
      <c r="B245" s="113" t="s">
        <v>1447</v>
      </c>
      <c r="C245" s="3" t="b">
        <f t="shared" si="3"/>
        <v>0</v>
      </c>
    </row>
    <row r="246" spans="1:3" x14ac:dyDescent="0.25">
      <c r="A246" s="110" t="s">
        <v>1447</v>
      </c>
      <c r="B246" s="113" t="s">
        <v>1460</v>
      </c>
      <c r="C246" s="3" t="b">
        <f t="shared" si="3"/>
        <v>0</v>
      </c>
    </row>
    <row r="247" spans="1:3" x14ac:dyDescent="0.25">
      <c r="A247" s="13" t="s">
        <v>1460</v>
      </c>
      <c r="B247" s="113" t="s">
        <v>1452</v>
      </c>
      <c r="C247" s="3" t="b">
        <f t="shared" si="3"/>
        <v>0</v>
      </c>
    </row>
    <row r="248" spans="1:3" x14ac:dyDescent="0.25">
      <c r="A248" s="13" t="s">
        <v>1452</v>
      </c>
      <c r="B248" s="113" t="s">
        <v>1423</v>
      </c>
      <c r="C248" s="3" t="b">
        <f t="shared" si="3"/>
        <v>0</v>
      </c>
    </row>
    <row r="249" spans="1:3" x14ac:dyDescent="0.25">
      <c r="A249" s="13" t="s">
        <v>1423</v>
      </c>
      <c r="C249" s="3" t="b">
        <f t="shared" si="3"/>
        <v>0</v>
      </c>
    </row>
  </sheetData>
  <conditionalFormatting sqref="A4:A7">
    <cfRule type="duplicateValues" dxfId="674" priority="38"/>
  </conditionalFormatting>
  <conditionalFormatting sqref="A4:A7">
    <cfRule type="duplicateValues" dxfId="673" priority="39"/>
    <cfRule type="duplicateValues" dxfId="672" priority="40"/>
  </conditionalFormatting>
  <conditionalFormatting sqref="A1">
    <cfRule type="duplicateValues" dxfId="671" priority="37"/>
  </conditionalFormatting>
  <conditionalFormatting sqref="A230:A245 A208:A228 A176:A206 A165:A174 A156:A163 A148:A149 A151:A154 A110:A146 A29:A108 A8:A27 A2:A3">
    <cfRule type="duplicateValues" dxfId="670" priority="41"/>
    <cfRule type="duplicateValues" dxfId="669" priority="42"/>
  </conditionalFormatting>
  <conditionalFormatting sqref="A230:A245 A208:A228 A176:A206 A165:A174 A156:A163 A148:A149 A151:A154 A110:A146 A29:A108 A8:A27 A2:A3">
    <cfRule type="duplicateValues" dxfId="668" priority="43"/>
  </conditionalFormatting>
  <conditionalFormatting sqref="A208:A245 A176:A206 A156:A174 A148:A149 A151:A154 A8:A146 A2:A3">
    <cfRule type="duplicateValues" dxfId="667" priority="44"/>
  </conditionalFormatting>
  <conditionalFormatting sqref="A28">
    <cfRule type="duplicateValues" dxfId="666" priority="34"/>
    <cfRule type="duplicateValues" dxfId="665" priority="35"/>
  </conditionalFormatting>
  <conditionalFormatting sqref="A28">
    <cfRule type="duplicateValues" dxfId="664" priority="36"/>
  </conditionalFormatting>
  <conditionalFormatting sqref="A109">
    <cfRule type="duplicateValues" dxfId="663" priority="31"/>
    <cfRule type="duplicateValues" dxfId="662" priority="32"/>
  </conditionalFormatting>
  <conditionalFormatting sqref="A109">
    <cfRule type="duplicateValues" dxfId="661" priority="33"/>
  </conditionalFormatting>
  <conditionalFormatting sqref="A147">
    <cfRule type="duplicateValues" dxfId="660" priority="28"/>
    <cfRule type="duplicateValues" dxfId="659" priority="29"/>
  </conditionalFormatting>
  <conditionalFormatting sqref="A147">
    <cfRule type="duplicateValues" dxfId="658" priority="30"/>
  </conditionalFormatting>
  <conditionalFormatting sqref="A150">
    <cfRule type="duplicateValues" dxfId="657" priority="25"/>
    <cfRule type="duplicateValues" dxfId="656" priority="26"/>
  </conditionalFormatting>
  <conditionalFormatting sqref="A150">
    <cfRule type="duplicateValues" dxfId="655" priority="27"/>
  </conditionalFormatting>
  <conditionalFormatting sqref="A155">
    <cfRule type="duplicateValues" dxfId="654" priority="22"/>
  </conditionalFormatting>
  <conditionalFormatting sqref="A155">
    <cfRule type="duplicateValues" dxfId="653" priority="23"/>
    <cfRule type="duplicateValues" dxfId="652" priority="24"/>
  </conditionalFormatting>
  <conditionalFormatting sqref="A164">
    <cfRule type="duplicateValues" dxfId="651" priority="19"/>
    <cfRule type="duplicateValues" dxfId="650" priority="20"/>
  </conditionalFormatting>
  <conditionalFormatting sqref="A164">
    <cfRule type="duplicateValues" dxfId="649" priority="21"/>
  </conditionalFormatting>
  <conditionalFormatting sqref="A207">
    <cfRule type="duplicateValues" dxfId="648" priority="16"/>
  </conditionalFormatting>
  <conditionalFormatting sqref="A207">
    <cfRule type="duplicateValues" dxfId="647" priority="17"/>
    <cfRule type="duplicateValues" dxfId="646" priority="18"/>
  </conditionalFormatting>
  <conditionalFormatting sqref="A229">
    <cfRule type="duplicateValues" dxfId="645" priority="13"/>
    <cfRule type="duplicateValues" dxfId="644" priority="14"/>
  </conditionalFormatting>
  <conditionalFormatting sqref="A229">
    <cfRule type="duplicateValues" dxfId="643" priority="15"/>
  </conditionalFormatting>
  <conditionalFormatting sqref="A246">
    <cfRule type="duplicateValues" dxfId="642" priority="12"/>
  </conditionalFormatting>
  <conditionalFormatting sqref="A246">
    <cfRule type="duplicateValues" dxfId="641" priority="9"/>
  </conditionalFormatting>
  <conditionalFormatting sqref="A246">
    <cfRule type="duplicateValues" dxfId="640" priority="10"/>
    <cfRule type="duplicateValues" dxfId="639" priority="11"/>
  </conditionalFormatting>
  <conditionalFormatting sqref="A247">
    <cfRule type="duplicateValues" dxfId="638" priority="8"/>
  </conditionalFormatting>
  <conditionalFormatting sqref="A247">
    <cfRule type="duplicateValues" dxfId="637" priority="5"/>
  </conditionalFormatting>
  <conditionalFormatting sqref="A247">
    <cfRule type="duplicateValues" dxfId="636" priority="6"/>
    <cfRule type="duplicateValues" dxfId="635" priority="7"/>
  </conditionalFormatting>
  <conditionalFormatting sqref="A248:A249">
    <cfRule type="duplicateValues" dxfId="634" priority="4"/>
  </conditionalFormatting>
  <conditionalFormatting sqref="A248:A249">
    <cfRule type="duplicateValues" dxfId="633" priority="1"/>
  </conditionalFormatting>
  <conditionalFormatting sqref="A248:A249">
    <cfRule type="duplicateValues" dxfId="632" priority="2"/>
    <cfRule type="duplicateValues" dxfId="631" priority="3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C208"/>
  <sheetViews>
    <sheetView workbookViewId="0">
      <selection activeCell="F223" sqref="F223"/>
    </sheetView>
  </sheetViews>
  <sheetFormatPr baseColWidth="10" defaultRowHeight="15" x14ac:dyDescent="0.25"/>
  <cols>
    <col min="1" max="1" width="17.7109375" bestFit="1" customWidth="1"/>
    <col min="2" max="2" width="48.85546875" bestFit="1" customWidth="1"/>
    <col min="3" max="3" width="15.5703125" bestFit="1" customWidth="1"/>
  </cols>
  <sheetData>
    <row r="1" spans="1:3" x14ac:dyDescent="0.25">
      <c r="A1" s="102" t="s">
        <v>2224</v>
      </c>
      <c r="B1" s="102" t="s">
        <v>2225</v>
      </c>
      <c r="C1" s="102" t="s">
        <v>2226</v>
      </c>
    </row>
    <row r="2" spans="1:3" hidden="1" x14ac:dyDescent="0.25">
      <c r="A2" s="70">
        <v>9203</v>
      </c>
      <c r="B2" s="70" t="s">
        <v>653</v>
      </c>
      <c r="C2" s="70" t="s">
        <v>2238</v>
      </c>
    </row>
    <row r="3" spans="1:3" hidden="1" x14ac:dyDescent="0.25">
      <c r="A3" s="70">
        <v>9211</v>
      </c>
      <c r="B3" s="70" t="s">
        <v>2229</v>
      </c>
      <c r="C3" s="70" t="s">
        <v>2228</v>
      </c>
    </row>
    <row r="4" spans="1:3" hidden="1" x14ac:dyDescent="0.25">
      <c r="A4" s="70">
        <v>9212</v>
      </c>
      <c r="B4" s="70" t="s">
        <v>2230</v>
      </c>
      <c r="C4" s="70" t="s">
        <v>2231</v>
      </c>
    </row>
    <row r="5" spans="1:3" hidden="1" x14ac:dyDescent="0.25">
      <c r="A5" s="70">
        <v>9213</v>
      </c>
      <c r="B5" s="70" t="s">
        <v>691</v>
      </c>
      <c r="C5" s="70" t="s">
        <v>2228</v>
      </c>
    </row>
    <row r="6" spans="1:3" hidden="1" x14ac:dyDescent="0.25">
      <c r="A6" s="70">
        <v>9214</v>
      </c>
      <c r="B6" s="70" t="s">
        <v>2232</v>
      </c>
      <c r="C6" s="70" t="s">
        <v>2231</v>
      </c>
    </row>
    <row r="7" spans="1:3" hidden="1" x14ac:dyDescent="0.25">
      <c r="A7" s="70">
        <v>9217</v>
      </c>
      <c r="B7" s="70" t="s">
        <v>688</v>
      </c>
      <c r="C7" s="70" t="s">
        <v>2228</v>
      </c>
    </row>
    <row r="8" spans="1:3" hidden="1" x14ac:dyDescent="0.25">
      <c r="A8" s="70">
        <v>9218</v>
      </c>
      <c r="B8" s="70" t="s">
        <v>2233</v>
      </c>
      <c r="C8" s="70" t="s">
        <v>2228</v>
      </c>
    </row>
    <row r="9" spans="1:3" hidden="1" x14ac:dyDescent="0.25">
      <c r="A9" s="70">
        <v>9219</v>
      </c>
      <c r="B9" s="70" t="s">
        <v>2234</v>
      </c>
      <c r="C9" s="70" t="s">
        <v>2228</v>
      </c>
    </row>
    <row r="10" spans="1:3" hidden="1" x14ac:dyDescent="0.25">
      <c r="A10" s="70">
        <v>9221</v>
      </c>
      <c r="B10" s="70" t="s">
        <v>768</v>
      </c>
      <c r="C10" s="70" t="s">
        <v>2238</v>
      </c>
    </row>
    <row r="11" spans="1:3" hidden="1" x14ac:dyDescent="0.25">
      <c r="A11" s="70">
        <v>9224</v>
      </c>
      <c r="B11" s="70" t="s">
        <v>667</v>
      </c>
      <c r="C11" s="70" t="s">
        <v>2228</v>
      </c>
    </row>
    <row r="12" spans="1:3" hidden="1" x14ac:dyDescent="0.25">
      <c r="A12" s="70">
        <v>9225</v>
      </c>
      <c r="B12" s="70" t="s">
        <v>836</v>
      </c>
      <c r="C12" s="70" t="s">
        <v>2228</v>
      </c>
    </row>
    <row r="13" spans="1:3" hidden="1" x14ac:dyDescent="0.25">
      <c r="A13" s="70">
        <v>9226</v>
      </c>
      <c r="B13" s="70" t="s">
        <v>714</v>
      </c>
      <c r="C13" s="70" t="s">
        <v>2228</v>
      </c>
    </row>
    <row r="14" spans="1:3" hidden="1" x14ac:dyDescent="0.25">
      <c r="A14" s="70">
        <v>9227</v>
      </c>
      <c r="B14" s="70" t="s">
        <v>821</v>
      </c>
      <c r="C14" s="70" t="s">
        <v>2228</v>
      </c>
    </row>
    <row r="15" spans="1:3" hidden="1" x14ac:dyDescent="0.25">
      <c r="A15" s="70">
        <v>9228</v>
      </c>
      <c r="B15" s="70" t="s">
        <v>830</v>
      </c>
      <c r="C15" s="70" t="s">
        <v>2228</v>
      </c>
    </row>
    <row r="16" spans="1:3" hidden="1" x14ac:dyDescent="0.25">
      <c r="A16" s="70">
        <v>9229</v>
      </c>
      <c r="B16" s="70" t="s">
        <v>2235</v>
      </c>
      <c r="C16" s="70" t="s">
        <v>2231</v>
      </c>
    </row>
    <row r="17" spans="1:3" hidden="1" x14ac:dyDescent="0.25">
      <c r="A17" s="104">
        <v>9229</v>
      </c>
      <c r="B17" s="70" t="s">
        <v>2371</v>
      </c>
      <c r="C17" s="103" t="s">
        <v>2228</v>
      </c>
    </row>
    <row r="18" spans="1:3" hidden="1" x14ac:dyDescent="0.25">
      <c r="A18" s="70">
        <v>9231</v>
      </c>
      <c r="B18" s="70" t="s">
        <v>807</v>
      </c>
      <c r="C18" s="70" t="s">
        <v>2228</v>
      </c>
    </row>
    <row r="19" spans="1:3" hidden="1" x14ac:dyDescent="0.25">
      <c r="A19" s="70">
        <v>9232</v>
      </c>
      <c r="B19" s="70" t="s">
        <v>698</v>
      </c>
      <c r="C19" s="70" t="s">
        <v>2228</v>
      </c>
    </row>
    <row r="20" spans="1:3" hidden="1" x14ac:dyDescent="0.25">
      <c r="A20" s="70">
        <v>9234</v>
      </c>
      <c r="B20" s="70" t="s">
        <v>661</v>
      </c>
      <c r="C20" s="70" t="s">
        <v>2231</v>
      </c>
    </row>
    <row r="21" spans="1:3" hidden="1" x14ac:dyDescent="0.25">
      <c r="A21" s="70">
        <v>9238</v>
      </c>
      <c r="B21" s="70" t="s">
        <v>842</v>
      </c>
      <c r="C21" s="70" t="s">
        <v>2228</v>
      </c>
    </row>
    <row r="22" spans="1:3" hidden="1" x14ac:dyDescent="0.25">
      <c r="A22" s="70">
        <v>9241</v>
      </c>
      <c r="B22" s="70" t="s">
        <v>2236</v>
      </c>
      <c r="C22" s="70" t="s">
        <v>2231</v>
      </c>
    </row>
    <row r="23" spans="1:3" hidden="1" x14ac:dyDescent="0.25">
      <c r="A23" s="70">
        <v>9246</v>
      </c>
      <c r="B23" s="70" t="s">
        <v>727</v>
      </c>
      <c r="C23" s="70" t="s">
        <v>2228</v>
      </c>
    </row>
    <row r="24" spans="1:3" hidden="1" x14ac:dyDescent="0.25">
      <c r="A24" s="70">
        <v>9250</v>
      </c>
      <c r="B24" s="70" t="s">
        <v>717</v>
      </c>
      <c r="C24" s="70" t="s">
        <v>2228</v>
      </c>
    </row>
    <row r="25" spans="1:3" hidden="1" x14ac:dyDescent="0.25">
      <c r="A25" s="70">
        <v>9252</v>
      </c>
      <c r="B25" s="70" t="s">
        <v>2237</v>
      </c>
      <c r="C25" s="70" t="s">
        <v>2238</v>
      </c>
    </row>
    <row r="26" spans="1:3" hidden="1" x14ac:dyDescent="0.25">
      <c r="A26" s="70">
        <v>9253</v>
      </c>
      <c r="B26" s="70" t="s">
        <v>2239</v>
      </c>
      <c r="C26" s="70" t="s">
        <v>2238</v>
      </c>
    </row>
    <row r="27" spans="1:3" hidden="1" x14ac:dyDescent="0.25">
      <c r="A27" s="70">
        <v>9259</v>
      </c>
      <c r="B27" s="70" t="s">
        <v>677</v>
      </c>
      <c r="C27" s="70" t="s">
        <v>2228</v>
      </c>
    </row>
    <row r="28" spans="1:3" hidden="1" x14ac:dyDescent="0.25">
      <c r="A28" s="70">
        <v>9260</v>
      </c>
      <c r="B28" s="70" t="s">
        <v>2240</v>
      </c>
      <c r="C28" s="70" t="s">
        <v>2228</v>
      </c>
    </row>
    <row r="29" spans="1:3" hidden="1" x14ac:dyDescent="0.25">
      <c r="A29" s="70">
        <v>9261</v>
      </c>
      <c r="B29" s="70" t="s">
        <v>2241</v>
      </c>
      <c r="C29" s="70" t="s">
        <v>2228</v>
      </c>
    </row>
    <row r="30" spans="1:3" hidden="1" x14ac:dyDescent="0.25">
      <c r="A30" s="70">
        <v>9263</v>
      </c>
      <c r="B30" s="70" t="s">
        <v>712</v>
      </c>
      <c r="C30" s="70" t="s">
        <v>2228</v>
      </c>
    </row>
    <row r="31" spans="1:3" hidden="1" x14ac:dyDescent="0.25">
      <c r="A31" s="70">
        <v>9264</v>
      </c>
      <c r="B31" s="70" t="s">
        <v>2242</v>
      </c>
      <c r="C31" s="70" t="s">
        <v>2228</v>
      </c>
    </row>
    <row r="32" spans="1:3" hidden="1" x14ac:dyDescent="0.25">
      <c r="A32" s="70">
        <v>9268</v>
      </c>
      <c r="B32" s="70" t="s">
        <v>2243</v>
      </c>
      <c r="C32" s="70" t="s">
        <v>2231</v>
      </c>
    </row>
    <row r="33" spans="1:3" hidden="1" x14ac:dyDescent="0.25">
      <c r="A33" s="70">
        <v>9269</v>
      </c>
      <c r="B33" s="70" t="s">
        <v>2244</v>
      </c>
      <c r="C33" s="70" t="s">
        <v>2231</v>
      </c>
    </row>
    <row r="34" spans="1:3" hidden="1" x14ac:dyDescent="0.25">
      <c r="A34" s="70">
        <v>9270</v>
      </c>
      <c r="B34" s="70" t="s">
        <v>2245</v>
      </c>
      <c r="C34" s="70" t="s">
        <v>2228</v>
      </c>
    </row>
    <row r="35" spans="1:3" hidden="1" x14ac:dyDescent="0.25">
      <c r="A35" s="70">
        <v>9271</v>
      </c>
      <c r="B35" s="70" t="s">
        <v>797</v>
      </c>
      <c r="C35" s="70" t="s">
        <v>2228</v>
      </c>
    </row>
    <row r="36" spans="1:3" hidden="1" x14ac:dyDescent="0.25">
      <c r="A36" s="70">
        <v>9272</v>
      </c>
      <c r="B36" s="70" t="s">
        <v>2246</v>
      </c>
      <c r="C36" s="70" t="s">
        <v>2228</v>
      </c>
    </row>
    <row r="37" spans="1:3" hidden="1" x14ac:dyDescent="0.25">
      <c r="A37" s="70">
        <v>9276</v>
      </c>
      <c r="B37" s="70" t="s">
        <v>725</v>
      </c>
      <c r="C37" s="70" t="s">
        <v>2228</v>
      </c>
    </row>
    <row r="38" spans="1:3" hidden="1" x14ac:dyDescent="0.25">
      <c r="A38" s="70">
        <v>9282</v>
      </c>
      <c r="B38" s="70" t="s">
        <v>2247</v>
      </c>
      <c r="C38" s="70" t="s">
        <v>2228</v>
      </c>
    </row>
    <row r="39" spans="1:3" hidden="1" x14ac:dyDescent="0.25">
      <c r="A39" s="70">
        <v>9283</v>
      </c>
      <c r="B39" s="70" t="s">
        <v>2248</v>
      </c>
      <c r="C39" s="70" t="s">
        <v>2231</v>
      </c>
    </row>
    <row r="40" spans="1:3" hidden="1" x14ac:dyDescent="0.25">
      <c r="A40" s="70">
        <v>9284</v>
      </c>
      <c r="B40" s="70" t="s">
        <v>832</v>
      </c>
      <c r="C40" s="70" t="s">
        <v>2231</v>
      </c>
    </row>
    <row r="41" spans="1:3" hidden="1" x14ac:dyDescent="0.25">
      <c r="A41" s="70">
        <v>9285</v>
      </c>
      <c r="B41" s="70" t="s">
        <v>2249</v>
      </c>
      <c r="C41" s="70" t="s">
        <v>2238</v>
      </c>
    </row>
    <row r="42" spans="1:3" hidden="1" x14ac:dyDescent="0.25">
      <c r="A42" s="70">
        <v>9289</v>
      </c>
      <c r="B42" s="70" t="s">
        <v>2250</v>
      </c>
      <c r="C42" s="70" t="s">
        <v>2228</v>
      </c>
    </row>
    <row r="43" spans="1:3" hidden="1" x14ac:dyDescent="0.25">
      <c r="A43" s="70">
        <v>9290</v>
      </c>
      <c r="B43" s="70" t="s">
        <v>824</v>
      </c>
      <c r="C43" s="70" t="s">
        <v>2228</v>
      </c>
    </row>
    <row r="44" spans="1:3" hidden="1" x14ac:dyDescent="0.25">
      <c r="A44" s="70">
        <v>9291</v>
      </c>
      <c r="B44" s="70" t="s">
        <v>817</v>
      </c>
      <c r="C44" s="70" t="s">
        <v>2228</v>
      </c>
    </row>
    <row r="45" spans="1:3" hidden="1" x14ac:dyDescent="0.25">
      <c r="A45" s="70">
        <v>9292</v>
      </c>
      <c r="B45" s="70" t="s">
        <v>2133</v>
      </c>
      <c r="C45" s="70" t="s">
        <v>2228</v>
      </c>
    </row>
    <row r="46" spans="1:3" hidden="1" x14ac:dyDescent="0.25">
      <c r="A46" s="70">
        <v>9294</v>
      </c>
      <c r="B46" s="70" t="s">
        <v>793</v>
      </c>
      <c r="C46" s="70" t="s">
        <v>2228</v>
      </c>
    </row>
    <row r="47" spans="1:3" hidden="1" x14ac:dyDescent="0.25">
      <c r="A47" s="70">
        <v>9295</v>
      </c>
      <c r="B47" s="70" t="s">
        <v>2251</v>
      </c>
      <c r="C47" s="70" t="s">
        <v>2238</v>
      </c>
    </row>
    <row r="48" spans="1:3" hidden="1" x14ac:dyDescent="0.25">
      <c r="A48" s="70">
        <v>9297</v>
      </c>
      <c r="B48" s="70" t="s">
        <v>733</v>
      </c>
      <c r="C48" s="70" t="s">
        <v>2231</v>
      </c>
    </row>
    <row r="49" spans="1:3" hidden="1" x14ac:dyDescent="0.25">
      <c r="A49" s="70">
        <v>9298</v>
      </c>
      <c r="B49" s="70" t="s">
        <v>2252</v>
      </c>
      <c r="C49" s="70" t="s">
        <v>2238</v>
      </c>
    </row>
    <row r="50" spans="1:3" hidden="1" x14ac:dyDescent="0.25">
      <c r="A50" s="70">
        <v>9299</v>
      </c>
      <c r="B50" s="70" t="s">
        <v>752</v>
      </c>
      <c r="C50" s="70" t="s">
        <v>2228</v>
      </c>
    </row>
    <row r="51" spans="1:3" hidden="1" x14ac:dyDescent="0.25">
      <c r="A51" s="70">
        <v>9304</v>
      </c>
      <c r="B51" s="70" t="s">
        <v>2253</v>
      </c>
      <c r="C51" s="70" t="s">
        <v>2231</v>
      </c>
    </row>
    <row r="52" spans="1:3" hidden="1" x14ac:dyDescent="0.25">
      <c r="A52" s="70">
        <v>9311</v>
      </c>
      <c r="B52" s="70" t="s">
        <v>2254</v>
      </c>
      <c r="C52" s="70" t="s">
        <v>2228</v>
      </c>
    </row>
    <row r="53" spans="1:3" hidden="1" x14ac:dyDescent="0.25">
      <c r="A53" s="70">
        <v>9312</v>
      </c>
      <c r="B53" s="70" t="s">
        <v>2255</v>
      </c>
      <c r="C53" s="70" t="s">
        <v>2228</v>
      </c>
    </row>
    <row r="54" spans="1:3" hidden="1" x14ac:dyDescent="0.25">
      <c r="A54" s="70">
        <v>9330</v>
      </c>
      <c r="B54" s="70" t="s">
        <v>540</v>
      </c>
      <c r="C54" s="70" t="s">
        <v>2228</v>
      </c>
    </row>
    <row r="55" spans="1:3" hidden="1" x14ac:dyDescent="0.25">
      <c r="A55" s="70">
        <v>9336</v>
      </c>
      <c r="B55" s="70" t="s">
        <v>2256</v>
      </c>
      <c r="C55" s="70" t="s">
        <v>2231</v>
      </c>
    </row>
    <row r="56" spans="1:3" hidden="1" x14ac:dyDescent="0.25">
      <c r="A56" s="70">
        <v>9340</v>
      </c>
      <c r="B56" s="70" t="s">
        <v>524</v>
      </c>
      <c r="C56" s="70" t="s">
        <v>2228</v>
      </c>
    </row>
    <row r="57" spans="1:3" hidden="1" x14ac:dyDescent="0.25">
      <c r="A57" s="70">
        <v>9341</v>
      </c>
      <c r="B57" s="70" t="s">
        <v>2257</v>
      </c>
      <c r="C57" s="70" t="s">
        <v>2238</v>
      </c>
    </row>
    <row r="58" spans="1:3" hidden="1" x14ac:dyDescent="0.25">
      <c r="A58" s="70">
        <v>9345</v>
      </c>
      <c r="B58" s="70" t="s">
        <v>738</v>
      </c>
      <c r="C58" s="70" t="s">
        <v>2228</v>
      </c>
    </row>
    <row r="59" spans="1:3" hidden="1" x14ac:dyDescent="0.25">
      <c r="A59" s="70">
        <v>9349</v>
      </c>
      <c r="B59" s="70" t="s">
        <v>750</v>
      </c>
      <c r="C59" s="70" t="s">
        <v>2231</v>
      </c>
    </row>
    <row r="60" spans="1:3" hidden="1" x14ac:dyDescent="0.25">
      <c r="A60" s="70">
        <v>9350</v>
      </c>
      <c r="B60" s="70" t="s">
        <v>2258</v>
      </c>
      <c r="C60" s="70" t="s">
        <v>2231</v>
      </c>
    </row>
    <row r="61" spans="1:3" hidden="1" x14ac:dyDescent="0.25">
      <c r="A61" s="70">
        <v>9360</v>
      </c>
      <c r="B61" s="70" t="s">
        <v>2259</v>
      </c>
      <c r="C61" s="70" t="s">
        <v>2228</v>
      </c>
    </row>
    <row r="62" spans="1:3" hidden="1" x14ac:dyDescent="0.25">
      <c r="A62" s="70">
        <v>9370</v>
      </c>
      <c r="B62" s="70" t="s">
        <v>2260</v>
      </c>
      <c r="C62" s="70" t="s">
        <v>2228</v>
      </c>
    </row>
    <row r="63" spans="1:3" hidden="1" x14ac:dyDescent="0.25">
      <c r="A63" s="70">
        <v>9374</v>
      </c>
      <c r="B63" s="70" t="s">
        <v>2261</v>
      </c>
      <c r="C63" s="70" t="s">
        <v>2238</v>
      </c>
    </row>
    <row r="64" spans="1:3" hidden="1" x14ac:dyDescent="0.25">
      <c r="A64" s="70">
        <v>9388</v>
      </c>
      <c r="B64" s="70" t="s">
        <v>555</v>
      </c>
      <c r="C64" s="70" t="s">
        <v>2228</v>
      </c>
    </row>
    <row r="65" spans="1:3" hidden="1" x14ac:dyDescent="0.25">
      <c r="A65" s="70">
        <v>9390</v>
      </c>
      <c r="B65" s="70" t="s">
        <v>568</v>
      </c>
      <c r="C65" s="70" t="s">
        <v>2238</v>
      </c>
    </row>
    <row r="66" spans="1:3" hidden="1" x14ac:dyDescent="0.25">
      <c r="A66" s="70">
        <v>9391</v>
      </c>
      <c r="B66" s="70" t="s">
        <v>2262</v>
      </c>
      <c r="C66" s="70" t="s">
        <v>2228</v>
      </c>
    </row>
    <row r="67" spans="1:3" hidden="1" x14ac:dyDescent="0.25">
      <c r="A67" s="70">
        <v>9392</v>
      </c>
      <c r="B67" s="70" t="s">
        <v>526</v>
      </c>
      <c r="C67" s="70" t="s">
        <v>2228</v>
      </c>
    </row>
    <row r="68" spans="1:3" hidden="1" x14ac:dyDescent="0.25">
      <c r="A68" s="70">
        <v>9393</v>
      </c>
      <c r="B68" s="70" t="s">
        <v>2263</v>
      </c>
      <c r="C68" s="70" t="s">
        <v>2228</v>
      </c>
    </row>
    <row r="69" spans="1:3" hidden="1" x14ac:dyDescent="0.25">
      <c r="A69" s="70">
        <v>9394</v>
      </c>
      <c r="B69" s="70" t="s">
        <v>2264</v>
      </c>
      <c r="C69" s="70" t="s">
        <v>2228</v>
      </c>
    </row>
    <row r="70" spans="1:3" hidden="1" x14ac:dyDescent="0.25">
      <c r="A70" s="70">
        <v>9396</v>
      </c>
      <c r="B70" s="70" t="s">
        <v>2265</v>
      </c>
      <c r="C70" s="70" t="s">
        <v>2228</v>
      </c>
    </row>
    <row r="71" spans="1:3" hidden="1" x14ac:dyDescent="0.25">
      <c r="A71" s="70">
        <v>9397</v>
      </c>
      <c r="B71" s="70" t="s">
        <v>538</v>
      </c>
      <c r="C71" s="70" t="s">
        <v>2228</v>
      </c>
    </row>
    <row r="72" spans="1:3" hidden="1" x14ac:dyDescent="0.25">
      <c r="A72" s="70">
        <v>9398</v>
      </c>
      <c r="B72" s="70" t="s">
        <v>2266</v>
      </c>
      <c r="C72" s="70" t="s">
        <v>2228</v>
      </c>
    </row>
    <row r="73" spans="1:3" hidden="1" x14ac:dyDescent="0.25">
      <c r="A73" s="70">
        <v>9402</v>
      </c>
      <c r="B73" s="70" t="s">
        <v>2267</v>
      </c>
      <c r="C73" s="70" t="s">
        <v>2238</v>
      </c>
    </row>
    <row r="74" spans="1:3" hidden="1" x14ac:dyDescent="0.25">
      <c r="A74" s="70">
        <v>9405</v>
      </c>
      <c r="B74" s="70" t="s">
        <v>511</v>
      </c>
      <c r="C74" s="70" t="s">
        <v>2228</v>
      </c>
    </row>
    <row r="75" spans="1:3" hidden="1" x14ac:dyDescent="0.25">
      <c r="A75" s="70">
        <v>9408</v>
      </c>
      <c r="B75" s="70" t="s">
        <v>608</v>
      </c>
      <c r="C75" s="70" t="s">
        <v>2231</v>
      </c>
    </row>
    <row r="76" spans="1:3" hidden="1" x14ac:dyDescent="0.25">
      <c r="A76" s="70">
        <v>9410</v>
      </c>
      <c r="B76" s="70" t="s">
        <v>2268</v>
      </c>
      <c r="C76" s="70" t="s">
        <v>2228</v>
      </c>
    </row>
    <row r="77" spans="1:3" hidden="1" x14ac:dyDescent="0.25">
      <c r="A77" s="70">
        <v>9414</v>
      </c>
      <c r="B77" s="70" t="s">
        <v>2269</v>
      </c>
      <c r="C77" s="70" t="s">
        <v>2238</v>
      </c>
    </row>
    <row r="78" spans="1:3" hidden="1" x14ac:dyDescent="0.25">
      <c r="A78" s="70">
        <v>9415</v>
      </c>
      <c r="B78" s="70" t="s">
        <v>2270</v>
      </c>
      <c r="C78" s="70" t="s">
        <v>2231</v>
      </c>
    </row>
    <row r="79" spans="1:3" hidden="1" x14ac:dyDescent="0.25">
      <c r="A79" s="70">
        <v>9420</v>
      </c>
      <c r="B79" s="70" t="s">
        <v>2271</v>
      </c>
      <c r="C79" s="70" t="s">
        <v>2238</v>
      </c>
    </row>
    <row r="80" spans="1:3" hidden="1" x14ac:dyDescent="0.25">
      <c r="A80" s="70">
        <v>9425</v>
      </c>
      <c r="B80" s="70" t="s">
        <v>2272</v>
      </c>
      <c r="C80" s="70" t="s">
        <v>2228</v>
      </c>
    </row>
    <row r="81" spans="1:3" hidden="1" x14ac:dyDescent="0.25">
      <c r="A81" s="70">
        <v>9429</v>
      </c>
      <c r="B81" s="70" t="s">
        <v>2273</v>
      </c>
      <c r="C81" s="70" t="s">
        <v>2228</v>
      </c>
    </row>
    <row r="82" spans="1:3" hidden="1" x14ac:dyDescent="0.25">
      <c r="A82" s="70">
        <v>9430</v>
      </c>
      <c r="B82" s="70" t="s">
        <v>2274</v>
      </c>
      <c r="C82" s="70" t="s">
        <v>2228</v>
      </c>
    </row>
    <row r="83" spans="1:3" hidden="1" x14ac:dyDescent="0.25">
      <c r="A83" s="70">
        <v>9440</v>
      </c>
      <c r="B83" s="70" t="s">
        <v>465</v>
      </c>
      <c r="C83" s="70" t="s">
        <v>2228</v>
      </c>
    </row>
    <row r="84" spans="1:3" hidden="1" x14ac:dyDescent="0.25">
      <c r="A84" s="70">
        <v>9441</v>
      </c>
      <c r="B84" s="70" t="s">
        <v>2275</v>
      </c>
      <c r="C84" s="70" t="s">
        <v>2228</v>
      </c>
    </row>
    <row r="85" spans="1:3" hidden="1" x14ac:dyDescent="0.25">
      <c r="A85" s="70">
        <v>9444</v>
      </c>
      <c r="B85" s="70" t="s">
        <v>2276</v>
      </c>
      <c r="C85" s="70" t="s">
        <v>2228</v>
      </c>
    </row>
    <row r="86" spans="1:3" hidden="1" x14ac:dyDescent="0.25">
      <c r="A86" s="70">
        <v>9445</v>
      </c>
      <c r="B86" s="70" t="s">
        <v>2277</v>
      </c>
      <c r="C86" s="70" t="s">
        <v>2231</v>
      </c>
    </row>
    <row r="87" spans="1:3" hidden="1" x14ac:dyDescent="0.25">
      <c r="A87" s="70">
        <v>9446</v>
      </c>
      <c r="B87" s="70" t="s">
        <v>2278</v>
      </c>
      <c r="C87" s="70" t="s">
        <v>2228</v>
      </c>
    </row>
    <row r="88" spans="1:3" hidden="1" x14ac:dyDescent="0.25">
      <c r="A88" s="70">
        <v>9448</v>
      </c>
      <c r="B88" s="70" t="s">
        <v>2279</v>
      </c>
      <c r="C88" s="70" t="s">
        <v>2228</v>
      </c>
    </row>
    <row r="89" spans="1:3" hidden="1" x14ac:dyDescent="0.25">
      <c r="A89" s="70">
        <v>9461</v>
      </c>
      <c r="B89" s="70" t="s">
        <v>2280</v>
      </c>
      <c r="C89" s="70" t="s">
        <v>2228</v>
      </c>
    </row>
    <row r="90" spans="1:3" hidden="1" x14ac:dyDescent="0.25">
      <c r="A90" s="70">
        <v>9467</v>
      </c>
      <c r="B90" s="70" t="s">
        <v>2281</v>
      </c>
      <c r="C90" s="70" t="s">
        <v>2228</v>
      </c>
    </row>
    <row r="91" spans="1:3" hidden="1" x14ac:dyDescent="0.25">
      <c r="A91" s="70">
        <v>9469</v>
      </c>
      <c r="B91" s="70" t="s">
        <v>494</v>
      </c>
      <c r="C91" s="70" t="s">
        <v>2238</v>
      </c>
    </row>
    <row r="92" spans="1:3" hidden="1" x14ac:dyDescent="0.25">
      <c r="A92" s="70">
        <v>9470</v>
      </c>
      <c r="B92" s="70" t="s">
        <v>498</v>
      </c>
      <c r="C92" s="70" t="s">
        <v>2228</v>
      </c>
    </row>
    <row r="93" spans="1:3" hidden="1" x14ac:dyDescent="0.25">
      <c r="A93" s="70">
        <v>9471</v>
      </c>
      <c r="B93" s="70" t="s">
        <v>2282</v>
      </c>
      <c r="C93" s="70" t="s">
        <v>2231</v>
      </c>
    </row>
    <row r="94" spans="1:3" hidden="1" x14ac:dyDescent="0.25">
      <c r="A94" s="70">
        <v>9472</v>
      </c>
      <c r="B94" s="70" t="s">
        <v>506</v>
      </c>
      <c r="C94" s="70" t="s">
        <v>2228</v>
      </c>
    </row>
    <row r="95" spans="1:3" hidden="1" x14ac:dyDescent="0.25">
      <c r="A95" s="70">
        <v>9474</v>
      </c>
      <c r="B95" s="70" t="s">
        <v>2283</v>
      </c>
      <c r="C95" s="70" t="s">
        <v>2238</v>
      </c>
    </row>
    <row r="96" spans="1:3" hidden="1" x14ac:dyDescent="0.25">
      <c r="A96" s="70">
        <v>9477</v>
      </c>
      <c r="B96" s="70" t="s">
        <v>2284</v>
      </c>
      <c r="C96" s="70" t="s">
        <v>2231</v>
      </c>
    </row>
    <row r="97" spans="1:3" hidden="1" x14ac:dyDescent="0.25">
      <c r="A97" s="70">
        <v>9485</v>
      </c>
      <c r="B97" s="70" t="s">
        <v>2285</v>
      </c>
      <c r="C97" s="70" t="s">
        <v>2228</v>
      </c>
    </row>
    <row r="98" spans="1:3" hidden="1" x14ac:dyDescent="0.25">
      <c r="A98" s="70">
        <v>9499</v>
      </c>
      <c r="B98" s="70" t="s">
        <v>2286</v>
      </c>
      <c r="C98" s="70" t="s">
        <v>2228</v>
      </c>
    </row>
    <row r="99" spans="1:3" hidden="1" x14ac:dyDescent="0.25">
      <c r="A99" s="70">
        <v>9503</v>
      </c>
      <c r="B99" s="70" t="s">
        <v>2287</v>
      </c>
      <c r="C99" s="70" t="s">
        <v>2228</v>
      </c>
    </row>
    <row r="100" spans="1:3" hidden="1" x14ac:dyDescent="0.25">
      <c r="A100" s="70">
        <v>9504</v>
      </c>
      <c r="B100" s="70" t="s">
        <v>2288</v>
      </c>
      <c r="C100" s="70" t="s">
        <v>2238</v>
      </c>
    </row>
    <row r="101" spans="1:3" hidden="1" x14ac:dyDescent="0.25">
      <c r="A101" s="70">
        <v>9510</v>
      </c>
      <c r="B101" s="70" t="s">
        <v>2289</v>
      </c>
      <c r="C101" s="70" t="s">
        <v>2228</v>
      </c>
    </row>
    <row r="102" spans="1:3" hidden="1" x14ac:dyDescent="0.25">
      <c r="A102" s="70">
        <v>9518</v>
      </c>
      <c r="B102" s="70" t="s">
        <v>2290</v>
      </c>
      <c r="C102" s="70" t="s">
        <v>2231</v>
      </c>
    </row>
    <row r="103" spans="1:3" hidden="1" x14ac:dyDescent="0.25">
      <c r="A103" s="70">
        <v>9530</v>
      </c>
      <c r="B103" s="70" t="s">
        <v>2291</v>
      </c>
      <c r="C103" s="70" t="s">
        <v>2228</v>
      </c>
    </row>
    <row r="104" spans="1:3" hidden="1" x14ac:dyDescent="0.25">
      <c r="A104" s="70">
        <v>9536</v>
      </c>
      <c r="B104" s="70" t="s">
        <v>2292</v>
      </c>
      <c r="C104" s="70" t="s">
        <v>2228</v>
      </c>
    </row>
    <row r="105" spans="1:3" hidden="1" x14ac:dyDescent="0.25">
      <c r="A105" s="70">
        <v>9538</v>
      </c>
      <c r="B105" s="70" t="s">
        <v>2293</v>
      </c>
      <c r="C105" s="70" t="s">
        <v>2231</v>
      </c>
    </row>
    <row r="106" spans="1:3" hidden="1" x14ac:dyDescent="0.25">
      <c r="A106" s="70">
        <v>9540</v>
      </c>
      <c r="B106" s="70" t="s">
        <v>969</v>
      </c>
      <c r="C106" s="70" t="s">
        <v>2228</v>
      </c>
    </row>
    <row r="107" spans="1:3" hidden="1" x14ac:dyDescent="0.25">
      <c r="A107" s="70">
        <v>9541</v>
      </c>
      <c r="B107" s="70" t="s">
        <v>2294</v>
      </c>
      <c r="C107" s="70" t="s">
        <v>2231</v>
      </c>
    </row>
    <row r="108" spans="1:3" hidden="1" x14ac:dyDescent="0.25">
      <c r="A108" s="70">
        <v>9543</v>
      </c>
      <c r="B108" s="70" t="s">
        <v>2295</v>
      </c>
      <c r="C108" s="70" t="s">
        <v>2231</v>
      </c>
    </row>
    <row r="109" spans="1:3" hidden="1" x14ac:dyDescent="0.25">
      <c r="A109" s="70">
        <v>9550</v>
      </c>
      <c r="B109" s="70" t="s">
        <v>2296</v>
      </c>
      <c r="C109" s="70" t="s">
        <v>2231</v>
      </c>
    </row>
    <row r="110" spans="1:3" hidden="1" x14ac:dyDescent="0.25">
      <c r="A110" s="70">
        <v>9555</v>
      </c>
      <c r="B110" s="70" t="s">
        <v>2297</v>
      </c>
      <c r="C110" s="70" t="s">
        <v>2228</v>
      </c>
    </row>
    <row r="111" spans="1:3" hidden="1" x14ac:dyDescent="0.25">
      <c r="A111" s="70">
        <v>9560</v>
      </c>
      <c r="B111" s="70" t="s">
        <v>949</v>
      </c>
      <c r="C111" s="70" t="s">
        <v>2228</v>
      </c>
    </row>
    <row r="112" spans="1:3" hidden="1" x14ac:dyDescent="0.25">
      <c r="A112" s="70">
        <v>9565</v>
      </c>
      <c r="B112" s="70" t="s">
        <v>2298</v>
      </c>
      <c r="C112" s="70" t="s">
        <v>2231</v>
      </c>
    </row>
    <row r="113" spans="1:3" hidden="1" x14ac:dyDescent="0.25">
      <c r="A113" s="70">
        <v>9566</v>
      </c>
      <c r="B113" s="70" t="s">
        <v>2299</v>
      </c>
      <c r="C113" s="70" t="s">
        <v>2231</v>
      </c>
    </row>
    <row r="114" spans="1:3" hidden="1" x14ac:dyDescent="0.25">
      <c r="A114" s="70">
        <v>9567</v>
      </c>
      <c r="B114" s="70" t="s">
        <v>2300</v>
      </c>
      <c r="C114" s="70" t="s">
        <v>2228</v>
      </c>
    </row>
    <row r="115" spans="1:3" hidden="1" x14ac:dyDescent="0.25">
      <c r="A115" s="70">
        <v>9570</v>
      </c>
      <c r="B115" s="70" t="s">
        <v>2301</v>
      </c>
      <c r="C115" s="70" t="s">
        <v>2228</v>
      </c>
    </row>
    <row r="116" spans="1:3" hidden="1" x14ac:dyDescent="0.25">
      <c r="A116" s="70">
        <v>9580</v>
      </c>
      <c r="B116" s="70" t="s">
        <v>943</v>
      </c>
      <c r="C116" s="70" t="s">
        <v>2228</v>
      </c>
    </row>
    <row r="117" spans="1:3" hidden="1" x14ac:dyDescent="0.25">
      <c r="A117" s="70">
        <v>9610</v>
      </c>
      <c r="B117" s="70" t="s">
        <v>2302</v>
      </c>
      <c r="C117" s="70" t="s">
        <v>2228</v>
      </c>
    </row>
    <row r="118" spans="1:3" hidden="1" x14ac:dyDescent="0.25">
      <c r="A118" s="70">
        <v>9611</v>
      </c>
      <c r="B118" s="70" t="s">
        <v>2303</v>
      </c>
      <c r="C118" s="70" t="s">
        <v>2231</v>
      </c>
    </row>
    <row r="119" spans="1:3" hidden="1" x14ac:dyDescent="0.25">
      <c r="A119" s="70">
        <v>9612</v>
      </c>
      <c r="B119" s="70" t="s">
        <v>1031</v>
      </c>
      <c r="C119" s="70" t="s">
        <v>2228</v>
      </c>
    </row>
    <row r="120" spans="1:3" hidden="1" x14ac:dyDescent="0.25">
      <c r="A120" s="70">
        <v>9615</v>
      </c>
      <c r="B120" s="70" t="s">
        <v>2304</v>
      </c>
      <c r="C120" s="70" t="s">
        <v>2228</v>
      </c>
    </row>
    <row r="121" spans="1:3" hidden="1" x14ac:dyDescent="0.25">
      <c r="A121" s="70">
        <v>9630</v>
      </c>
      <c r="B121" s="70" t="s">
        <v>2305</v>
      </c>
      <c r="C121" s="70" t="s">
        <v>2228</v>
      </c>
    </row>
    <row r="122" spans="1:3" hidden="1" x14ac:dyDescent="0.25">
      <c r="A122" s="70">
        <v>9640</v>
      </c>
      <c r="B122" s="70" t="s">
        <v>2306</v>
      </c>
      <c r="C122" s="70" t="s">
        <v>2231</v>
      </c>
    </row>
    <row r="123" spans="1:3" x14ac:dyDescent="0.25">
      <c r="A123" s="70">
        <v>9647</v>
      </c>
      <c r="B123" s="70" t="s">
        <v>2307</v>
      </c>
      <c r="C123" s="70" t="s">
        <v>2228</v>
      </c>
    </row>
    <row r="124" spans="1:3" hidden="1" x14ac:dyDescent="0.25">
      <c r="A124" s="70">
        <v>9650</v>
      </c>
      <c r="B124" s="70" t="s">
        <v>2308</v>
      </c>
      <c r="C124" s="70" t="s">
        <v>2228</v>
      </c>
    </row>
    <row r="125" spans="1:3" hidden="1" x14ac:dyDescent="0.25">
      <c r="A125" s="70">
        <v>9653</v>
      </c>
      <c r="B125" s="70" t="s">
        <v>1011</v>
      </c>
      <c r="C125" s="70" t="s">
        <v>2228</v>
      </c>
    </row>
    <row r="126" spans="1:3" hidden="1" x14ac:dyDescent="0.25">
      <c r="A126" s="70">
        <v>9654</v>
      </c>
      <c r="B126" s="70" t="s">
        <v>2309</v>
      </c>
      <c r="C126" s="70" t="s">
        <v>2231</v>
      </c>
    </row>
    <row r="127" spans="1:3" hidden="1" x14ac:dyDescent="0.25">
      <c r="A127" s="70">
        <v>9655</v>
      </c>
      <c r="B127" s="70" t="s">
        <v>980</v>
      </c>
      <c r="C127" s="70" t="s">
        <v>2228</v>
      </c>
    </row>
    <row r="128" spans="1:3" hidden="1" x14ac:dyDescent="0.25">
      <c r="A128" s="70">
        <v>9658</v>
      </c>
      <c r="B128" s="70" t="s">
        <v>2310</v>
      </c>
      <c r="C128" s="70" t="s">
        <v>2231</v>
      </c>
    </row>
    <row r="129" spans="1:3" hidden="1" x14ac:dyDescent="0.25">
      <c r="A129" s="70">
        <v>9660</v>
      </c>
      <c r="B129" s="70" t="s">
        <v>2311</v>
      </c>
      <c r="C129" s="70" t="s">
        <v>2231</v>
      </c>
    </row>
    <row r="130" spans="1:3" hidden="1" x14ac:dyDescent="0.25">
      <c r="A130" s="70">
        <v>9663</v>
      </c>
      <c r="B130" s="70" t="s">
        <v>2312</v>
      </c>
      <c r="C130" s="70" t="s">
        <v>2238</v>
      </c>
    </row>
    <row r="131" spans="1:3" hidden="1" x14ac:dyDescent="0.25">
      <c r="A131" s="70">
        <v>9665</v>
      </c>
      <c r="B131" s="70" t="s">
        <v>2313</v>
      </c>
      <c r="C131" s="70" t="s">
        <v>2231</v>
      </c>
    </row>
    <row r="132" spans="1:3" hidden="1" x14ac:dyDescent="0.25">
      <c r="A132" s="70">
        <v>9670</v>
      </c>
      <c r="B132" s="70" t="s">
        <v>2314</v>
      </c>
      <c r="C132" s="70" t="s">
        <v>2231</v>
      </c>
    </row>
    <row r="133" spans="1:3" hidden="1" x14ac:dyDescent="0.25">
      <c r="A133" s="70">
        <v>9675</v>
      </c>
      <c r="B133" s="70" t="s">
        <v>2315</v>
      </c>
      <c r="C133" s="70" t="s">
        <v>2228</v>
      </c>
    </row>
    <row r="134" spans="1:3" hidden="1" x14ac:dyDescent="0.25">
      <c r="A134" s="70">
        <v>9678</v>
      </c>
      <c r="B134" s="70" t="s">
        <v>2316</v>
      </c>
      <c r="C134" s="70" t="s">
        <v>2231</v>
      </c>
    </row>
    <row r="135" spans="1:3" hidden="1" x14ac:dyDescent="0.25">
      <c r="A135" s="70">
        <v>9801</v>
      </c>
      <c r="B135" s="70" t="s">
        <v>2317</v>
      </c>
      <c r="C135" s="70" t="s">
        <v>2231</v>
      </c>
    </row>
    <row r="136" spans="1:3" hidden="1" x14ac:dyDescent="0.25">
      <c r="A136" s="70">
        <v>9805</v>
      </c>
      <c r="B136" s="70" t="s">
        <v>2318</v>
      </c>
      <c r="C136" s="70" t="s">
        <v>2228</v>
      </c>
    </row>
    <row r="137" spans="1:3" hidden="1" x14ac:dyDescent="0.25">
      <c r="A137" s="70">
        <v>9811</v>
      </c>
      <c r="B137" s="70" t="s">
        <v>2319</v>
      </c>
      <c r="C137" s="70" t="s">
        <v>2231</v>
      </c>
    </row>
    <row r="138" spans="1:3" hidden="1" x14ac:dyDescent="0.25">
      <c r="A138" s="70">
        <v>9813</v>
      </c>
      <c r="B138" s="70" t="s">
        <v>2320</v>
      </c>
      <c r="C138" s="70" t="s">
        <v>2228</v>
      </c>
    </row>
    <row r="139" spans="1:3" hidden="1" x14ac:dyDescent="0.25">
      <c r="A139" s="70">
        <v>9814</v>
      </c>
      <c r="B139" s="70" t="s">
        <v>2321</v>
      </c>
      <c r="C139" s="70" t="s">
        <v>2228</v>
      </c>
    </row>
    <row r="140" spans="1:3" hidden="1" x14ac:dyDescent="0.25">
      <c r="A140" s="70">
        <v>9815</v>
      </c>
      <c r="B140" s="70" t="s">
        <v>881</v>
      </c>
      <c r="C140" s="70" t="s">
        <v>2228</v>
      </c>
    </row>
    <row r="141" spans="1:3" hidden="1" x14ac:dyDescent="0.25">
      <c r="A141" s="70">
        <v>9816</v>
      </c>
      <c r="B141" s="70" t="s">
        <v>2322</v>
      </c>
      <c r="C141" s="70" t="s">
        <v>2228</v>
      </c>
    </row>
    <row r="142" spans="1:3" hidden="1" x14ac:dyDescent="0.25">
      <c r="A142" s="70">
        <v>9817</v>
      </c>
      <c r="B142" s="70" t="s">
        <v>913</v>
      </c>
      <c r="C142" s="70" t="s">
        <v>2228</v>
      </c>
    </row>
    <row r="143" spans="1:3" hidden="1" x14ac:dyDescent="0.25">
      <c r="A143" s="70">
        <v>9818</v>
      </c>
      <c r="B143" s="70" t="s">
        <v>2323</v>
      </c>
      <c r="C143" s="70" t="s">
        <v>2228</v>
      </c>
    </row>
    <row r="144" spans="1:3" hidden="1" x14ac:dyDescent="0.25">
      <c r="A144" s="70">
        <v>9820</v>
      </c>
      <c r="B144" s="70" t="s">
        <v>2324</v>
      </c>
      <c r="C144" s="70" t="s">
        <v>2228</v>
      </c>
    </row>
    <row r="145" spans="1:3" hidden="1" x14ac:dyDescent="0.25">
      <c r="A145" s="70">
        <v>9821</v>
      </c>
      <c r="B145" s="70" t="s">
        <v>2325</v>
      </c>
      <c r="C145" s="70" t="s">
        <v>2238</v>
      </c>
    </row>
    <row r="146" spans="1:3" hidden="1" x14ac:dyDescent="0.25">
      <c r="A146" s="70">
        <v>9822</v>
      </c>
      <c r="B146" s="70" t="s">
        <v>432</v>
      </c>
      <c r="C146" s="70" t="s">
        <v>2228</v>
      </c>
    </row>
    <row r="147" spans="1:3" hidden="1" x14ac:dyDescent="0.25">
      <c r="A147" s="70">
        <v>9824</v>
      </c>
      <c r="B147" s="70" t="s">
        <v>925</v>
      </c>
      <c r="C147" s="70" t="s">
        <v>2228</v>
      </c>
    </row>
    <row r="148" spans="1:3" hidden="1" x14ac:dyDescent="0.25">
      <c r="A148" s="70">
        <v>9826</v>
      </c>
      <c r="B148" s="70" t="s">
        <v>888</v>
      </c>
      <c r="C148" s="70" t="s">
        <v>2228</v>
      </c>
    </row>
    <row r="149" spans="1:3" hidden="1" x14ac:dyDescent="0.25">
      <c r="A149" s="70">
        <v>9827</v>
      </c>
      <c r="B149" s="70" t="s">
        <v>2326</v>
      </c>
      <c r="C149" s="70" t="s">
        <v>2228</v>
      </c>
    </row>
    <row r="150" spans="1:3" hidden="1" x14ac:dyDescent="0.25">
      <c r="A150" s="70">
        <v>9830</v>
      </c>
      <c r="B150" s="70" t="s">
        <v>2327</v>
      </c>
      <c r="C150" s="70" t="s">
        <v>2231</v>
      </c>
    </row>
    <row r="151" spans="1:3" hidden="1" x14ac:dyDescent="0.25">
      <c r="A151" s="70">
        <v>9831</v>
      </c>
      <c r="B151" s="70" t="s">
        <v>2328</v>
      </c>
      <c r="C151" s="70" t="s">
        <v>2228</v>
      </c>
    </row>
    <row r="152" spans="1:3" hidden="1" x14ac:dyDescent="0.25">
      <c r="A152" s="70">
        <v>9832</v>
      </c>
      <c r="B152" s="70" t="s">
        <v>619</v>
      </c>
      <c r="C152" s="70" t="s">
        <v>2228</v>
      </c>
    </row>
    <row r="153" spans="1:3" hidden="1" x14ac:dyDescent="0.25">
      <c r="A153" s="70">
        <v>9833</v>
      </c>
      <c r="B153" s="70" t="s">
        <v>600</v>
      </c>
      <c r="C153" s="70" t="s">
        <v>2228</v>
      </c>
    </row>
    <row r="154" spans="1:3" hidden="1" x14ac:dyDescent="0.25">
      <c r="A154" s="70">
        <v>9834</v>
      </c>
      <c r="B154" s="70" t="s">
        <v>583</v>
      </c>
      <c r="C154" s="70" t="s">
        <v>2228</v>
      </c>
    </row>
    <row r="155" spans="1:3" hidden="1" x14ac:dyDescent="0.25">
      <c r="A155" s="70">
        <v>9835</v>
      </c>
      <c r="B155" s="70" t="s">
        <v>631</v>
      </c>
      <c r="C155" s="70" t="s">
        <v>2228</v>
      </c>
    </row>
    <row r="156" spans="1:3" hidden="1" x14ac:dyDescent="0.25">
      <c r="A156" s="70">
        <v>9836</v>
      </c>
      <c r="B156" s="70" t="s">
        <v>2329</v>
      </c>
      <c r="C156" s="70" t="s">
        <v>2228</v>
      </c>
    </row>
    <row r="157" spans="1:3" hidden="1" x14ac:dyDescent="0.25">
      <c r="A157" s="70">
        <v>9837</v>
      </c>
      <c r="B157" s="70" t="s">
        <v>428</v>
      </c>
      <c r="C157" s="70" t="s">
        <v>2228</v>
      </c>
    </row>
    <row r="158" spans="1:3" hidden="1" x14ac:dyDescent="0.25">
      <c r="A158" s="70">
        <v>9838</v>
      </c>
      <c r="B158" s="70" t="s">
        <v>2330</v>
      </c>
      <c r="C158" s="70" t="s">
        <v>2228</v>
      </c>
    </row>
    <row r="159" spans="1:3" hidden="1" x14ac:dyDescent="0.25">
      <c r="A159" s="70">
        <v>9841</v>
      </c>
      <c r="B159" s="70" t="s">
        <v>2331</v>
      </c>
      <c r="C159" s="70" t="s">
        <v>2231</v>
      </c>
    </row>
    <row r="160" spans="1:3" hidden="1" x14ac:dyDescent="0.25">
      <c r="A160" s="70">
        <v>9842</v>
      </c>
      <c r="B160" s="70" t="s">
        <v>615</v>
      </c>
      <c r="C160" s="70" t="s">
        <v>2231</v>
      </c>
    </row>
    <row r="161" spans="1:3" hidden="1" x14ac:dyDescent="0.25">
      <c r="A161" s="70">
        <v>9843</v>
      </c>
      <c r="B161" s="70" t="s">
        <v>2332</v>
      </c>
      <c r="C161" s="70" t="s">
        <v>2238</v>
      </c>
    </row>
    <row r="162" spans="1:3" hidden="1" x14ac:dyDescent="0.25">
      <c r="A162" s="70">
        <v>9844</v>
      </c>
      <c r="B162" s="70" t="s">
        <v>2333</v>
      </c>
      <c r="C162" s="70" t="s">
        <v>2231</v>
      </c>
    </row>
    <row r="163" spans="1:3" hidden="1" x14ac:dyDescent="0.25">
      <c r="A163" s="70">
        <v>9845</v>
      </c>
      <c r="B163" s="70" t="s">
        <v>579</v>
      </c>
      <c r="C163" s="70" t="s">
        <v>2228</v>
      </c>
    </row>
    <row r="164" spans="1:3" hidden="1" x14ac:dyDescent="0.25">
      <c r="A164" s="70">
        <v>9847</v>
      </c>
      <c r="B164" s="70" t="s">
        <v>2334</v>
      </c>
      <c r="C164" s="70" t="s">
        <v>2238</v>
      </c>
    </row>
    <row r="165" spans="1:3" hidden="1" x14ac:dyDescent="0.25">
      <c r="A165" s="70">
        <v>9848</v>
      </c>
      <c r="B165" s="70" t="s">
        <v>2335</v>
      </c>
      <c r="C165" s="70" t="s">
        <v>2238</v>
      </c>
    </row>
    <row r="166" spans="1:3" hidden="1" x14ac:dyDescent="0.25">
      <c r="A166" s="70">
        <v>9849</v>
      </c>
      <c r="B166" s="70" t="s">
        <v>2336</v>
      </c>
      <c r="C166" s="70" t="s">
        <v>2238</v>
      </c>
    </row>
    <row r="167" spans="1:3" hidden="1" x14ac:dyDescent="0.25">
      <c r="A167" s="70">
        <v>9849</v>
      </c>
      <c r="B167" s="70" t="s">
        <v>899</v>
      </c>
      <c r="C167" s="70" t="s">
        <v>2238</v>
      </c>
    </row>
    <row r="168" spans="1:3" hidden="1" x14ac:dyDescent="0.25">
      <c r="A168" s="70">
        <v>9853</v>
      </c>
      <c r="B168" s="70" t="s">
        <v>2337</v>
      </c>
      <c r="C168" s="70" t="s">
        <v>2228</v>
      </c>
    </row>
    <row r="169" spans="1:3" hidden="1" x14ac:dyDescent="0.25">
      <c r="A169" s="70">
        <v>9854</v>
      </c>
      <c r="B169" s="70" t="s">
        <v>892</v>
      </c>
      <c r="C169" s="70" t="s">
        <v>2228</v>
      </c>
    </row>
    <row r="170" spans="1:3" hidden="1" x14ac:dyDescent="0.25">
      <c r="A170" s="70">
        <v>9855</v>
      </c>
      <c r="B170" s="70" t="s">
        <v>2338</v>
      </c>
      <c r="C170" s="70" t="s">
        <v>2228</v>
      </c>
    </row>
    <row r="171" spans="1:3" hidden="1" x14ac:dyDescent="0.25">
      <c r="A171" s="70">
        <v>9857</v>
      </c>
      <c r="B171" s="70" t="s">
        <v>2339</v>
      </c>
      <c r="C171" s="70" t="s">
        <v>2228</v>
      </c>
    </row>
    <row r="172" spans="1:3" hidden="1" x14ac:dyDescent="0.25">
      <c r="A172" s="70">
        <v>9858</v>
      </c>
      <c r="B172" s="70" t="s">
        <v>2340</v>
      </c>
      <c r="C172" s="70" t="s">
        <v>2228</v>
      </c>
    </row>
    <row r="173" spans="1:3" hidden="1" x14ac:dyDescent="0.25">
      <c r="A173" s="70">
        <v>9859</v>
      </c>
      <c r="B173" s="70" t="s">
        <v>2341</v>
      </c>
      <c r="C173" s="70" t="s">
        <v>2238</v>
      </c>
    </row>
    <row r="174" spans="1:3" hidden="1" x14ac:dyDescent="0.25">
      <c r="A174" s="70">
        <v>9864</v>
      </c>
      <c r="B174" s="70" t="s">
        <v>2342</v>
      </c>
      <c r="C174" s="70" t="s">
        <v>2231</v>
      </c>
    </row>
    <row r="175" spans="1:3" hidden="1" x14ac:dyDescent="0.25">
      <c r="A175" s="70">
        <v>9868</v>
      </c>
      <c r="B175" s="70" t="s">
        <v>2343</v>
      </c>
      <c r="C175" s="70" t="s">
        <v>2228</v>
      </c>
    </row>
    <row r="176" spans="1:3" hidden="1" x14ac:dyDescent="0.25">
      <c r="A176" s="70">
        <v>9869</v>
      </c>
      <c r="B176" s="70" t="s">
        <v>441</v>
      </c>
      <c r="C176" s="70" t="s">
        <v>2228</v>
      </c>
    </row>
    <row r="177" spans="1:3" hidden="1" x14ac:dyDescent="0.25">
      <c r="A177" s="70">
        <v>9873</v>
      </c>
      <c r="B177" s="70" t="s">
        <v>2344</v>
      </c>
      <c r="C177" s="70" t="s">
        <v>2231</v>
      </c>
    </row>
    <row r="178" spans="1:3" hidden="1" x14ac:dyDescent="0.25">
      <c r="A178" s="70">
        <v>9874</v>
      </c>
      <c r="B178" s="70" t="s">
        <v>418</v>
      </c>
      <c r="C178" s="70" t="s">
        <v>2228</v>
      </c>
    </row>
    <row r="179" spans="1:3" hidden="1" x14ac:dyDescent="0.25">
      <c r="A179" s="70">
        <v>9875</v>
      </c>
      <c r="B179" s="70" t="s">
        <v>2345</v>
      </c>
      <c r="C179" s="70" t="s">
        <v>2231</v>
      </c>
    </row>
    <row r="180" spans="1:3" hidden="1" x14ac:dyDescent="0.25">
      <c r="A180" s="70">
        <v>9876</v>
      </c>
      <c r="B180" s="70" t="s">
        <v>2346</v>
      </c>
      <c r="C180" s="70" t="s">
        <v>2238</v>
      </c>
    </row>
    <row r="181" spans="1:3" hidden="1" x14ac:dyDescent="0.25">
      <c r="A181" s="70">
        <v>9877</v>
      </c>
      <c r="B181" s="70" t="s">
        <v>2347</v>
      </c>
      <c r="C181" s="70" t="s">
        <v>2238</v>
      </c>
    </row>
    <row r="182" spans="1:3" hidden="1" x14ac:dyDescent="0.25">
      <c r="A182" s="70">
        <v>9878</v>
      </c>
      <c r="B182" s="70" t="s">
        <v>2348</v>
      </c>
      <c r="C182" s="70" t="s">
        <v>2228</v>
      </c>
    </row>
    <row r="183" spans="1:3" hidden="1" x14ac:dyDescent="0.25">
      <c r="A183" s="70">
        <v>9884</v>
      </c>
      <c r="B183" s="70" t="s">
        <v>896</v>
      </c>
      <c r="C183" s="70" t="s">
        <v>2228</v>
      </c>
    </row>
    <row r="184" spans="1:3" hidden="1" x14ac:dyDescent="0.25">
      <c r="A184" s="70">
        <v>9892</v>
      </c>
      <c r="B184" s="70" t="s">
        <v>431</v>
      </c>
      <c r="C184" s="70" t="s">
        <v>2228</v>
      </c>
    </row>
    <row r="185" spans="1:3" hidden="1" x14ac:dyDescent="0.25">
      <c r="A185" s="70">
        <v>9895</v>
      </c>
      <c r="B185" s="70" t="s">
        <v>2349</v>
      </c>
      <c r="C185" s="70" t="s">
        <v>2238</v>
      </c>
    </row>
    <row r="186" spans="1:3" hidden="1" x14ac:dyDescent="0.25">
      <c r="A186" s="70">
        <v>9905</v>
      </c>
      <c r="B186" s="70" t="s">
        <v>2350</v>
      </c>
      <c r="C186" s="70" t="s">
        <v>2238</v>
      </c>
    </row>
    <row r="187" spans="1:3" hidden="1" x14ac:dyDescent="0.25">
      <c r="A187" s="70">
        <v>9906</v>
      </c>
      <c r="B187" s="70" t="s">
        <v>2351</v>
      </c>
      <c r="C187" s="70" t="s">
        <v>2228</v>
      </c>
    </row>
    <row r="188" spans="1:3" hidden="1" x14ac:dyDescent="0.25">
      <c r="A188" s="70">
        <v>9907</v>
      </c>
      <c r="B188" s="70" t="s">
        <v>2352</v>
      </c>
      <c r="C188" s="70" t="s">
        <v>2228</v>
      </c>
    </row>
    <row r="189" spans="1:3" hidden="1" x14ac:dyDescent="0.25">
      <c r="A189" s="70">
        <v>9908</v>
      </c>
      <c r="B189" s="70" t="s">
        <v>775</v>
      </c>
      <c r="C189" s="70" t="s">
        <v>2228</v>
      </c>
    </row>
    <row r="190" spans="1:3" hidden="1" x14ac:dyDescent="0.25">
      <c r="A190" s="70">
        <v>9911</v>
      </c>
      <c r="B190" s="70" t="s">
        <v>2353</v>
      </c>
      <c r="C190" s="70" t="s">
        <v>2228</v>
      </c>
    </row>
    <row r="191" spans="1:3" hidden="1" x14ac:dyDescent="0.25">
      <c r="A191" s="70">
        <v>9914</v>
      </c>
      <c r="B191" s="70" t="s">
        <v>2354</v>
      </c>
      <c r="C191" s="70" t="s">
        <v>2228</v>
      </c>
    </row>
    <row r="192" spans="1:3" hidden="1" x14ac:dyDescent="0.25">
      <c r="A192" s="70">
        <v>9915</v>
      </c>
      <c r="B192" s="70" t="s">
        <v>2355</v>
      </c>
      <c r="C192" s="70" t="s">
        <v>2231</v>
      </c>
    </row>
    <row r="193" spans="1:3" hidden="1" x14ac:dyDescent="0.25">
      <c r="A193" s="70">
        <v>9927</v>
      </c>
      <c r="B193" s="70" t="s">
        <v>2356</v>
      </c>
      <c r="C193" s="70" t="s">
        <v>2228</v>
      </c>
    </row>
    <row r="194" spans="1:3" hidden="1" x14ac:dyDescent="0.25">
      <c r="A194" s="70">
        <v>9928</v>
      </c>
      <c r="B194" s="70" t="s">
        <v>2357</v>
      </c>
      <c r="C194" s="70" t="s">
        <v>2231</v>
      </c>
    </row>
    <row r="195" spans="1:3" hidden="1" x14ac:dyDescent="0.25">
      <c r="A195" s="70">
        <v>9929</v>
      </c>
      <c r="B195" s="70" t="s">
        <v>2358</v>
      </c>
      <c r="C195" s="70" t="s">
        <v>2228</v>
      </c>
    </row>
    <row r="196" spans="1:3" hidden="1" x14ac:dyDescent="0.25">
      <c r="A196" s="70">
        <v>9932</v>
      </c>
      <c r="B196" s="70" t="s">
        <v>2359</v>
      </c>
      <c r="C196" s="70" t="s">
        <v>2231</v>
      </c>
    </row>
    <row r="197" spans="1:3" hidden="1" x14ac:dyDescent="0.25">
      <c r="A197" s="70">
        <v>9933</v>
      </c>
      <c r="B197" s="70" t="s">
        <v>2360</v>
      </c>
      <c r="C197" s="70" t="s">
        <v>2238</v>
      </c>
    </row>
    <row r="198" spans="1:3" hidden="1" x14ac:dyDescent="0.25">
      <c r="A198" s="70">
        <v>9935</v>
      </c>
      <c r="B198" s="70" t="s">
        <v>2361</v>
      </c>
      <c r="C198" s="70" t="s">
        <v>2228</v>
      </c>
    </row>
    <row r="199" spans="1:3" hidden="1" x14ac:dyDescent="0.25">
      <c r="A199" s="70">
        <v>9936</v>
      </c>
      <c r="B199" s="70" t="s">
        <v>700</v>
      </c>
      <c r="C199" s="70" t="s">
        <v>2228</v>
      </c>
    </row>
    <row r="200" spans="1:3" hidden="1" x14ac:dyDescent="0.25">
      <c r="A200" s="70">
        <v>9937</v>
      </c>
      <c r="B200" s="70" t="s">
        <v>2362</v>
      </c>
      <c r="C200" s="70" t="s">
        <v>2238</v>
      </c>
    </row>
    <row r="201" spans="1:3" hidden="1" x14ac:dyDescent="0.25">
      <c r="A201" s="70">
        <v>9940</v>
      </c>
      <c r="B201" s="70" t="s">
        <v>2363</v>
      </c>
      <c r="C201" s="70" t="s">
        <v>2228</v>
      </c>
    </row>
    <row r="202" spans="1:3" hidden="1" x14ac:dyDescent="0.25">
      <c r="A202" s="70">
        <v>9941</v>
      </c>
      <c r="B202" s="70" t="s">
        <v>2364</v>
      </c>
      <c r="C202" s="70" t="s">
        <v>2238</v>
      </c>
    </row>
    <row r="203" spans="1:3" hidden="1" x14ac:dyDescent="0.25">
      <c r="A203" s="70">
        <v>9947</v>
      </c>
      <c r="B203" s="70" t="s">
        <v>2365</v>
      </c>
      <c r="C203" s="70" t="s">
        <v>2238</v>
      </c>
    </row>
    <row r="204" spans="1:3" hidden="1" x14ac:dyDescent="0.25">
      <c r="A204" s="70">
        <v>9948</v>
      </c>
      <c r="B204" s="70" t="s">
        <v>2366</v>
      </c>
      <c r="C204" s="70" t="s">
        <v>2228</v>
      </c>
    </row>
    <row r="205" spans="1:3" hidden="1" x14ac:dyDescent="0.25">
      <c r="A205" s="70">
        <v>9955</v>
      </c>
      <c r="B205" s="70" t="s">
        <v>2367</v>
      </c>
      <c r="C205" s="70" t="s">
        <v>2238</v>
      </c>
    </row>
    <row r="206" spans="1:3" hidden="1" x14ac:dyDescent="0.25">
      <c r="A206" s="70">
        <v>9963</v>
      </c>
      <c r="B206" s="70" t="s">
        <v>414</v>
      </c>
      <c r="C206" s="70" t="s">
        <v>2228</v>
      </c>
    </row>
    <row r="207" spans="1:3" hidden="1" x14ac:dyDescent="0.25">
      <c r="A207" s="70">
        <v>9964</v>
      </c>
      <c r="B207" s="70" t="s">
        <v>2368</v>
      </c>
      <c r="C207" s="70" t="s">
        <v>2238</v>
      </c>
    </row>
    <row r="208" spans="1:3" hidden="1" x14ac:dyDescent="0.25">
      <c r="A208" s="104" t="s">
        <v>2369</v>
      </c>
      <c r="B208" s="70" t="s">
        <v>2370</v>
      </c>
      <c r="C208" s="103" t="s">
        <v>2227</v>
      </c>
    </row>
  </sheetData>
  <autoFilter ref="A1:C208">
    <filterColumn colId="1">
      <filters>
        <filter val="Punta de Mata"/>
      </filters>
    </filterColumn>
  </autoFilter>
  <conditionalFormatting sqref="B135">
    <cfRule type="duplicateValues" dxfId="63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61"/>
  <sheetViews>
    <sheetView workbookViewId="0">
      <selection activeCell="G13" sqref="G13"/>
    </sheetView>
  </sheetViews>
  <sheetFormatPr baseColWidth="10" defaultRowHeight="15" x14ac:dyDescent="0.25"/>
  <sheetData>
    <row r="1" spans="1:1" x14ac:dyDescent="0.25">
      <c r="A1" s="55">
        <v>606891</v>
      </c>
    </row>
    <row r="2" spans="1:1" x14ac:dyDescent="0.25">
      <c r="A2" s="55">
        <v>217461</v>
      </c>
    </row>
    <row r="3" spans="1:1" x14ac:dyDescent="0.25">
      <c r="A3" s="55">
        <v>363696</v>
      </c>
    </row>
    <row r="4" spans="1:1" x14ac:dyDescent="0.25">
      <c r="A4" s="55">
        <v>671985</v>
      </c>
    </row>
    <row r="5" spans="1:1" x14ac:dyDescent="0.25">
      <c r="A5" s="55">
        <v>494977</v>
      </c>
    </row>
    <row r="6" spans="1:1" x14ac:dyDescent="0.25">
      <c r="A6" s="55">
        <v>480244</v>
      </c>
    </row>
    <row r="7" spans="1:1" x14ac:dyDescent="0.25">
      <c r="A7" s="55">
        <v>790927</v>
      </c>
    </row>
    <row r="8" spans="1:1" x14ac:dyDescent="0.25">
      <c r="A8" s="55">
        <v>775542</v>
      </c>
    </row>
    <row r="9" spans="1:1" x14ac:dyDescent="0.25">
      <c r="A9" s="55">
        <v>301218</v>
      </c>
    </row>
    <row r="10" spans="1:1" x14ac:dyDescent="0.25">
      <c r="A10" s="55">
        <v>505110</v>
      </c>
    </row>
    <row r="11" spans="1:1" x14ac:dyDescent="0.25">
      <c r="A11" s="55">
        <v>359973</v>
      </c>
    </row>
    <row r="12" spans="1:1" x14ac:dyDescent="0.25">
      <c r="A12" s="55">
        <v>215621</v>
      </c>
    </row>
    <row r="13" spans="1:1" x14ac:dyDescent="0.25">
      <c r="A13" s="55">
        <v>110506</v>
      </c>
    </row>
    <row r="14" spans="1:1" x14ac:dyDescent="0.25">
      <c r="A14" s="55">
        <v>384663</v>
      </c>
    </row>
    <row r="15" spans="1:1" x14ac:dyDescent="0.25">
      <c r="A15" s="55">
        <v>173791</v>
      </c>
    </row>
    <row r="16" spans="1:1" x14ac:dyDescent="0.25">
      <c r="A16" s="55">
        <v>479878</v>
      </c>
    </row>
    <row r="17" spans="1:1" x14ac:dyDescent="0.25">
      <c r="A17" s="55">
        <v>303930</v>
      </c>
    </row>
    <row r="18" spans="1:1" x14ac:dyDescent="0.25">
      <c r="A18" s="55">
        <v>323783</v>
      </c>
    </row>
    <row r="19" spans="1:1" x14ac:dyDescent="0.25">
      <c r="A19" s="55">
        <v>311854</v>
      </c>
    </row>
    <row r="20" spans="1:1" x14ac:dyDescent="0.25">
      <c r="A20" s="55">
        <v>370273</v>
      </c>
    </row>
    <row r="21" spans="1:1" x14ac:dyDescent="0.25">
      <c r="A21" s="55">
        <v>845814</v>
      </c>
    </row>
    <row r="22" spans="1:1" x14ac:dyDescent="0.25">
      <c r="A22" s="55">
        <v>385297</v>
      </c>
    </row>
    <row r="23" spans="1:1" x14ac:dyDescent="0.25">
      <c r="A23" s="55">
        <v>440467</v>
      </c>
    </row>
    <row r="24" spans="1:1" x14ac:dyDescent="0.25">
      <c r="A24" s="55">
        <v>177849</v>
      </c>
    </row>
    <row r="25" spans="1:1" x14ac:dyDescent="0.25">
      <c r="A25" s="55">
        <v>783993</v>
      </c>
    </row>
    <row r="26" spans="1:1" x14ac:dyDescent="0.25">
      <c r="A26" s="55">
        <v>489913</v>
      </c>
    </row>
    <row r="27" spans="1:1" x14ac:dyDescent="0.25">
      <c r="A27" s="55">
        <v>448206</v>
      </c>
    </row>
    <row r="28" spans="1:1" x14ac:dyDescent="0.25">
      <c r="A28" s="55">
        <v>203464</v>
      </c>
    </row>
    <row r="29" spans="1:1" x14ac:dyDescent="0.25">
      <c r="A29" s="55">
        <v>496466</v>
      </c>
    </row>
    <row r="30" spans="1:1" x14ac:dyDescent="0.25">
      <c r="A30" s="55">
        <v>359622</v>
      </c>
    </row>
    <row r="31" spans="1:1" x14ac:dyDescent="0.25">
      <c r="A31" s="55">
        <v>583021</v>
      </c>
    </row>
    <row r="32" spans="1:1" x14ac:dyDescent="0.25">
      <c r="A32" s="55">
        <v>492214</v>
      </c>
    </row>
    <row r="33" spans="1:1" x14ac:dyDescent="0.25">
      <c r="A33" s="55">
        <v>537106</v>
      </c>
    </row>
    <row r="34" spans="1:1" x14ac:dyDescent="0.25">
      <c r="A34" s="55">
        <v>121040</v>
      </c>
    </row>
    <row r="35" spans="1:1" x14ac:dyDescent="0.25">
      <c r="A35" s="55">
        <v>143535</v>
      </c>
    </row>
    <row r="36" spans="1:1" x14ac:dyDescent="0.25">
      <c r="A36" s="55">
        <v>353231</v>
      </c>
    </row>
    <row r="37" spans="1:1" x14ac:dyDescent="0.25">
      <c r="A37" s="55">
        <v>346932</v>
      </c>
    </row>
    <row r="38" spans="1:1" x14ac:dyDescent="0.25">
      <c r="A38" s="55">
        <v>556795</v>
      </c>
    </row>
    <row r="39" spans="1:1" x14ac:dyDescent="0.25">
      <c r="A39" s="55">
        <v>203145</v>
      </c>
    </row>
    <row r="40" spans="1:1" x14ac:dyDescent="0.25">
      <c r="A40" s="55">
        <v>361202</v>
      </c>
    </row>
    <row r="41" spans="1:1" x14ac:dyDescent="0.25">
      <c r="A41" s="55">
        <v>425089</v>
      </c>
    </row>
    <row r="42" spans="1:1" x14ac:dyDescent="0.25">
      <c r="A42" s="55">
        <v>264946</v>
      </c>
    </row>
    <row r="43" spans="1:1" x14ac:dyDescent="0.25">
      <c r="A43" s="55">
        <v>437674</v>
      </c>
    </row>
    <row r="44" spans="1:1" x14ac:dyDescent="0.25">
      <c r="A44" s="55">
        <v>466470</v>
      </c>
    </row>
    <row r="45" spans="1:1" x14ac:dyDescent="0.25">
      <c r="A45" s="55">
        <v>340551</v>
      </c>
    </row>
    <row r="46" spans="1:1" x14ac:dyDescent="0.25">
      <c r="A46" s="55">
        <v>710772</v>
      </c>
    </row>
    <row r="47" spans="1:1" x14ac:dyDescent="0.25">
      <c r="A47" s="55">
        <v>351115</v>
      </c>
    </row>
    <row r="48" spans="1:1" x14ac:dyDescent="0.25">
      <c r="A48" s="55">
        <v>359792</v>
      </c>
    </row>
    <row r="49" spans="1:1" x14ac:dyDescent="0.25">
      <c r="A49" s="55">
        <v>450762</v>
      </c>
    </row>
    <row r="50" spans="1:1" x14ac:dyDescent="0.25">
      <c r="A50" s="55">
        <v>376522</v>
      </c>
    </row>
    <row r="51" spans="1:1" x14ac:dyDescent="0.25">
      <c r="A51" s="55">
        <v>483177</v>
      </c>
    </row>
    <row r="52" spans="1:1" x14ac:dyDescent="0.25">
      <c r="A52" s="55">
        <v>237281</v>
      </c>
    </row>
    <row r="53" spans="1:1" x14ac:dyDescent="0.25">
      <c r="A53" s="55">
        <v>657299</v>
      </c>
    </row>
    <row r="54" spans="1:1" x14ac:dyDescent="0.25">
      <c r="A54" s="55">
        <v>384663</v>
      </c>
    </row>
    <row r="55" spans="1:1" x14ac:dyDescent="0.25">
      <c r="A55" s="55">
        <v>69921</v>
      </c>
    </row>
    <row r="56" spans="1:1" x14ac:dyDescent="0.25">
      <c r="A56" s="55">
        <v>246350</v>
      </c>
    </row>
    <row r="57" spans="1:1" x14ac:dyDescent="0.25">
      <c r="A57" s="55">
        <v>367693</v>
      </c>
    </row>
    <row r="58" spans="1:1" x14ac:dyDescent="0.25">
      <c r="A58" s="55">
        <v>207865</v>
      </c>
    </row>
    <row r="59" spans="1:1" x14ac:dyDescent="0.25">
      <c r="A59" s="55">
        <v>250510</v>
      </c>
    </row>
    <row r="60" spans="1:1" x14ac:dyDescent="0.25">
      <c r="A60" s="55">
        <v>293770</v>
      </c>
    </row>
    <row r="61" spans="1:1" x14ac:dyDescent="0.25">
      <c r="A61" s="55">
        <v>233457</v>
      </c>
    </row>
    <row r="62" spans="1:1" x14ac:dyDescent="0.25">
      <c r="A62" s="55">
        <v>681080</v>
      </c>
    </row>
    <row r="63" spans="1:1" x14ac:dyDescent="0.25">
      <c r="A63" s="55">
        <v>500807</v>
      </c>
    </row>
    <row r="64" spans="1:1" x14ac:dyDescent="0.25">
      <c r="A64" s="55">
        <v>231496</v>
      </c>
    </row>
    <row r="65" spans="1:1" x14ac:dyDescent="0.25">
      <c r="A65" s="55">
        <v>172355</v>
      </c>
    </row>
    <row r="66" spans="1:1" x14ac:dyDescent="0.25">
      <c r="A66" s="55">
        <v>720156</v>
      </c>
    </row>
    <row r="67" spans="1:1" x14ac:dyDescent="0.25">
      <c r="A67" s="55">
        <v>694960</v>
      </c>
    </row>
    <row r="68" spans="1:1" x14ac:dyDescent="0.25">
      <c r="A68" s="55">
        <v>254897</v>
      </c>
    </row>
    <row r="69" spans="1:1" x14ac:dyDescent="0.25">
      <c r="A69" s="55">
        <v>369555</v>
      </c>
    </row>
    <row r="70" spans="1:1" x14ac:dyDescent="0.25">
      <c r="A70" s="55">
        <v>418795</v>
      </c>
    </row>
    <row r="71" spans="1:1" x14ac:dyDescent="0.25">
      <c r="A71" s="55">
        <v>554239</v>
      </c>
    </row>
    <row r="72" spans="1:1" x14ac:dyDescent="0.25">
      <c r="A72" s="55">
        <v>631085</v>
      </c>
    </row>
    <row r="73" spans="1:1" x14ac:dyDescent="0.25">
      <c r="A73" s="55">
        <v>91420</v>
      </c>
    </row>
    <row r="74" spans="1:1" x14ac:dyDescent="0.25">
      <c r="A74" s="55">
        <v>249130</v>
      </c>
    </row>
    <row r="75" spans="1:1" x14ac:dyDescent="0.25">
      <c r="A75" s="55">
        <v>282366</v>
      </c>
    </row>
    <row r="76" spans="1:1" x14ac:dyDescent="0.25">
      <c r="A76" s="55">
        <v>550199</v>
      </c>
    </row>
    <row r="77" spans="1:1" x14ac:dyDescent="0.25">
      <c r="A77" s="55">
        <v>401134</v>
      </c>
    </row>
    <row r="78" spans="1:1" x14ac:dyDescent="0.25">
      <c r="A78" s="55">
        <v>473762</v>
      </c>
    </row>
    <row r="79" spans="1:1" x14ac:dyDescent="0.25">
      <c r="A79" s="55">
        <v>326511</v>
      </c>
    </row>
    <row r="80" spans="1:1" x14ac:dyDescent="0.25">
      <c r="A80" s="55">
        <v>366883</v>
      </c>
    </row>
    <row r="81" spans="1:1" x14ac:dyDescent="0.25">
      <c r="A81" s="55">
        <v>238464</v>
      </c>
    </row>
    <row r="82" spans="1:1" x14ac:dyDescent="0.25">
      <c r="A82" s="55">
        <v>267445</v>
      </c>
    </row>
    <row r="83" spans="1:1" x14ac:dyDescent="0.25">
      <c r="A83" s="55">
        <v>321270</v>
      </c>
    </row>
    <row r="84" spans="1:1" x14ac:dyDescent="0.25">
      <c r="A84" s="55">
        <v>257710</v>
      </c>
    </row>
    <row r="85" spans="1:1" x14ac:dyDescent="0.25">
      <c r="A85" s="55">
        <v>629515</v>
      </c>
    </row>
    <row r="86" spans="1:1" x14ac:dyDescent="0.25">
      <c r="A86" s="55">
        <v>581613</v>
      </c>
    </row>
    <row r="87" spans="1:1" x14ac:dyDescent="0.25">
      <c r="A87" s="55">
        <v>277666</v>
      </c>
    </row>
    <row r="88" spans="1:1" x14ac:dyDescent="0.25">
      <c r="A88" s="55">
        <v>233499</v>
      </c>
    </row>
    <row r="89" spans="1:1" x14ac:dyDescent="0.25">
      <c r="A89" s="55">
        <v>529848</v>
      </c>
    </row>
    <row r="90" spans="1:1" x14ac:dyDescent="0.25">
      <c r="A90" s="55">
        <v>453972</v>
      </c>
    </row>
    <row r="91" spans="1:1" x14ac:dyDescent="0.25">
      <c r="A91" s="55">
        <v>371770</v>
      </c>
    </row>
    <row r="92" spans="1:1" x14ac:dyDescent="0.25">
      <c r="A92" s="55">
        <v>461415</v>
      </c>
    </row>
    <row r="93" spans="1:1" x14ac:dyDescent="0.25">
      <c r="A93" s="55">
        <v>625271</v>
      </c>
    </row>
    <row r="94" spans="1:1" x14ac:dyDescent="0.25">
      <c r="A94" s="55">
        <v>264141</v>
      </c>
    </row>
    <row r="95" spans="1:1" x14ac:dyDescent="0.25">
      <c r="A95" s="55">
        <v>341209</v>
      </c>
    </row>
    <row r="96" spans="1:1" x14ac:dyDescent="0.25">
      <c r="A96" s="55">
        <v>237202</v>
      </c>
    </row>
    <row r="97" spans="1:1" x14ac:dyDescent="0.25">
      <c r="A97" s="55">
        <v>409040</v>
      </c>
    </row>
    <row r="98" spans="1:1" x14ac:dyDescent="0.25">
      <c r="A98" s="55">
        <v>360557</v>
      </c>
    </row>
    <row r="99" spans="1:1" x14ac:dyDescent="0.25">
      <c r="A99" s="55">
        <v>555430</v>
      </c>
    </row>
    <row r="100" spans="1:1" x14ac:dyDescent="0.25">
      <c r="A100" s="55">
        <v>615748</v>
      </c>
    </row>
    <row r="101" spans="1:1" x14ac:dyDescent="0.25">
      <c r="A101" s="55">
        <v>594389</v>
      </c>
    </row>
    <row r="102" spans="1:1" x14ac:dyDescent="0.25">
      <c r="A102" s="55">
        <v>717557</v>
      </c>
    </row>
    <row r="103" spans="1:1" x14ac:dyDescent="0.25">
      <c r="A103" s="55">
        <v>529905</v>
      </c>
    </row>
    <row r="104" spans="1:1" x14ac:dyDescent="0.25">
      <c r="A104" s="55">
        <v>642543</v>
      </c>
    </row>
    <row r="105" spans="1:1" x14ac:dyDescent="0.25">
      <c r="A105" s="55">
        <v>865078</v>
      </c>
    </row>
    <row r="106" spans="1:1" x14ac:dyDescent="0.25">
      <c r="A106" s="55">
        <v>194608</v>
      </c>
    </row>
    <row r="107" spans="1:1" x14ac:dyDescent="0.25">
      <c r="A107" s="55">
        <v>572116</v>
      </c>
    </row>
    <row r="108" spans="1:1" x14ac:dyDescent="0.25">
      <c r="A108" s="55">
        <v>668726</v>
      </c>
    </row>
    <row r="109" spans="1:1" x14ac:dyDescent="0.25">
      <c r="A109" s="55">
        <v>870279</v>
      </c>
    </row>
    <row r="110" spans="1:1" x14ac:dyDescent="0.25">
      <c r="A110" s="55">
        <v>580989</v>
      </c>
    </row>
    <row r="111" spans="1:1" x14ac:dyDescent="0.25">
      <c r="A111" s="55">
        <v>699025</v>
      </c>
    </row>
    <row r="112" spans="1:1" x14ac:dyDescent="0.25">
      <c r="A112" s="55">
        <v>1000746</v>
      </c>
    </row>
    <row r="113" spans="1:1" x14ac:dyDescent="0.25">
      <c r="A113" s="55">
        <v>715996</v>
      </c>
    </row>
    <row r="114" spans="1:1" x14ac:dyDescent="0.25">
      <c r="A114" s="55">
        <v>397112</v>
      </c>
    </row>
    <row r="115" spans="1:1" x14ac:dyDescent="0.25">
      <c r="A115" s="55">
        <v>660639</v>
      </c>
    </row>
    <row r="116" spans="1:1" x14ac:dyDescent="0.25">
      <c r="A116" s="55">
        <v>583083</v>
      </c>
    </row>
    <row r="117" spans="1:1" x14ac:dyDescent="0.25">
      <c r="A117" s="55">
        <v>438601</v>
      </c>
    </row>
    <row r="118" spans="1:1" x14ac:dyDescent="0.25">
      <c r="A118" s="55">
        <v>381608</v>
      </c>
    </row>
    <row r="119" spans="1:1" x14ac:dyDescent="0.25">
      <c r="A119" s="55">
        <v>327725</v>
      </c>
    </row>
    <row r="120" spans="1:1" x14ac:dyDescent="0.25">
      <c r="A120" s="55">
        <v>737088</v>
      </c>
    </row>
    <row r="121" spans="1:1" x14ac:dyDescent="0.25">
      <c r="A121" s="55">
        <v>377518</v>
      </c>
    </row>
    <row r="122" spans="1:1" x14ac:dyDescent="0.25">
      <c r="A122" s="55">
        <v>1021826</v>
      </c>
    </row>
    <row r="123" spans="1:1" x14ac:dyDescent="0.25">
      <c r="A123" s="55">
        <v>539222</v>
      </c>
    </row>
    <row r="124" spans="1:1" x14ac:dyDescent="0.25">
      <c r="A124" s="55">
        <v>921406</v>
      </c>
    </row>
    <row r="125" spans="1:1" x14ac:dyDescent="0.25">
      <c r="A125" s="55">
        <v>973777</v>
      </c>
    </row>
    <row r="126" spans="1:1" x14ac:dyDescent="0.25">
      <c r="A126" s="55">
        <v>822231</v>
      </c>
    </row>
    <row r="127" spans="1:1" x14ac:dyDescent="0.25">
      <c r="A127" s="55">
        <v>729136</v>
      </c>
    </row>
    <row r="128" spans="1:1" x14ac:dyDescent="0.25">
      <c r="A128" s="55">
        <v>434496</v>
      </c>
    </row>
    <row r="129" spans="1:1" x14ac:dyDescent="0.25">
      <c r="A129" s="55">
        <v>715708</v>
      </c>
    </row>
    <row r="130" spans="1:1" x14ac:dyDescent="0.25">
      <c r="A130" s="55">
        <v>679159</v>
      </c>
    </row>
    <row r="131" spans="1:1" x14ac:dyDescent="0.25">
      <c r="A131" s="55">
        <v>551161</v>
      </c>
    </row>
    <row r="132" spans="1:1" x14ac:dyDescent="0.25">
      <c r="A132" s="55">
        <v>614504</v>
      </c>
    </row>
    <row r="133" spans="1:1" x14ac:dyDescent="0.25">
      <c r="A133" s="55">
        <v>611236</v>
      </c>
    </row>
    <row r="134" spans="1:1" x14ac:dyDescent="0.25">
      <c r="A134" s="55">
        <v>200980</v>
      </c>
    </row>
    <row r="135" spans="1:1" x14ac:dyDescent="0.25">
      <c r="A135" s="55">
        <v>659821</v>
      </c>
    </row>
    <row r="136" spans="1:1" x14ac:dyDescent="0.25">
      <c r="A136" s="55">
        <v>591976</v>
      </c>
    </row>
    <row r="137" spans="1:1" x14ac:dyDescent="0.25">
      <c r="A137" s="55">
        <v>647960</v>
      </c>
    </row>
    <row r="138" spans="1:1" x14ac:dyDescent="0.25">
      <c r="A138" s="55">
        <v>516524</v>
      </c>
    </row>
    <row r="139" spans="1:1" x14ac:dyDescent="0.25">
      <c r="A139" s="55">
        <v>813533</v>
      </c>
    </row>
    <row r="140" spans="1:1" x14ac:dyDescent="0.25">
      <c r="A140" s="55">
        <v>633632</v>
      </c>
    </row>
    <row r="141" spans="1:1" x14ac:dyDescent="0.25">
      <c r="A141" s="55">
        <v>405747</v>
      </c>
    </row>
    <row r="142" spans="1:1" x14ac:dyDescent="0.25">
      <c r="A142" s="55">
        <v>326399</v>
      </c>
    </row>
    <row r="143" spans="1:1" x14ac:dyDescent="0.25">
      <c r="A143" s="55">
        <v>483177</v>
      </c>
    </row>
    <row r="144" spans="1:1" x14ac:dyDescent="0.25">
      <c r="A144" s="55">
        <v>515509</v>
      </c>
    </row>
    <row r="145" spans="1:1" x14ac:dyDescent="0.25">
      <c r="A145" s="55">
        <v>528161</v>
      </c>
    </row>
    <row r="146" spans="1:1" x14ac:dyDescent="0.25">
      <c r="A146" s="55">
        <v>926397</v>
      </c>
    </row>
    <row r="147" spans="1:1" x14ac:dyDescent="0.25">
      <c r="A147" s="55">
        <v>587391</v>
      </c>
    </row>
    <row r="148" spans="1:1" x14ac:dyDescent="0.25">
      <c r="A148" s="55">
        <v>613791</v>
      </c>
    </row>
    <row r="149" spans="1:1" x14ac:dyDescent="0.25">
      <c r="A149" s="55">
        <v>648532</v>
      </c>
    </row>
    <row r="150" spans="1:1" x14ac:dyDescent="0.25">
      <c r="A150" s="55">
        <v>1190120</v>
      </c>
    </row>
    <row r="151" spans="1:1" x14ac:dyDescent="0.25">
      <c r="A151" s="55">
        <v>693344</v>
      </c>
    </row>
    <row r="152" spans="1:1" x14ac:dyDescent="0.25">
      <c r="A152" s="55">
        <v>477622</v>
      </c>
    </row>
    <row r="153" spans="1:1" x14ac:dyDescent="0.25">
      <c r="A153" s="55">
        <v>264383</v>
      </c>
    </row>
    <row r="154" spans="1:1" x14ac:dyDescent="0.25">
      <c r="A154" s="55">
        <v>413803</v>
      </c>
    </row>
    <row r="155" spans="1:1" x14ac:dyDescent="0.25">
      <c r="A155" s="55">
        <v>297117</v>
      </c>
    </row>
    <row r="156" spans="1:1" x14ac:dyDescent="0.25">
      <c r="A156" s="55">
        <v>413411</v>
      </c>
    </row>
    <row r="157" spans="1:1" x14ac:dyDescent="0.25">
      <c r="A157" s="55">
        <v>357504</v>
      </c>
    </row>
    <row r="158" spans="1:1" x14ac:dyDescent="0.25">
      <c r="A158" s="55">
        <v>482019</v>
      </c>
    </row>
    <row r="159" spans="1:1" x14ac:dyDescent="0.25">
      <c r="A159" s="55">
        <v>685920</v>
      </c>
    </row>
    <row r="160" spans="1:1" x14ac:dyDescent="0.25">
      <c r="A160" s="55">
        <v>655452</v>
      </c>
    </row>
    <row r="161" spans="1:1" x14ac:dyDescent="0.25">
      <c r="A161" s="55">
        <v>670727</v>
      </c>
    </row>
    <row r="162" spans="1:1" x14ac:dyDescent="0.25">
      <c r="A162" s="55">
        <v>555017</v>
      </c>
    </row>
    <row r="163" spans="1:1" x14ac:dyDescent="0.25">
      <c r="A163" s="55">
        <v>554240</v>
      </c>
    </row>
    <row r="164" spans="1:1" x14ac:dyDescent="0.25">
      <c r="A164" s="55">
        <v>693032</v>
      </c>
    </row>
    <row r="165" spans="1:1" x14ac:dyDescent="0.25">
      <c r="A165" s="55">
        <v>550863</v>
      </c>
    </row>
    <row r="166" spans="1:1" x14ac:dyDescent="0.25">
      <c r="A166" s="55">
        <v>666129</v>
      </c>
    </row>
    <row r="167" spans="1:1" x14ac:dyDescent="0.25">
      <c r="A167" s="55">
        <v>331353</v>
      </c>
    </row>
    <row r="168" spans="1:1" x14ac:dyDescent="0.25">
      <c r="A168" s="55">
        <v>310849</v>
      </c>
    </row>
    <row r="169" spans="1:1" x14ac:dyDescent="0.25">
      <c r="A169" s="55">
        <v>725208</v>
      </c>
    </row>
    <row r="170" spans="1:1" x14ac:dyDescent="0.25">
      <c r="A170" s="55">
        <v>452589</v>
      </c>
    </row>
    <row r="171" spans="1:1" x14ac:dyDescent="0.25">
      <c r="A171" s="55">
        <v>465515</v>
      </c>
    </row>
    <row r="172" spans="1:1" x14ac:dyDescent="0.25">
      <c r="A172" s="55">
        <v>570954</v>
      </c>
    </row>
    <row r="173" spans="1:1" x14ac:dyDescent="0.25">
      <c r="A173" s="55">
        <v>460779</v>
      </c>
    </row>
    <row r="174" spans="1:1" x14ac:dyDescent="0.25">
      <c r="A174" s="55">
        <v>591135</v>
      </c>
    </row>
    <row r="175" spans="1:1" x14ac:dyDescent="0.25">
      <c r="A175" s="55">
        <v>782914</v>
      </c>
    </row>
    <row r="176" spans="1:1" x14ac:dyDescent="0.25">
      <c r="A176" s="55">
        <v>415974</v>
      </c>
    </row>
    <row r="177" spans="1:1" x14ac:dyDescent="0.25">
      <c r="A177" s="55">
        <v>288719</v>
      </c>
    </row>
    <row r="178" spans="1:1" x14ac:dyDescent="0.25">
      <c r="A178" s="55">
        <v>731183</v>
      </c>
    </row>
    <row r="179" spans="1:1" x14ac:dyDescent="0.25">
      <c r="A179" s="55">
        <v>829541</v>
      </c>
    </row>
    <row r="180" spans="1:1" x14ac:dyDescent="0.25">
      <c r="A180" s="55">
        <v>379656</v>
      </c>
    </row>
    <row r="181" spans="1:1" x14ac:dyDescent="0.25">
      <c r="A181" s="55">
        <v>698599</v>
      </c>
    </row>
    <row r="182" spans="1:1" x14ac:dyDescent="0.25">
      <c r="A182" s="55">
        <v>510042</v>
      </c>
    </row>
    <row r="183" spans="1:1" x14ac:dyDescent="0.25">
      <c r="A183" s="55">
        <v>770680</v>
      </c>
    </row>
    <row r="184" spans="1:1" x14ac:dyDescent="0.25">
      <c r="A184" s="55">
        <v>368322</v>
      </c>
    </row>
    <row r="185" spans="1:1" x14ac:dyDescent="0.25">
      <c r="A185" s="55">
        <v>67157</v>
      </c>
    </row>
    <row r="186" spans="1:1" x14ac:dyDescent="0.25">
      <c r="A186" s="55">
        <v>672896</v>
      </c>
    </row>
    <row r="187" spans="1:1" x14ac:dyDescent="0.25">
      <c r="A187" s="55">
        <v>724330</v>
      </c>
    </row>
    <row r="188" spans="1:1" x14ac:dyDescent="0.25">
      <c r="A188" s="55">
        <v>638581</v>
      </c>
    </row>
    <row r="189" spans="1:1" x14ac:dyDescent="0.25">
      <c r="A189" s="55">
        <v>15240</v>
      </c>
    </row>
    <row r="190" spans="1:1" x14ac:dyDescent="0.25">
      <c r="A190" s="55">
        <v>791644</v>
      </c>
    </row>
    <row r="191" spans="1:1" x14ac:dyDescent="0.25">
      <c r="A191" s="55">
        <v>628407</v>
      </c>
    </row>
    <row r="192" spans="1:1" x14ac:dyDescent="0.25">
      <c r="A192" s="55">
        <v>479407</v>
      </c>
    </row>
    <row r="193" spans="1:1" x14ac:dyDescent="0.25">
      <c r="A193" s="55">
        <v>635957</v>
      </c>
    </row>
    <row r="194" spans="1:1" x14ac:dyDescent="0.25">
      <c r="A194" s="55">
        <v>375546</v>
      </c>
    </row>
    <row r="195" spans="1:1" x14ac:dyDescent="0.25">
      <c r="A195" s="55">
        <v>1038868</v>
      </c>
    </row>
    <row r="196" spans="1:1" x14ac:dyDescent="0.25">
      <c r="A196" s="55">
        <v>13866</v>
      </c>
    </row>
    <row r="197" spans="1:1" x14ac:dyDescent="0.25">
      <c r="A197" s="55">
        <v>56529</v>
      </c>
    </row>
    <row r="198" spans="1:1" x14ac:dyDescent="0.25">
      <c r="A198" s="55">
        <v>61300</v>
      </c>
    </row>
    <row r="199" spans="1:1" x14ac:dyDescent="0.25">
      <c r="A199" s="55">
        <v>59666</v>
      </c>
    </row>
    <row r="200" spans="1:1" x14ac:dyDescent="0.25">
      <c r="A200" s="55">
        <v>18608</v>
      </c>
    </row>
    <row r="201" spans="1:1" x14ac:dyDescent="0.25">
      <c r="A201" s="55">
        <v>25800</v>
      </c>
    </row>
    <row r="202" spans="1:1" x14ac:dyDescent="0.25">
      <c r="A202" s="55">
        <v>124048</v>
      </c>
    </row>
    <row r="203" spans="1:1" x14ac:dyDescent="0.25">
      <c r="A203" s="55">
        <v>234738</v>
      </c>
    </row>
    <row r="204" spans="1:1" x14ac:dyDescent="0.25">
      <c r="A204" s="55">
        <v>132217</v>
      </c>
    </row>
    <row r="205" spans="1:1" x14ac:dyDescent="0.25">
      <c r="A205" s="55">
        <v>161448</v>
      </c>
    </row>
    <row r="206" spans="1:1" x14ac:dyDescent="0.25">
      <c r="A206" s="55">
        <v>57619</v>
      </c>
    </row>
    <row r="207" spans="1:1" x14ac:dyDescent="0.25">
      <c r="A207" s="55">
        <v>287049</v>
      </c>
    </row>
    <row r="208" spans="1:1" x14ac:dyDescent="0.25">
      <c r="A208" s="55">
        <v>208698</v>
      </c>
    </row>
    <row r="209" spans="1:1" x14ac:dyDescent="0.25">
      <c r="A209" s="55">
        <v>97539</v>
      </c>
    </row>
    <row r="210" spans="1:1" x14ac:dyDescent="0.25">
      <c r="A210" s="55">
        <v>98460</v>
      </c>
    </row>
    <row r="211" spans="1:1" x14ac:dyDescent="0.25">
      <c r="A211" s="55">
        <v>241261</v>
      </c>
    </row>
    <row r="212" spans="1:1" x14ac:dyDescent="0.25">
      <c r="A212" s="55">
        <v>275154</v>
      </c>
    </row>
    <row r="213" spans="1:1" x14ac:dyDescent="0.25">
      <c r="A213" s="55">
        <v>316506</v>
      </c>
    </row>
    <row r="214" spans="1:1" x14ac:dyDescent="0.25">
      <c r="A214" s="55">
        <v>101577</v>
      </c>
    </row>
    <row r="215" spans="1:1" x14ac:dyDescent="0.25">
      <c r="A215" s="55">
        <v>150387</v>
      </c>
    </row>
    <row r="216" spans="1:1" x14ac:dyDescent="0.25">
      <c r="A216" s="55">
        <v>146291</v>
      </c>
    </row>
    <row r="217" spans="1:1" x14ac:dyDescent="0.25">
      <c r="A217" s="55">
        <v>36582</v>
      </c>
    </row>
    <row r="218" spans="1:1" x14ac:dyDescent="0.25">
      <c r="A218" s="55">
        <v>120563</v>
      </c>
    </row>
    <row r="219" spans="1:1" x14ac:dyDescent="0.25">
      <c r="A219" s="55">
        <v>96667</v>
      </c>
    </row>
    <row r="220" spans="1:1" x14ac:dyDescent="0.25">
      <c r="A220" s="55">
        <v>185451</v>
      </c>
    </row>
    <row r="221" spans="1:1" x14ac:dyDescent="0.25">
      <c r="A221" s="55">
        <v>121072</v>
      </c>
    </row>
    <row r="222" spans="1:1" x14ac:dyDescent="0.25">
      <c r="A222" s="55">
        <v>276527</v>
      </c>
    </row>
    <row r="223" spans="1:1" x14ac:dyDescent="0.25">
      <c r="A223" s="55">
        <v>208085</v>
      </c>
    </row>
    <row r="224" spans="1:1" x14ac:dyDescent="0.25">
      <c r="A224" s="55">
        <v>296917</v>
      </c>
    </row>
    <row r="225" spans="1:1" x14ac:dyDescent="0.25">
      <c r="A225" s="55">
        <v>134470</v>
      </c>
    </row>
    <row r="226" spans="1:1" x14ac:dyDescent="0.25">
      <c r="A226" s="55">
        <v>151047</v>
      </c>
    </row>
    <row r="227" spans="1:1" x14ac:dyDescent="0.25">
      <c r="A227" s="55">
        <v>125438</v>
      </c>
    </row>
    <row r="228" spans="1:1" x14ac:dyDescent="0.25">
      <c r="A228" s="55">
        <v>292641</v>
      </c>
    </row>
    <row r="229" spans="1:1" x14ac:dyDescent="0.25">
      <c r="A229" s="55">
        <v>497108</v>
      </c>
    </row>
    <row r="230" spans="1:1" x14ac:dyDescent="0.25">
      <c r="A230" s="55">
        <v>111014</v>
      </c>
    </row>
    <row r="231" spans="1:1" x14ac:dyDescent="0.25">
      <c r="A231" s="55">
        <v>259055</v>
      </c>
    </row>
    <row r="232" spans="1:1" x14ac:dyDescent="0.25">
      <c r="A232" s="55">
        <v>79694</v>
      </c>
    </row>
    <row r="233" spans="1:1" x14ac:dyDescent="0.25">
      <c r="A233" s="55">
        <v>116664</v>
      </c>
    </row>
    <row r="234" spans="1:1" x14ac:dyDescent="0.25">
      <c r="A234" s="55">
        <v>135202</v>
      </c>
    </row>
    <row r="235" spans="1:1" x14ac:dyDescent="0.25">
      <c r="A235" s="55">
        <v>136582</v>
      </c>
    </row>
    <row r="236" spans="1:1" x14ac:dyDescent="0.25">
      <c r="A236" s="55">
        <v>111577</v>
      </c>
    </row>
    <row r="237" spans="1:1" x14ac:dyDescent="0.25">
      <c r="A237" s="55">
        <v>286322</v>
      </c>
    </row>
    <row r="238" spans="1:1" x14ac:dyDescent="0.25">
      <c r="A238" s="55">
        <v>199328</v>
      </c>
    </row>
    <row r="239" spans="1:1" x14ac:dyDescent="0.25">
      <c r="A239" s="55">
        <v>154797</v>
      </c>
    </row>
    <row r="240" spans="1:1" x14ac:dyDescent="0.25">
      <c r="A240" s="55">
        <v>43361</v>
      </c>
    </row>
    <row r="241" spans="1:1" x14ac:dyDescent="0.25">
      <c r="A241" s="55">
        <v>147673</v>
      </c>
    </row>
    <row r="242" spans="1:1" x14ac:dyDescent="0.25">
      <c r="A242" s="55">
        <v>166843</v>
      </c>
    </row>
    <row r="243" spans="1:1" x14ac:dyDescent="0.25">
      <c r="A243" s="55">
        <v>112241</v>
      </c>
    </row>
    <row r="244" spans="1:1" x14ac:dyDescent="0.25">
      <c r="A244" s="55">
        <v>56425</v>
      </c>
    </row>
    <row r="245" spans="1:1" x14ac:dyDescent="0.25">
      <c r="A245" s="55">
        <v>85823</v>
      </c>
    </row>
    <row r="246" spans="1:1" x14ac:dyDescent="0.25">
      <c r="A246" s="55">
        <v>124155</v>
      </c>
    </row>
    <row r="247" spans="1:1" x14ac:dyDescent="0.25">
      <c r="A247" s="55">
        <v>290895</v>
      </c>
    </row>
    <row r="248" spans="1:1" x14ac:dyDescent="0.25">
      <c r="A248" s="55">
        <v>53762</v>
      </c>
    </row>
    <row r="249" spans="1:1" x14ac:dyDescent="0.25">
      <c r="A249" s="55">
        <v>56176</v>
      </c>
    </row>
    <row r="250" spans="1:1" x14ac:dyDescent="0.25">
      <c r="A250" s="55">
        <v>406200</v>
      </c>
    </row>
    <row r="251" spans="1:1" x14ac:dyDescent="0.25">
      <c r="A251" s="55">
        <v>160515</v>
      </c>
    </row>
    <row r="252" spans="1:1" x14ac:dyDescent="0.25">
      <c r="A252" s="55">
        <v>371267</v>
      </c>
    </row>
    <row r="253" spans="1:1" x14ac:dyDescent="0.25">
      <c r="A253" s="55">
        <v>205973</v>
      </c>
    </row>
    <row r="254" spans="1:1" x14ac:dyDescent="0.25">
      <c r="A254" s="55">
        <v>190068</v>
      </c>
    </row>
    <row r="255" spans="1:1" x14ac:dyDescent="0.25">
      <c r="A255" s="55">
        <v>243511</v>
      </c>
    </row>
    <row r="256" spans="1:1" x14ac:dyDescent="0.25">
      <c r="A256" s="55">
        <v>374145</v>
      </c>
    </row>
    <row r="257" spans="1:1" x14ac:dyDescent="0.25">
      <c r="A257" s="55">
        <v>204767</v>
      </c>
    </row>
    <row r="258" spans="1:1" x14ac:dyDescent="0.25">
      <c r="A258" s="55">
        <v>208518</v>
      </c>
    </row>
    <row r="259" spans="1:1" x14ac:dyDescent="0.25">
      <c r="A259" s="55">
        <v>92791</v>
      </c>
    </row>
    <row r="260" spans="1:1" x14ac:dyDescent="0.25">
      <c r="A260" s="55">
        <v>191035</v>
      </c>
    </row>
    <row r="261" spans="1:1" x14ac:dyDescent="0.25">
      <c r="A261" s="55">
        <v>240955</v>
      </c>
    </row>
    <row r="262" spans="1:1" x14ac:dyDescent="0.25">
      <c r="A262" s="55">
        <v>101999</v>
      </c>
    </row>
    <row r="263" spans="1:1" x14ac:dyDescent="0.25">
      <c r="A263" s="55">
        <v>81426</v>
      </c>
    </row>
    <row r="264" spans="1:1" x14ac:dyDescent="0.25">
      <c r="A264" s="55">
        <v>210346</v>
      </c>
    </row>
    <row r="265" spans="1:1" x14ac:dyDescent="0.25">
      <c r="A265" s="55">
        <v>88547</v>
      </c>
    </row>
    <row r="266" spans="1:1" x14ac:dyDescent="0.25">
      <c r="A266" s="55">
        <v>155050</v>
      </c>
    </row>
    <row r="267" spans="1:1" x14ac:dyDescent="0.25">
      <c r="A267" s="55">
        <v>121201</v>
      </c>
    </row>
    <row r="268" spans="1:1" x14ac:dyDescent="0.25">
      <c r="A268" s="55">
        <v>666565</v>
      </c>
    </row>
    <row r="269" spans="1:1" x14ac:dyDescent="0.25">
      <c r="A269" s="55">
        <v>88448</v>
      </c>
    </row>
    <row r="270" spans="1:1" x14ac:dyDescent="0.25">
      <c r="A270" s="55">
        <v>187905</v>
      </c>
    </row>
    <row r="271" spans="1:1" x14ac:dyDescent="0.25">
      <c r="A271" s="55">
        <v>151991</v>
      </c>
    </row>
    <row r="272" spans="1:1" x14ac:dyDescent="0.25">
      <c r="A272" s="55">
        <v>280760</v>
      </c>
    </row>
    <row r="273" spans="1:1" x14ac:dyDescent="0.25">
      <c r="A273" s="55">
        <v>197923</v>
      </c>
    </row>
    <row r="274" spans="1:1" x14ac:dyDescent="0.25">
      <c r="A274" s="55">
        <v>106018</v>
      </c>
    </row>
    <row r="275" spans="1:1" x14ac:dyDescent="0.25">
      <c r="A275" s="55">
        <v>472078</v>
      </c>
    </row>
    <row r="276" spans="1:1" x14ac:dyDescent="0.25">
      <c r="A276" s="55">
        <v>112063</v>
      </c>
    </row>
    <row r="277" spans="1:1" x14ac:dyDescent="0.25">
      <c r="A277" s="55">
        <v>355934</v>
      </c>
    </row>
    <row r="278" spans="1:1" x14ac:dyDescent="0.25">
      <c r="A278" s="55">
        <v>113466</v>
      </c>
    </row>
    <row r="279" spans="1:1" x14ac:dyDescent="0.25">
      <c r="A279" s="55">
        <v>280993</v>
      </c>
    </row>
    <row r="280" spans="1:1" x14ac:dyDescent="0.25">
      <c r="A280" s="55">
        <v>120739</v>
      </c>
    </row>
    <row r="281" spans="1:1" x14ac:dyDescent="0.25">
      <c r="A281" s="55">
        <v>123089</v>
      </c>
    </row>
    <row r="282" spans="1:1" x14ac:dyDescent="0.25">
      <c r="A282" s="55">
        <v>276689</v>
      </c>
    </row>
    <row r="283" spans="1:1" x14ac:dyDescent="0.25">
      <c r="A283" s="55">
        <v>212339</v>
      </c>
    </row>
    <row r="284" spans="1:1" x14ac:dyDescent="0.25">
      <c r="A284" s="55">
        <v>115602</v>
      </c>
    </row>
    <row r="285" spans="1:1" x14ac:dyDescent="0.25">
      <c r="A285" s="55">
        <v>139584</v>
      </c>
    </row>
    <row r="286" spans="1:1" x14ac:dyDescent="0.25">
      <c r="A286" s="55">
        <v>296725</v>
      </c>
    </row>
    <row r="287" spans="1:1" x14ac:dyDescent="0.25">
      <c r="A287" s="55">
        <v>153733</v>
      </c>
    </row>
    <row r="288" spans="1:1" x14ac:dyDescent="0.25">
      <c r="A288" s="55">
        <v>135454</v>
      </c>
    </row>
    <row r="289" spans="1:1" x14ac:dyDescent="0.25">
      <c r="A289" s="55">
        <v>173468</v>
      </c>
    </row>
    <row r="290" spans="1:1" x14ac:dyDescent="0.25">
      <c r="A290" s="55">
        <v>155826</v>
      </c>
    </row>
    <row r="291" spans="1:1" x14ac:dyDescent="0.25">
      <c r="A291" s="55">
        <v>373057</v>
      </c>
    </row>
    <row r="292" spans="1:1" x14ac:dyDescent="0.25">
      <c r="A292" s="55">
        <v>190533</v>
      </c>
    </row>
    <row r="293" spans="1:1" x14ac:dyDescent="0.25">
      <c r="A293" s="55">
        <v>318095</v>
      </c>
    </row>
    <row r="294" spans="1:1" x14ac:dyDescent="0.25">
      <c r="A294" s="55">
        <v>184086</v>
      </c>
    </row>
    <row r="295" spans="1:1" x14ac:dyDescent="0.25">
      <c r="A295" s="55">
        <v>201996</v>
      </c>
    </row>
    <row r="296" spans="1:1" x14ac:dyDescent="0.25">
      <c r="A296" s="55">
        <v>77105</v>
      </c>
    </row>
    <row r="297" spans="1:1" x14ac:dyDescent="0.25">
      <c r="A297" s="55">
        <v>189209</v>
      </c>
    </row>
    <row r="298" spans="1:1" x14ac:dyDescent="0.25">
      <c r="A298" s="55">
        <v>94841</v>
      </c>
    </row>
    <row r="299" spans="1:1" x14ac:dyDescent="0.25">
      <c r="A299" s="55">
        <v>93390</v>
      </c>
    </row>
    <row r="300" spans="1:1" x14ac:dyDescent="0.25">
      <c r="A300" s="55">
        <v>299170</v>
      </c>
    </row>
    <row r="301" spans="1:1" x14ac:dyDescent="0.25">
      <c r="A301" s="55">
        <v>129321</v>
      </c>
    </row>
    <row r="302" spans="1:1" x14ac:dyDescent="0.25">
      <c r="A302" s="55">
        <v>261173</v>
      </c>
    </row>
    <row r="303" spans="1:1" x14ac:dyDescent="0.25">
      <c r="A303" s="55">
        <v>201631</v>
      </c>
    </row>
    <row r="304" spans="1:1" x14ac:dyDescent="0.25">
      <c r="A304" s="55">
        <v>95129</v>
      </c>
    </row>
    <row r="305" spans="1:1" x14ac:dyDescent="0.25">
      <c r="A305" s="55">
        <v>133195</v>
      </c>
    </row>
    <row r="306" spans="1:1" x14ac:dyDescent="0.25">
      <c r="A306" s="55">
        <v>119802</v>
      </c>
    </row>
    <row r="307" spans="1:1" x14ac:dyDescent="0.25">
      <c r="A307" s="55">
        <v>426870</v>
      </c>
    </row>
    <row r="308" spans="1:1" x14ac:dyDescent="0.25">
      <c r="A308" s="55">
        <v>76108</v>
      </c>
    </row>
    <row r="309" spans="1:1" x14ac:dyDescent="0.25">
      <c r="A309" s="55">
        <v>293764</v>
      </c>
    </row>
    <row r="310" spans="1:1" x14ac:dyDescent="0.25">
      <c r="A310" s="55">
        <v>127810</v>
      </c>
    </row>
    <row r="311" spans="1:1" x14ac:dyDescent="0.25">
      <c r="A311" s="55">
        <v>116281</v>
      </c>
    </row>
    <row r="312" spans="1:1" x14ac:dyDescent="0.25">
      <c r="A312" s="55">
        <v>250014</v>
      </c>
    </row>
    <row r="313" spans="1:1" x14ac:dyDescent="0.25">
      <c r="A313" s="55">
        <v>79875</v>
      </c>
    </row>
    <row r="314" spans="1:1" x14ac:dyDescent="0.25">
      <c r="A314" s="55">
        <v>144319</v>
      </c>
    </row>
    <row r="315" spans="1:1" x14ac:dyDescent="0.25">
      <c r="A315" s="55">
        <v>256868</v>
      </c>
    </row>
    <row r="316" spans="1:1" x14ac:dyDescent="0.25">
      <c r="A316" s="55">
        <v>339304</v>
      </c>
    </row>
    <row r="317" spans="1:1" x14ac:dyDescent="0.25">
      <c r="A317" s="55">
        <v>529272</v>
      </c>
    </row>
    <row r="318" spans="1:1" x14ac:dyDescent="0.25">
      <c r="A318" s="55">
        <v>174433</v>
      </c>
    </row>
    <row r="319" spans="1:1" x14ac:dyDescent="0.25">
      <c r="A319" s="55">
        <v>274989</v>
      </c>
    </row>
    <row r="320" spans="1:1" x14ac:dyDescent="0.25">
      <c r="A320" s="55">
        <v>192932</v>
      </c>
    </row>
    <row r="321" spans="1:1" x14ac:dyDescent="0.25">
      <c r="A321" s="55">
        <v>103947</v>
      </c>
    </row>
    <row r="322" spans="1:1" x14ac:dyDescent="0.25">
      <c r="A322" s="55">
        <v>279999</v>
      </c>
    </row>
    <row r="323" spans="1:1" x14ac:dyDescent="0.25">
      <c r="A323" s="55">
        <v>251573</v>
      </c>
    </row>
    <row r="324" spans="1:1" x14ac:dyDescent="0.25">
      <c r="A324" s="55">
        <v>195200</v>
      </c>
    </row>
    <row r="325" spans="1:1" x14ac:dyDescent="0.25">
      <c r="A325" s="55">
        <v>253282</v>
      </c>
    </row>
    <row r="326" spans="1:1" x14ac:dyDescent="0.25">
      <c r="A326" s="55">
        <v>173577</v>
      </c>
    </row>
    <row r="327" spans="1:1" x14ac:dyDescent="0.25">
      <c r="A327" s="55">
        <v>121164</v>
      </c>
    </row>
    <row r="328" spans="1:1" x14ac:dyDescent="0.25">
      <c r="A328" s="55">
        <v>144092</v>
      </c>
    </row>
    <row r="329" spans="1:1" x14ac:dyDescent="0.25">
      <c r="A329" s="55">
        <v>213965</v>
      </c>
    </row>
    <row r="330" spans="1:1" x14ac:dyDescent="0.25">
      <c r="A330" s="55">
        <v>94657</v>
      </c>
    </row>
    <row r="331" spans="1:1" x14ac:dyDescent="0.25">
      <c r="A331" s="55">
        <v>410493</v>
      </c>
    </row>
    <row r="332" spans="1:1" x14ac:dyDescent="0.25">
      <c r="A332" s="55">
        <v>63902</v>
      </c>
    </row>
    <row r="333" spans="1:1" x14ac:dyDescent="0.25">
      <c r="A333" s="55">
        <v>38208</v>
      </c>
    </row>
    <row r="334" spans="1:1" x14ac:dyDescent="0.25">
      <c r="A334" s="55">
        <v>115590</v>
      </c>
    </row>
    <row r="335" spans="1:1" x14ac:dyDescent="0.25">
      <c r="A335" s="55">
        <v>113593</v>
      </c>
    </row>
    <row r="336" spans="1:1" x14ac:dyDescent="0.25">
      <c r="A336" s="55">
        <v>127324</v>
      </c>
    </row>
    <row r="337" spans="1:1" x14ac:dyDescent="0.25">
      <c r="A337" s="55">
        <v>118057</v>
      </c>
    </row>
    <row r="338" spans="1:1" x14ac:dyDescent="0.25">
      <c r="A338" s="55">
        <v>87510</v>
      </c>
    </row>
    <row r="339" spans="1:1" x14ac:dyDescent="0.25">
      <c r="A339" s="55">
        <v>232429</v>
      </c>
    </row>
    <row r="340" spans="1:1" x14ac:dyDescent="0.25">
      <c r="A340" s="55">
        <v>117543</v>
      </c>
    </row>
    <row r="341" spans="1:1" x14ac:dyDescent="0.25">
      <c r="A341" s="55">
        <v>33396</v>
      </c>
    </row>
    <row r="342" spans="1:1" x14ac:dyDescent="0.25">
      <c r="A342" s="55">
        <v>306695</v>
      </c>
    </row>
    <row r="343" spans="1:1" x14ac:dyDescent="0.25">
      <c r="A343" s="55">
        <v>289531</v>
      </c>
    </row>
    <row r="344" spans="1:1" x14ac:dyDescent="0.25">
      <c r="A344" s="55">
        <v>149305</v>
      </c>
    </row>
    <row r="345" spans="1:1" x14ac:dyDescent="0.25">
      <c r="A345" s="55">
        <v>163756</v>
      </c>
    </row>
    <row r="346" spans="1:1" x14ac:dyDescent="0.25">
      <c r="A346" s="55">
        <v>130086</v>
      </c>
    </row>
    <row r="347" spans="1:1" x14ac:dyDescent="0.25">
      <c r="A347" s="55">
        <v>574798</v>
      </c>
    </row>
    <row r="348" spans="1:1" x14ac:dyDescent="0.25">
      <c r="A348" s="55">
        <v>274796</v>
      </c>
    </row>
    <row r="349" spans="1:1" x14ac:dyDescent="0.25">
      <c r="A349" s="55">
        <v>175083</v>
      </c>
    </row>
    <row r="350" spans="1:1" x14ac:dyDescent="0.25">
      <c r="A350" s="55">
        <v>466316</v>
      </c>
    </row>
    <row r="351" spans="1:1" x14ac:dyDescent="0.25">
      <c r="A351" s="55">
        <v>131030</v>
      </c>
    </row>
    <row r="352" spans="1:1" x14ac:dyDescent="0.25">
      <c r="A352" s="55">
        <v>123004</v>
      </c>
    </row>
    <row r="353" spans="1:1" x14ac:dyDescent="0.25">
      <c r="A353" s="55">
        <v>321935</v>
      </c>
    </row>
    <row r="354" spans="1:1" x14ac:dyDescent="0.25">
      <c r="A354" s="55">
        <v>111446</v>
      </c>
    </row>
    <row r="355" spans="1:1" x14ac:dyDescent="0.25">
      <c r="A355" s="55">
        <v>150916</v>
      </c>
    </row>
    <row r="356" spans="1:1" x14ac:dyDescent="0.25">
      <c r="A356" s="55">
        <v>267374</v>
      </c>
    </row>
    <row r="357" spans="1:1" x14ac:dyDescent="0.25">
      <c r="A357" s="55">
        <v>135512</v>
      </c>
    </row>
    <row r="358" spans="1:1" x14ac:dyDescent="0.25">
      <c r="A358" s="55">
        <v>53729</v>
      </c>
    </row>
    <row r="359" spans="1:1" x14ac:dyDescent="0.25">
      <c r="A359" s="55">
        <v>44705</v>
      </c>
    </row>
    <row r="360" spans="1:1" x14ac:dyDescent="0.25">
      <c r="A360" s="55">
        <v>272787</v>
      </c>
    </row>
    <row r="361" spans="1:1" x14ac:dyDescent="0.25">
      <c r="A361" s="55">
        <v>96469</v>
      </c>
    </row>
  </sheetData>
  <conditionalFormatting sqref="A1:A361">
    <cfRule type="cellIs" dxfId="629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F167"/>
  <sheetViews>
    <sheetView zoomScaleNormal="100" workbookViewId="0">
      <selection activeCell="B59" sqref="B59"/>
    </sheetView>
  </sheetViews>
  <sheetFormatPr baseColWidth="10" defaultColWidth="11.42578125" defaultRowHeight="16.5" customHeight="1" x14ac:dyDescent="0.25"/>
  <cols>
    <col min="1" max="1" width="16.5703125" style="3" bestFit="1" customWidth="1"/>
    <col min="2" max="2" width="26" style="3" customWidth="1"/>
    <col min="3" max="3" width="14.5703125" style="3" customWidth="1"/>
    <col min="4" max="4" width="12.85546875" style="3" customWidth="1"/>
    <col min="5" max="5" width="19.42578125" style="3" bestFit="1" customWidth="1"/>
    <col min="6" max="6" width="10.7109375" style="3" customWidth="1"/>
    <col min="7" max="7" width="15.42578125" style="3" customWidth="1"/>
    <col min="8" max="8" width="17.140625" style="3" customWidth="1"/>
    <col min="9" max="19" width="12.85546875" style="3" customWidth="1"/>
    <col min="20" max="20" width="239.42578125" style="3" customWidth="1"/>
    <col min="21" max="110" width="11.42578125" style="34"/>
    <col min="111" max="16384" width="11.42578125" style="3"/>
  </cols>
  <sheetData>
    <row r="1" spans="1:84" s="5" customFormat="1" ht="52.5" customHeight="1" x14ac:dyDescent="0.25">
      <c r="A1" s="30" t="s">
        <v>404</v>
      </c>
      <c r="B1" s="30" t="s">
        <v>405</v>
      </c>
      <c r="C1" s="30" t="s">
        <v>406</v>
      </c>
      <c r="D1" s="30" t="s">
        <v>407</v>
      </c>
      <c r="E1" s="30" t="s">
        <v>408</v>
      </c>
      <c r="F1" s="30" t="s">
        <v>409</v>
      </c>
      <c r="G1" s="30" t="s">
        <v>0</v>
      </c>
      <c r="H1" s="30">
        <v>42643</v>
      </c>
      <c r="I1" s="30" t="s">
        <v>1472</v>
      </c>
      <c r="J1" s="30" t="s">
        <v>1473</v>
      </c>
      <c r="K1" s="30" t="s">
        <v>1474</v>
      </c>
      <c r="L1" s="30" t="s">
        <v>1475</v>
      </c>
      <c r="M1" s="30" t="s">
        <v>1476</v>
      </c>
      <c r="N1" s="30" t="s">
        <v>1477</v>
      </c>
      <c r="O1" s="30" t="s">
        <v>1478</v>
      </c>
      <c r="P1" s="30" t="s">
        <v>1479</v>
      </c>
      <c r="Q1" s="30">
        <v>42674</v>
      </c>
      <c r="R1" s="30" t="s">
        <v>1480</v>
      </c>
      <c r="S1" s="30" t="s">
        <v>395</v>
      </c>
      <c r="T1" s="30" t="s">
        <v>379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</row>
    <row r="2" spans="1:84" s="7" customFormat="1" ht="16.5" customHeight="1" x14ac:dyDescent="0.25">
      <c r="A2" s="14" t="s">
        <v>702</v>
      </c>
      <c r="B2" s="14" t="s">
        <v>1481</v>
      </c>
      <c r="C2" s="20">
        <v>9262</v>
      </c>
      <c r="D2" s="14" t="s">
        <v>1482</v>
      </c>
      <c r="E2" s="14" t="s">
        <v>413</v>
      </c>
      <c r="F2" s="14" t="s">
        <v>1934</v>
      </c>
      <c r="G2" s="14" t="s">
        <v>1483</v>
      </c>
      <c r="H2" s="31">
        <v>80191</v>
      </c>
      <c r="I2" s="31"/>
      <c r="J2" s="31"/>
      <c r="K2" s="31"/>
      <c r="L2" s="31"/>
      <c r="M2" s="31"/>
      <c r="N2" s="31"/>
      <c r="O2" s="31"/>
      <c r="P2" s="31"/>
      <c r="Q2" s="31"/>
      <c r="R2" s="31"/>
      <c r="S2" s="31">
        <v>0</v>
      </c>
      <c r="T2" s="14" t="s">
        <v>1484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</row>
    <row r="3" spans="1:84" s="7" customFormat="1" ht="16.5" customHeight="1" x14ac:dyDescent="0.25">
      <c r="A3" s="14" t="s">
        <v>767</v>
      </c>
      <c r="B3" s="14" t="s">
        <v>1485</v>
      </c>
      <c r="C3" s="20">
        <v>9296</v>
      </c>
      <c r="D3" s="14" t="s">
        <v>1486</v>
      </c>
      <c r="E3" s="14" t="s">
        <v>417</v>
      </c>
      <c r="F3" s="14" t="s">
        <v>1051</v>
      </c>
      <c r="G3" s="14" t="s">
        <v>1487</v>
      </c>
      <c r="H3" s="31">
        <v>118073</v>
      </c>
      <c r="I3" s="31"/>
      <c r="J3" s="31"/>
      <c r="K3" s="31"/>
      <c r="L3" s="31"/>
      <c r="M3" s="31"/>
      <c r="N3" s="31"/>
      <c r="O3" s="31"/>
      <c r="P3" s="31"/>
      <c r="Q3" s="31"/>
      <c r="R3" s="31"/>
      <c r="S3" s="31">
        <v>0</v>
      </c>
      <c r="T3" s="14" t="s">
        <v>1488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</row>
    <row r="4" spans="1:84" s="7" customFormat="1" ht="16.5" customHeight="1" x14ac:dyDescent="0.25">
      <c r="A4" s="14" t="s">
        <v>767</v>
      </c>
      <c r="B4" s="14" t="s">
        <v>1485</v>
      </c>
      <c r="C4" s="20">
        <v>9296</v>
      </c>
      <c r="D4" s="14" t="s">
        <v>1489</v>
      </c>
      <c r="E4" s="14" t="s">
        <v>413</v>
      </c>
      <c r="F4" s="14" t="s">
        <v>1935</v>
      </c>
      <c r="G4" s="14" t="s">
        <v>1490</v>
      </c>
      <c r="H4" s="31">
        <v>9877</v>
      </c>
      <c r="I4" s="31"/>
      <c r="J4" s="31"/>
      <c r="K4" s="31"/>
      <c r="L4" s="31"/>
      <c r="M4" s="31"/>
      <c r="N4" s="31"/>
      <c r="O4" s="31"/>
      <c r="P4" s="31"/>
      <c r="Q4" s="31"/>
      <c r="R4" s="31"/>
      <c r="S4" s="31">
        <v>0</v>
      </c>
      <c r="T4" s="14" t="s">
        <v>1491</v>
      </c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</row>
    <row r="5" spans="1:84" s="7" customFormat="1" ht="16.5" customHeight="1" x14ac:dyDescent="0.25">
      <c r="A5" s="15" t="s">
        <v>1008</v>
      </c>
      <c r="B5" s="21" t="s">
        <v>1049</v>
      </c>
      <c r="C5" s="22">
        <v>9611</v>
      </c>
      <c r="D5" s="14" t="s">
        <v>1052</v>
      </c>
      <c r="E5" s="15" t="s">
        <v>413</v>
      </c>
      <c r="F5" s="14" t="s">
        <v>1936</v>
      </c>
      <c r="G5" s="15" t="s">
        <v>358</v>
      </c>
      <c r="H5" s="31">
        <v>186655</v>
      </c>
      <c r="I5" s="31"/>
      <c r="J5" s="31"/>
      <c r="K5" s="31"/>
      <c r="L5" s="31"/>
      <c r="M5" s="31"/>
      <c r="N5" s="31"/>
      <c r="O5" s="31"/>
      <c r="P5" s="31"/>
      <c r="Q5" s="31"/>
      <c r="R5" s="31"/>
      <c r="S5" s="31">
        <v>0</v>
      </c>
      <c r="T5" s="14" t="s">
        <v>1492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</row>
    <row r="6" spans="1:84" s="7" customFormat="1" ht="16.5" customHeight="1" x14ac:dyDescent="0.25">
      <c r="A6" s="14" t="s">
        <v>767</v>
      </c>
      <c r="B6" s="14" t="s">
        <v>1493</v>
      </c>
      <c r="C6" s="20">
        <v>9439</v>
      </c>
      <c r="D6" s="14" t="s">
        <v>1494</v>
      </c>
      <c r="E6" s="14" t="s">
        <v>413</v>
      </c>
      <c r="F6" s="14" t="s">
        <v>1937</v>
      </c>
      <c r="G6" s="14" t="s">
        <v>1495</v>
      </c>
      <c r="H6" s="31">
        <v>95705</v>
      </c>
      <c r="I6" s="31"/>
      <c r="J6" s="31"/>
      <c r="K6" s="31"/>
      <c r="L6" s="31"/>
      <c r="M6" s="31"/>
      <c r="N6" s="31"/>
      <c r="O6" s="31"/>
      <c r="P6" s="31"/>
      <c r="Q6" s="31"/>
      <c r="R6" s="31"/>
      <c r="S6" s="31">
        <v>0</v>
      </c>
      <c r="T6" s="14" t="s">
        <v>1496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</row>
    <row r="7" spans="1:84" s="7" customFormat="1" ht="16.5" customHeight="1" x14ac:dyDescent="0.25">
      <c r="A7" s="14" t="s">
        <v>638</v>
      </c>
      <c r="B7" s="14" t="s">
        <v>1497</v>
      </c>
      <c r="C7" s="20">
        <v>9942</v>
      </c>
      <c r="D7" s="14" t="s">
        <v>1498</v>
      </c>
      <c r="E7" s="14" t="s">
        <v>417</v>
      </c>
      <c r="F7" s="14" t="s">
        <v>834</v>
      </c>
      <c r="G7" s="14" t="s">
        <v>1499</v>
      </c>
      <c r="H7" s="31">
        <v>91075</v>
      </c>
      <c r="I7" s="31"/>
      <c r="J7" s="31"/>
      <c r="K7" s="31"/>
      <c r="L7" s="31"/>
      <c r="M7" s="31"/>
      <c r="N7" s="31"/>
      <c r="O7" s="31"/>
      <c r="P7" s="31"/>
      <c r="Q7" s="31"/>
      <c r="R7" s="31"/>
      <c r="S7" s="31">
        <v>0</v>
      </c>
      <c r="T7" s="14" t="s">
        <v>1500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</row>
    <row r="8" spans="1:84" s="7" customFormat="1" ht="16.5" customHeight="1" x14ac:dyDescent="0.25">
      <c r="A8" s="14" t="s">
        <v>767</v>
      </c>
      <c r="B8" s="14" t="s">
        <v>1501</v>
      </c>
      <c r="C8" s="20">
        <v>9945</v>
      </c>
      <c r="D8" s="14" t="s">
        <v>1502</v>
      </c>
      <c r="E8" s="14" t="s">
        <v>413</v>
      </c>
      <c r="F8" s="14" t="s">
        <v>1938</v>
      </c>
      <c r="G8" s="14" t="s">
        <v>1503</v>
      </c>
      <c r="H8" s="31">
        <v>142199</v>
      </c>
      <c r="I8" s="31"/>
      <c r="J8" s="31"/>
      <c r="K8" s="31"/>
      <c r="L8" s="31"/>
      <c r="M8" s="31"/>
      <c r="N8" s="31"/>
      <c r="O8" s="31"/>
      <c r="P8" s="31"/>
      <c r="Q8" s="31"/>
      <c r="R8" s="31"/>
      <c r="S8" s="31">
        <v>0</v>
      </c>
      <c r="T8" s="14" t="s">
        <v>1504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</row>
    <row r="9" spans="1:84" s="7" customFormat="1" ht="16.5" customHeight="1" x14ac:dyDescent="0.25">
      <c r="A9" s="14" t="s">
        <v>638</v>
      </c>
      <c r="B9" s="14" t="s">
        <v>1505</v>
      </c>
      <c r="C9" s="20">
        <v>9215</v>
      </c>
      <c r="D9" s="14" t="s">
        <v>1506</v>
      </c>
      <c r="E9" s="14" t="s">
        <v>417</v>
      </c>
      <c r="F9" s="14" t="s">
        <v>1939</v>
      </c>
      <c r="G9" s="14" t="s">
        <v>1507</v>
      </c>
      <c r="H9" s="31">
        <v>200634</v>
      </c>
      <c r="I9" s="31"/>
      <c r="J9" s="31"/>
      <c r="K9" s="31"/>
      <c r="L9" s="31"/>
      <c r="M9" s="31"/>
      <c r="N9" s="31"/>
      <c r="O9" s="31"/>
      <c r="P9" s="31"/>
      <c r="Q9" s="31"/>
      <c r="R9" s="31"/>
      <c r="S9" s="31">
        <v>0</v>
      </c>
      <c r="T9" s="14" t="s">
        <v>1508</v>
      </c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</row>
    <row r="10" spans="1:84" s="7" customFormat="1" ht="16.5" customHeight="1" x14ac:dyDescent="0.25">
      <c r="A10" s="14" t="s">
        <v>638</v>
      </c>
      <c r="B10" s="14" t="s">
        <v>1505</v>
      </c>
      <c r="C10" s="20">
        <v>9215</v>
      </c>
      <c r="D10" s="14" t="s">
        <v>1509</v>
      </c>
      <c r="E10" s="14" t="s">
        <v>413</v>
      </c>
      <c r="F10" s="14" t="s">
        <v>1940</v>
      </c>
      <c r="G10" s="14" t="s">
        <v>1510</v>
      </c>
      <c r="H10" s="31">
        <v>55835</v>
      </c>
      <c r="I10" s="31">
        <v>56228</v>
      </c>
      <c r="J10" s="31">
        <v>393</v>
      </c>
      <c r="K10" s="31">
        <v>56319</v>
      </c>
      <c r="L10" s="31">
        <v>91</v>
      </c>
      <c r="M10" s="31"/>
      <c r="N10" s="31"/>
      <c r="O10" s="31"/>
      <c r="P10" s="31"/>
      <c r="Q10" s="31"/>
      <c r="R10" s="31"/>
      <c r="S10" s="31">
        <v>484</v>
      </c>
      <c r="T10" s="14" t="s">
        <v>1511</v>
      </c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</row>
    <row r="11" spans="1:84" s="7" customFormat="1" ht="16.5" customHeight="1" x14ac:dyDescent="0.25">
      <c r="A11" s="14" t="s">
        <v>702</v>
      </c>
      <c r="B11" s="14" t="s">
        <v>1512</v>
      </c>
      <c r="C11" s="20">
        <v>9251</v>
      </c>
      <c r="D11" s="14" t="s">
        <v>1513</v>
      </c>
      <c r="E11" s="14" t="s">
        <v>417</v>
      </c>
      <c r="F11" s="14" t="s">
        <v>1941</v>
      </c>
      <c r="G11" s="14" t="s">
        <v>1514</v>
      </c>
      <c r="H11" s="31">
        <v>210023</v>
      </c>
      <c r="I11" s="31">
        <v>210315</v>
      </c>
      <c r="J11" s="31">
        <v>292</v>
      </c>
      <c r="K11" s="31"/>
      <c r="L11" s="31"/>
      <c r="M11" s="31"/>
      <c r="N11" s="31"/>
      <c r="O11" s="31"/>
      <c r="P11" s="31"/>
      <c r="Q11" s="31"/>
      <c r="R11" s="31"/>
      <c r="S11" s="31">
        <v>292</v>
      </c>
      <c r="T11" s="14" t="s">
        <v>1515</v>
      </c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</row>
    <row r="12" spans="1:84" s="7" customFormat="1" ht="16.5" customHeight="1" x14ac:dyDescent="0.25">
      <c r="A12" s="14" t="s">
        <v>702</v>
      </c>
      <c r="B12" s="14" t="s">
        <v>1512</v>
      </c>
      <c r="C12" s="20">
        <v>9251</v>
      </c>
      <c r="D12" s="14" t="s">
        <v>1516</v>
      </c>
      <c r="E12" s="14" t="s">
        <v>413</v>
      </c>
      <c r="F12" s="14" t="s">
        <v>1942</v>
      </c>
      <c r="G12" s="14" t="s">
        <v>1517</v>
      </c>
      <c r="H12" s="31">
        <v>40509</v>
      </c>
      <c r="I12" s="31">
        <v>40722</v>
      </c>
      <c r="J12" s="31">
        <v>213</v>
      </c>
      <c r="K12" s="31"/>
      <c r="L12" s="31"/>
      <c r="M12" s="31"/>
      <c r="N12" s="31"/>
      <c r="O12" s="31"/>
      <c r="P12" s="31"/>
      <c r="Q12" s="31"/>
      <c r="R12" s="31"/>
      <c r="S12" s="31">
        <v>213</v>
      </c>
      <c r="T12" s="14" t="s">
        <v>1518</v>
      </c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</row>
    <row r="13" spans="1:84" s="7" customFormat="1" ht="16.5" customHeight="1" x14ac:dyDescent="0.25">
      <c r="A13" s="15" t="s">
        <v>638</v>
      </c>
      <c r="B13" s="21" t="s">
        <v>1519</v>
      </c>
      <c r="C13" s="22">
        <v>9254</v>
      </c>
      <c r="D13" s="14" t="s">
        <v>1520</v>
      </c>
      <c r="E13" s="15" t="s">
        <v>413</v>
      </c>
      <c r="F13" s="14" t="s">
        <v>1028</v>
      </c>
      <c r="G13" s="15" t="s">
        <v>1521</v>
      </c>
      <c r="H13" s="31">
        <v>34540</v>
      </c>
      <c r="I13" s="31">
        <v>34722</v>
      </c>
      <c r="J13" s="31">
        <v>182</v>
      </c>
      <c r="K13" s="31"/>
      <c r="L13" s="31"/>
      <c r="M13" s="31"/>
      <c r="N13" s="31"/>
      <c r="O13" s="31"/>
      <c r="P13" s="31"/>
      <c r="Q13" s="31"/>
      <c r="R13" s="31"/>
      <c r="S13" s="31">
        <v>182</v>
      </c>
      <c r="T13" s="14" t="s">
        <v>1522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</row>
    <row r="14" spans="1:84" s="7" customFormat="1" ht="16.5" customHeight="1" x14ac:dyDescent="0.25">
      <c r="A14" s="14" t="s">
        <v>767</v>
      </c>
      <c r="B14" s="14" t="s">
        <v>1523</v>
      </c>
      <c r="C14" s="20">
        <v>9364</v>
      </c>
      <c r="D14" s="14" t="s">
        <v>1524</v>
      </c>
      <c r="E14" s="14" t="s">
        <v>417</v>
      </c>
      <c r="F14" s="14" t="s">
        <v>1943</v>
      </c>
      <c r="G14" s="14" t="s">
        <v>1525</v>
      </c>
      <c r="H14" s="31">
        <v>170520</v>
      </c>
      <c r="I14" s="31">
        <v>171131</v>
      </c>
      <c r="J14" s="31">
        <v>611</v>
      </c>
      <c r="K14" s="31"/>
      <c r="L14" s="31"/>
      <c r="M14" s="31"/>
      <c r="N14" s="31"/>
      <c r="O14" s="31"/>
      <c r="P14" s="31"/>
      <c r="Q14" s="31"/>
      <c r="R14" s="31"/>
      <c r="S14" s="31">
        <v>611</v>
      </c>
      <c r="T14" s="14" t="s">
        <v>1526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</row>
    <row r="15" spans="1:84" s="7" customFormat="1" ht="16.5" customHeight="1" x14ac:dyDescent="0.25">
      <c r="A15" s="14" t="s">
        <v>638</v>
      </c>
      <c r="B15" s="14" t="s">
        <v>1527</v>
      </c>
      <c r="C15" s="19">
        <v>9223</v>
      </c>
      <c r="D15" s="14" t="s">
        <v>1528</v>
      </c>
      <c r="E15" s="14" t="s">
        <v>417</v>
      </c>
      <c r="F15" s="14" t="s">
        <v>1059</v>
      </c>
      <c r="G15" s="14" t="s">
        <v>1529</v>
      </c>
      <c r="H15" s="31">
        <v>393975</v>
      </c>
      <c r="I15" s="31">
        <v>394738</v>
      </c>
      <c r="J15" s="31">
        <v>763</v>
      </c>
      <c r="K15" s="31">
        <v>394746</v>
      </c>
      <c r="L15" s="31">
        <v>8</v>
      </c>
      <c r="M15" s="31"/>
      <c r="N15" s="31"/>
      <c r="O15" s="31"/>
      <c r="P15" s="31"/>
      <c r="Q15" s="31"/>
      <c r="R15" s="31"/>
      <c r="S15" s="31">
        <v>771</v>
      </c>
      <c r="T15" s="14" t="s">
        <v>1530</v>
      </c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</row>
    <row r="16" spans="1:84" s="7" customFormat="1" ht="16.5" customHeight="1" x14ac:dyDescent="0.25">
      <c r="A16" s="14" t="s">
        <v>638</v>
      </c>
      <c r="B16" s="14" t="s">
        <v>1527</v>
      </c>
      <c r="C16" s="19">
        <v>9223</v>
      </c>
      <c r="D16" s="14" t="s">
        <v>1531</v>
      </c>
      <c r="E16" s="14" t="s">
        <v>413</v>
      </c>
      <c r="F16" s="14" t="s">
        <v>1944</v>
      </c>
      <c r="G16" s="14" t="s">
        <v>1532</v>
      </c>
      <c r="H16" s="31">
        <v>81499</v>
      </c>
      <c r="I16" s="31">
        <v>81651</v>
      </c>
      <c r="J16" s="31">
        <v>152</v>
      </c>
      <c r="K16" s="31"/>
      <c r="L16" s="31"/>
      <c r="M16" s="31"/>
      <c r="N16" s="31"/>
      <c r="O16" s="31"/>
      <c r="P16" s="31"/>
      <c r="Q16" s="31"/>
      <c r="R16" s="31"/>
      <c r="S16" s="31">
        <v>152</v>
      </c>
      <c r="T16" s="14" t="s">
        <v>1533</v>
      </c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</row>
    <row r="17" spans="1:84" s="7" customFormat="1" ht="16.5" customHeight="1" x14ac:dyDescent="0.25">
      <c r="A17" s="14" t="s">
        <v>638</v>
      </c>
      <c r="B17" s="14" t="s">
        <v>1534</v>
      </c>
      <c r="C17" s="20">
        <v>9237</v>
      </c>
      <c r="D17" s="14" t="s">
        <v>1535</v>
      </c>
      <c r="E17" s="14" t="s">
        <v>413</v>
      </c>
      <c r="F17" s="14" t="s">
        <v>1945</v>
      </c>
      <c r="G17" s="14" t="s">
        <v>1536</v>
      </c>
      <c r="H17" s="31">
        <v>86575</v>
      </c>
      <c r="I17" s="31">
        <v>86751</v>
      </c>
      <c r="J17" s="31">
        <v>176</v>
      </c>
      <c r="K17" s="31">
        <v>86973</v>
      </c>
      <c r="L17" s="31">
        <v>222</v>
      </c>
      <c r="M17" s="31"/>
      <c r="N17" s="31"/>
      <c r="O17" s="31"/>
      <c r="P17" s="31"/>
      <c r="Q17" s="31"/>
      <c r="R17" s="31"/>
      <c r="S17" s="31">
        <v>398</v>
      </c>
      <c r="T17" s="14" t="s">
        <v>1537</v>
      </c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</row>
    <row r="18" spans="1:84" s="7" customFormat="1" ht="16.5" customHeight="1" x14ac:dyDescent="0.25">
      <c r="A18" s="14" t="s">
        <v>767</v>
      </c>
      <c r="B18" s="21" t="s">
        <v>1538</v>
      </c>
      <c r="C18" s="20">
        <v>9938</v>
      </c>
      <c r="D18" s="14" t="s">
        <v>1539</v>
      </c>
      <c r="E18" s="14" t="s">
        <v>413</v>
      </c>
      <c r="F18" s="14" t="s">
        <v>1946</v>
      </c>
      <c r="G18" s="14" t="s">
        <v>1540</v>
      </c>
      <c r="H18" s="31">
        <v>35366</v>
      </c>
      <c r="I18" s="31">
        <v>35471</v>
      </c>
      <c r="J18" s="31">
        <v>105</v>
      </c>
      <c r="K18" s="31">
        <v>35686</v>
      </c>
      <c r="L18" s="31">
        <v>215</v>
      </c>
      <c r="M18" s="31"/>
      <c r="N18" s="31"/>
      <c r="O18" s="31"/>
      <c r="P18" s="31"/>
      <c r="Q18" s="31"/>
      <c r="R18" s="31"/>
      <c r="S18" s="31">
        <v>320</v>
      </c>
      <c r="T18" s="14" t="s">
        <v>1541</v>
      </c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</row>
    <row r="19" spans="1:84" s="7" customFormat="1" ht="16.5" customHeight="1" x14ac:dyDescent="0.25">
      <c r="A19" s="14" t="s">
        <v>702</v>
      </c>
      <c r="B19" s="14" t="s">
        <v>1542</v>
      </c>
      <c r="C19" s="20" t="s">
        <v>1543</v>
      </c>
      <c r="D19" s="14" t="s">
        <v>1544</v>
      </c>
      <c r="E19" s="14" t="s">
        <v>417</v>
      </c>
      <c r="F19" s="14" t="s">
        <v>957</v>
      </c>
      <c r="G19" s="14" t="s">
        <v>1545</v>
      </c>
      <c r="H19" s="31">
        <v>49324</v>
      </c>
      <c r="I19" s="31">
        <v>49583</v>
      </c>
      <c r="J19" s="31">
        <v>259</v>
      </c>
      <c r="K19" s="31">
        <v>49792</v>
      </c>
      <c r="L19" s="31">
        <v>209</v>
      </c>
      <c r="M19" s="31"/>
      <c r="N19" s="31"/>
      <c r="O19" s="31"/>
      <c r="P19" s="31"/>
      <c r="Q19" s="31"/>
      <c r="R19" s="31"/>
      <c r="S19" s="31">
        <v>468</v>
      </c>
      <c r="T19" s="14" t="s">
        <v>1546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</row>
    <row r="20" spans="1:84" s="7" customFormat="1" ht="16.5" customHeight="1" x14ac:dyDescent="0.25">
      <c r="A20" s="14" t="s">
        <v>702</v>
      </c>
      <c r="B20" s="14" t="s">
        <v>1542</v>
      </c>
      <c r="C20" s="20" t="s">
        <v>1543</v>
      </c>
      <c r="D20" s="14" t="s">
        <v>1547</v>
      </c>
      <c r="E20" s="14" t="s">
        <v>413</v>
      </c>
      <c r="F20" s="14" t="s">
        <v>1947</v>
      </c>
      <c r="G20" s="14" t="s">
        <v>1548</v>
      </c>
      <c r="H20" s="31">
        <v>167652</v>
      </c>
      <c r="I20" s="31">
        <v>168254</v>
      </c>
      <c r="J20" s="31">
        <v>602</v>
      </c>
      <c r="K20" s="31">
        <v>168527</v>
      </c>
      <c r="L20" s="31">
        <v>273</v>
      </c>
      <c r="M20" s="31"/>
      <c r="N20" s="31"/>
      <c r="O20" s="31"/>
      <c r="P20" s="31"/>
      <c r="Q20" s="31"/>
      <c r="R20" s="31"/>
      <c r="S20" s="31">
        <v>875</v>
      </c>
      <c r="T20" s="14" t="s">
        <v>1549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</row>
    <row r="21" spans="1:84" s="7" customFormat="1" ht="16.5" customHeight="1" x14ac:dyDescent="0.25">
      <c r="A21" s="14" t="s">
        <v>702</v>
      </c>
      <c r="B21" s="14" t="s">
        <v>1550</v>
      </c>
      <c r="C21" s="20">
        <v>9949</v>
      </c>
      <c r="D21" s="14" t="s">
        <v>1551</v>
      </c>
      <c r="E21" s="14" t="s">
        <v>417</v>
      </c>
      <c r="F21" s="14" t="s">
        <v>1948</v>
      </c>
      <c r="G21" s="14" t="s">
        <v>1552</v>
      </c>
      <c r="H21" s="31">
        <v>181637</v>
      </c>
      <c r="I21" s="31">
        <v>182083</v>
      </c>
      <c r="J21" s="31">
        <v>446</v>
      </c>
      <c r="K21" s="31">
        <v>182698</v>
      </c>
      <c r="L21" s="31">
        <v>615</v>
      </c>
      <c r="M21" s="31"/>
      <c r="N21" s="31"/>
      <c r="O21" s="31"/>
      <c r="P21" s="31"/>
      <c r="Q21" s="31"/>
      <c r="R21" s="31"/>
      <c r="S21" s="31">
        <v>1061</v>
      </c>
      <c r="T21" s="14" t="s">
        <v>1553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</row>
    <row r="22" spans="1:84" s="7" customFormat="1" ht="16.5" customHeight="1" x14ac:dyDescent="0.25">
      <c r="A22" s="14" t="s">
        <v>702</v>
      </c>
      <c r="B22" s="14" t="s">
        <v>1550</v>
      </c>
      <c r="C22" s="20">
        <v>9949</v>
      </c>
      <c r="D22" s="14" t="s">
        <v>1554</v>
      </c>
      <c r="E22" s="14" t="s">
        <v>413</v>
      </c>
      <c r="F22" s="14" t="s">
        <v>1949</v>
      </c>
      <c r="G22" s="14" t="s">
        <v>1555</v>
      </c>
      <c r="H22" s="31">
        <v>57385</v>
      </c>
      <c r="I22" s="31">
        <v>57485</v>
      </c>
      <c r="J22" s="31">
        <v>100</v>
      </c>
      <c r="K22" s="31">
        <v>57631</v>
      </c>
      <c r="L22" s="31">
        <v>146</v>
      </c>
      <c r="M22" s="31"/>
      <c r="N22" s="31"/>
      <c r="O22" s="31"/>
      <c r="P22" s="31"/>
      <c r="Q22" s="31"/>
      <c r="R22" s="31"/>
      <c r="S22" s="31">
        <v>246</v>
      </c>
      <c r="T22" s="14" t="s">
        <v>1556</v>
      </c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</row>
    <row r="23" spans="1:84" s="7" customFormat="1" ht="16.5" customHeight="1" x14ac:dyDescent="0.25">
      <c r="A23" s="15" t="s">
        <v>767</v>
      </c>
      <c r="B23" s="21" t="s">
        <v>1557</v>
      </c>
      <c r="C23" s="19">
        <v>9944</v>
      </c>
      <c r="D23" s="14" t="s">
        <v>1558</v>
      </c>
      <c r="E23" s="15" t="s">
        <v>417</v>
      </c>
      <c r="F23" s="14" t="s">
        <v>1950</v>
      </c>
      <c r="G23" s="15" t="s">
        <v>1559</v>
      </c>
      <c r="H23" s="31">
        <v>120120</v>
      </c>
      <c r="I23" s="31">
        <v>120498</v>
      </c>
      <c r="J23" s="31">
        <v>378</v>
      </c>
      <c r="K23" s="31">
        <v>121072</v>
      </c>
      <c r="L23" s="31">
        <v>574</v>
      </c>
      <c r="M23" s="31"/>
      <c r="N23" s="31"/>
      <c r="O23" s="31"/>
      <c r="P23" s="31"/>
      <c r="Q23" s="31"/>
      <c r="R23" s="31"/>
      <c r="S23" s="31">
        <v>952</v>
      </c>
      <c r="T23" s="14" t="s">
        <v>1560</v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</row>
    <row r="24" spans="1:84" s="7" customFormat="1" ht="16.5" customHeight="1" x14ac:dyDescent="0.25">
      <c r="A24" s="14" t="s">
        <v>767</v>
      </c>
      <c r="B24" s="14" t="s">
        <v>1561</v>
      </c>
      <c r="C24" s="20" t="s">
        <v>1562</v>
      </c>
      <c r="D24" s="14" t="s">
        <v>1563</v>
      </c>
      <c r="E24" s="14" t="s">
        <v>417</v>
      </c>
      <c r="F24" s="14" t="s">
        <v>1951</v>
      </c>
      <c r="G24" s="14" t="s">
        <v>1564</v>
      </c>
      <c r="H24" s="31">
        <v>234808</v>
      </c>
      <c r="I24" s="31">
        <v>235413</v>
      </c>
      <c r="J24" s="31">
        <v>605</v>
      </c>
      <c r="K24" s="31">
        <v>236207</v>
      </c>
      <c r="L24" s="31">
        <v>794</v>
      </c>
      <c r="M24" s="31"/>
      <c r="N24" s="31"/>
      <c r="O24" s="31"/>
      <c r="P24" s="31"/>
      <c r="Q24" s="31"/>
      <c r="R24" s="31"/>
      <c r="S24" s="31">
        <v>1399</v>
      </c>
      <c r="T24" s="14" t="s">
        <v>1565</v>
      </c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</row>
    <row r="25" spans="1:84" s="7" customFormat="1" ht="16.5" customHeight="1" x14ac:dyDescent="0.25">
      <c r="A25" s="14" t="s">
        <v>767</v>
      </c>
      <c r="B25" s="14" t="s">
        <v>1561</v>
      </c>
      <c r="C25" s="20" t="s">
        <v>1562</v>
      </c>
      <c r="D25" s="14" t="s">
        <v>1566</v>
      </c>
      <c r="E25" s="14" t="s">
        <v>413</v>
      </c>
      <c r="F25" s="14" t="s">
        <v>1952</v>
      </c>
      <c r="G25" s="14" t="s">
        <v>1567</v>
      </c>
      <c r="H25" s="31">
        <v>38300</v>
      </c>
      <c r="I25" s="31">
        <v>38407</v>
      </c>
      <c r="J25" s="31">
        <v>107</v>
      </c>
      <c r="K25" s="31">
        <v>38487</v>
      </c>
      <c r="L25" s="31">
        <v>80</v>
      </c>
      <c r="M25" s="31"/>
      <c r="N25" s="31"/>
      <c r="O25" s="31"/>
      <c r="P25" s="31"/>
      <c r="Q25" s="31"/>
      <c r="R25" s="31"/>
      <c r="S25" s="31">
        <v>187</v>
      </c>
      <c r="T25" s="14" t="s">
        <v>1568</v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</row>
    <row r="26" spans="1:84" s="7" customFormat="1" ht="16.5" customHeight="1" x14ac:dyDescent="0.25">
      <c r="A26" s="14" t="s">
        <v>702</v>
      </c>
      <c r="B26" s="14" t="s">
        <v>1569</v>
      </c>
      <c r="C26" s="20">
        <v>9946</v>
      </c>
      <c r="D26" s="14" t="s">
        <v>1570</v>
      </c>
      <c r="E26" s="14" t="s">
        <v>413</v>
      </c>
      <c r="F26" s="14" t="s">
        <v>1953</v>
      </c>
      <c r="G26" s="14" t="s">
        <v>1571</v>
      </c>
      <c r="H26" s="31">
        <v>75361</v>
      </c>
      <c r="I26" s="31">
        <v>75572</v>
      </c>
      <c r="J26" s="31">
        <v>211</v>
      </c>
      <c r="K26" s="31">
        <v>75862</v>
      </c>
      <c r="L26" s="31">
        <v>290</v>
      </c>
      <c r="M26" s="31"/>
      <c r="N26" s="31"/>
      <c r="O26" s="31"/>
      <c r="P26" s="31"/>
      <c r="Q26" s="31"/>
      <c r="R26" s="31"/>
      <c r="S26" s="31">
        <v>501</v>
      </c>
      <c r="T26" s="14" t="s">
        <v>1572</v>
      </c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</row>
    <row r="27" spans="1:84" s="7" customFormat="1" ht="16.5" customHeight="1" x14ac:dyDescent="0.25">
      <c r="A27" s="14" t="s">
        <v>638</v>
      </c>
      <c r="B27" s="14" t="s">
        <v>1527</v>
      </c>
      <c r="C27" s="19">
        <v>9223</v>
      </c>
      <c r="D27" s="14" t="s">
        <v>1573</v>
      </c>
      <c r="E27" s="14" t="s">
        <v>413</v>
      </c>
      <c r="F27" s="14" t="s">
        <v>1954</v>
      </c>
      <c r="G27" s="14" t="s">
        <v>1574</v>
      </c>
      <c r="H27" s="31">
        <v>90437</v>
      </c>
      <c r="I27" s="31">
        <v>90969</v>
      </c>
      <c r="J27" s="31">
        <v>532</v>
      </c>
      <c r="K27" s="31">
        <v>91364</v>
      </c>
      <c r="L27" s="31">
        <v>395</v>
      </c>
      <c r="M27" s="31">
        <v>91527</v>
      </c>
      <c r="N27" s="31">
        <v>163</v>
      </c>
      <c r="O27" s="31"/>
      <c r="P27" s="31"/>
      <c r="Q27" s="31"/>
      <c r="R27" s="31"/>
      <c r="S27" s="31">
        <v>1090</v>
      </c>
      <c r="T27" s="14" t="s">
        <v>1575</v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</row>
    <row r="28" spans="1:84" s="7" customFormat="1" ht="16.5" customHeight="1" x14ac:dyDescent="0.25">
      <c r="A28" s="14" t="s">
        <v>939</v>
      </c>
      <c r="B28" s="14" t="s">
        <v>1576</v>
      </c>
      <c r="C28" s="20">
        <v>9537</v>
      </c>
      <c r="D28" s="14" t="s">
        <v>1577</v>
      </c>
      <c r="E28" s="14" t="s">
        <v>417</v>
      </c>
      <c r="F28" s="14" t="s">
        <v>1955</v>
      </c>
      <c r="G28" s="14" t="s">
        <v>1578</v>
      </c>
      <c r="H28" s="31">
        <v>149695</v>
      </c>
      <c r="I28" s="31">
        <v>150101</v>
      </c>
      <c r="J28" s="31">
        <v>406</v>
      </c>
      <c r="K28" s="31">
        <v>150425</v>
      </c>
      <c r="L28" s="31">
        <v>324</v>
      </c>
      <c r="M28" s="31">
        <v>150960</v>
      </c>
      <c r="N28" s="31">
        <v>535</v>
      </c>
      <c r="O28" s="31"/>
      <c r="P28" s="31"/>
      <c r="Q28" s="31"/>
      <c r="R28" s="31"/>
      <c r="S28" s="31">
        <v>1265</v>
      </c>
      <c r="T28" s="14" t="s">
        <v>1579</v>
      </c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</row>
    <row r="29" spans="1:84" s="7" customFormat="1" ht="16.5" customHeight="1" x14ac:dyDescent="0.25">
      <c r="A29" s="15" t="s">
        <v>939</v>
      </c>
      <c r="B29" s="21" t="s">
        <v>1576</v>
      </c>
      <c r="C29" s="22">
        <v>9537</v>
      </c>
      <c r="D29" s="14" t="s">
        <v>1580</v>
      </c>
      <c r="E29" s="15" t="s">
        <v>413</v>
      </c>
      <c r="F29" s="14" t="s">
        <v>951</v>
      </c>
      <c r="G29" s="15" t="s">
        <v>1581</v>
      </c>
      <c r="H29" s="31">
        <v>52146</v>
      </c>
      <c r="I29" s="31">
        <v>52274</v>
      </c>
      <c r="J29" s="31">
        <v>128</v>
      </c>
      <c r="K29" s="31">
        <v>52418</v>
      </c>
      <c r="L29" s="31">
        <v>144</v>
      </c>
      <c r="M29" s="31">
        <v>52613</v>
      </c>
      <c r="N29" s="31">
        <v>195</v>
      </c>
      <c r="O29" s="31"/>
      <c r="P29" s="31"/>
      <c r="Q29" s="31"/>
      <c r="R29" s="31"/>
      <c r="S29" s="31">
        <v>467</v>
      </c>
      <c r="T29" s="14" t="s">
        <v>1582</v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</row>
    <row r="30" spans="1:84" s="7" customFormat="1" ht="16.5" customHeight="1" x14ac:dyDescent="0.25">
      <c r="A30" s="14" t="s">
        <v>939</v>
      </c>
      <c r="B30" s="14" t="s">
        <v>949</v>
      </c>
      <c r="C30" s="19">
        <v>9560</v>
      </c>
      <c r="D30" s="14" t="s">
        <v>1583</v>
      </c>
      <c r="E30" s="14" t="s">
        <v>413</v>
      </c>
      <c r="F30" s="14" t="s">
        <v>1956</v>
      </c>
      <c r="G30" s="14" t="s">
        <v>19</v>
      </c>
      <c r="H30" s="31">
        <v>146188</v>
      </c>
      <c r="I30" s="31">
        <v>146636</v>
      </c>
      <c r="J30" s="31">
        <v>448</v>
      </c>
      <c r="K30" s="31">
        <v>147072</v>
      </c>
      <c r="L30" s="31">
        <v>436</v>
      </c>
      <c r="M30" s="31">
        <v>147653</v>
      </c>
      <c r="N30" s="31">
        <v>581</v>
      </c>
      <c r="O30" s="31"/>
      <c r="P30" s="31"/>
      <c r="Q30" s="31"/>
      <c r="R30" s="31"/>
      <c r="S30" s="31">
        <v>1465</v>
      </c>
      <c r="T30" s="14" t="s">
        <v>1584</v>
      </c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</row>
    <row r="31" spans="1:84" s="7" customFormat="1" ht="16.5" customHeight="1" x14ac:dyDescent="0.25">
      <c r="A31" s="14" t="s">
        <v>459</v>
      </c>
      <c r="B31" s="14" t="s">
        <v>1585</v>
      </c>
      <c r="C31" s="20">
        <v>9424</v>
      </c>
      <c r="D31" s="14" t="s">
        <v>1586</v>
      </c>
      <c r="E31" s="14" t="s">
        <v>417</v>
      </c>
      <c r="F31" s="14" t="s">
        <v>1062</v>
      </c>
      <c r="G31" s="14" t="s">
        <v>1587</v>
      </c>
      <c r="H31" s="31">
        <v>421868</v>
      </c>
      <c r="I31" s="31">
        <v>423421</v>
      </c>
      <c r="J31" s="31">
        <v>1553</v>
      </c>
      <c r="K31" s="31">
        <v>424550</v>
      </c>
      <c r="L31" s="31">
        <v>1129</v>
      </c>
      <c r="M31" s="31">
        <v>426552</v>
      </c>
      <c r="N31" s="31">
        <v>2002</v>
      </c>
      <c r="O31" s="31"/>
      <c r="P31" s="31"/>
      <c r="Q31" s="31"/>
      <c r="R31" s="31"/>
      <c r="S31" s="31">
        <v>4684</v>
      </c>
      <c r="T31" s="14" t="s">
        <v>1588</v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</row>
    <row r="32" spans="1:84" s="7" customFormat="1" ht="16.5" customHeight="1" x14ac:dyDescent="0.25">
      <c r="A32" s="14" t="s">
        <v>459</v>
      </c>
      <c r="B32" s="14" t="s">
        <v>1585</v>
      </c>
      <c r="C32" s="20">
        <v>9424</v>
      </c>
      <c r="D32" s="14" t="s">
        <v>1589</v>
      </c>
      <c r="E32" s="14" t="s">
        <v>413</v>
      </c>
      <c r="F32" s="14" t="s">
        <v>1957</v>
      </c>
      <c r="G32" s="14" t="s">
        <v>1590</v>
      </c>
      <c r="H32" s="31">
        <v>141558</v>
      </c>
      <c r="I32" s="31">
        <v>141970</v>
      </c>
      <c r="J32" s="31">
        <v>412</v>
      </c>
      <c r="K32" s="31">
        <v>143186</v>
      </c>
      <c r="L32" s="31">
        <v>1216</v>
      </c>
      <c r="M32" s="31">
        <v>144210</v>
      </c>
      <c r="N32" s="31">
        <v>1024</v>
      </c>
      <c r="O32" s="31"/>
      <c r="P32" s="31"/>
      <c r="Q32" s="31"/>
      <c r="R32" s="31"/>
      <c r="S32" s="31">
        <v>2652</v>
      </c>
      <c r="T32" s="14" t="s">
        <v>1591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</row>
    <row r="33" spans="1:84" s="7" customFormat="1" ht="16.5" customHeight="1" x14ac:dyDescent="0.25">
      <c r="A33" s="14" t="s">
        <v>868</v>
      </c>
      <c r="B33" s="14" t="s">
        <v>1592</v>
      </c>
      <c r="C33" s="20">
        <v>9812</v>
      </c>
      <c r="D33" s="14" t="s">
        <v>1593</v>
      </c>
      <c r="E33" s="14" t="s">
        <v>417</v>
      </c>
      <c r="F33" s="14" t="s">
        <v>1958</v>
      </c>
      <c r="G33" s="14" t="s">
        <v>1057</v>
      </c>
      <c r="H33" s="31">
        <v>187274</v>
      </c>
      <c r="I33" s="31">
        <v>188215</v>
      </c>
      <c r="J33" s="31">
        <v>941</v>
      </c>
      <c r="K33" s="31">
        <v>189269</v>
      </c>
      <c r="L33" s="31">
        <v>1054</v>
      </c>
      <c r="M33" s="31">
        <v>190105</v>
      </c>
      <c r="N33" s="31">
        <v>836</v>
      </c>
      <c r="O33" s="31"/>
      <c r="P33" s="31"/>
      <c r="Q33" s="31"/>
      <c r="R33" s="31"/>
      <c r="S33" s="31">
        <v>2831</v>
      </c>
      <c r="T33" s="14" t="s">
        <v>1594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</row>
    <row r="34" spans="1:84" s="7" customFormat="1" ht="16.5" customHeight="1" x14ac:dyDescent="0.25">
      <c r="A34" s="14" t="s">
        <v>868</v>
      </c>
      <c r="B34" s="14" t="s">
        <v>1592</v>
      </c>
      <c r="C34" s="20">
        <v>9812</v>
      </c>
      <c r="D34" s="14" t="s">
        <v>1593</v>
      </c>
      <c r="E34" s="14" t="s">
        <v>413</v>
      </c>
      <c r="F34" s="14" t="s">
        <v>1959</v>
      </c>
      <c r="G34" s="14" t="s">
        <v>1595</v>
      </c>
      <c r="H34" s="31">
        <v>76386</v>
      </c>
      <c r="I34" s="31">
        <v>76839</v>
      </c>
      <c r="J34" s="31">
        <v>453</v>
      </c>
      <c r="K34" s="31">
        <v>77028</v>
      </c>
      <c r="L34" s="31">
        <v>189</v>
      </c>
      <c r="M34" s="31">
        <v>77320</v>
      </c>
      <c r="N34" s="31">
        <v>292</v>
      </c>
      <c r="O34" s="31"/>
      <c r="P34" s="31"/>
      <c r="Q34" s="31"/>
      <c r="R34" s="31"/>
      <c r="S34" s="31">
        <v>934</v>
      </c>
      <c r="T34" s="14" t="s">
        <v>1596</v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</row>
    <row r="35" spans="1:84" s="7" customFormat="1" ht="16.5" customHeight="1" x14ac:dyDescent="0.25">
      <c r="A35" s="14" t="s">
        <v>410</v>
      </c>
      <c r="B35" s="14" t="s">
        <v>1597</v>
      </c>
      <c r="C35" s="20">
        <v>9958</v>
      </c>
      <c r="D35" s="14" t="s">
        <v>1598</v>
      </c>
      <c r="E35" s="14" t="s">
        <v>417</v>
      </c>
      <c r="F35" s="14" t="s">
        <v>1960</v>
      </c>
      <c r="G35" s="14" t="s">
        <v>1599</v>
      </c>
      <c r="H35" s="31">
        <v>246962</v>
      </c>
      <c r="I35" s="31">
        <v>247562</v>
      </c>
      <c r="J35" s="31">
        <v>600</v>
      </c>
      <c r="K35" s="31">
        <v>248041</v>
      </c>
      <c r="L35" s="31">
        <v>479</v>
      </c>
      <c r="M35" s="31">
        <v>248320</v>
      </c>
      <c r="N35" s="31">
        <v>279</v>
      </c>
      <c r="O35" s="31"/>
      <c r="P35" s="31"/>
      <c r="Q35" s="31"/>
      <c r="R35" s="31"/>
      <c r="S35" s="31">
        <v>1358</v>
      </c>
      <c r="T35" s="14" t="s">
        <v>1600</v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</row>
    <row r="36" spans="1:84" s="9" customFormat="1" ht="16.5" customHeight="1" x14ac:dyDescent="0.25">
      <c r="A36" s="14" t="s">
        <v>410</v>
      </c>
      <c r="B36" s="14" t="s">
        <v>1597</v>
      </c>
      <c r="C36" s="20">
        <v>9958</v>
      </c>
      <c r="D36" s="32" t="s">
        <v>1601</v>
      </c>
      <c r="E36" s="14" t="s">
        <v>413</v>
      </c>
      <c r="F36" s="14" t="s">
        <v>1602</v>
      </c>
      <c r="G36" s="14" t="s">
        <v>1603</v>
      </c>
      <c r="H36" s="31">
        <v>75477</v>
      </c>
      <c r="I36" s="31">
        <v>75553</v>
      </c>
      <c r="J36" s="31">
        <v>76</v>
      </c>
      <c r="K36" s="31">
        <v>75630</v>
      </c>
      <c r="L36" s="31">
        <v>77</v>
      </c>
      <c r="M36" s="31">
        <v>75718</v>
      </c>
      <c r="N36" s="31">
        <v>88</v>
      </c>
      <c r="O36" s="31"/>
      <c r="P36" s="31"/>
      <c r="Q36" s="31"/>
      <c r="R36" s="31"/>
      <c r="S36" s="31">
        <v>241</v>
      </c>
      <c r="T36" s="14" t="s">
        <v>1604</v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</row>
    <row r="37" spans="1:84" s="7" customFormat="1" ht="16.5" customHeight="1" x14ac:dyDescent="0.25">
      <c r="A37" s="14" t="s">
        <v>520</v>
      </c>
      <c r="B37" s="14" t="s">
        <v>1605</v>
      </c>
      <c r="C37" s="20">
        <v>9380</v>
      </c>
      <c r="D37" s="14" t="s">
        <v>1606</v>
      </c>
      <c r="E37" s="14" t="s">
        <v>417</v>
      </c>
      <c r="F37" s="14" t="s">
        <v>607</v>
      </c>
      <c r="G37" s="14" t="s">
        <v>1607</v>
      </c>
      <c r="H37" s="31">
        <v>262103</v>
      </c>
      <c r="I37" s="31">
        <v>262570</v>
      </c>
      <c r="J37" s="31">
        <v>467</v>
      </c>
      <c r="K37" s="31">
        <v>263029</v>
      </c>
      <c r="L37" s="31">
        <v>459</v>
      </c>
      <c r="M37" s="31">
        <v>263922</v>
      </c>
      <c r="N37" s="31">
        <v>893</v>
      </c>
      <c r="O37" s="31"/>
      <c r="P37" s="31"/>
      <c r="Q37" s="31"/>
      <c r="R37" s="31"/>
      <c r="S37" s="31">
        <v>1819</v>
      </c>
      <c r="T37" s="14" t="s">
        <v>1608</v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</row>
    <row r="38" spans="1:84" s="7" customFormat="1" ht="16.5" customHeight="1" x14ac:dyDescent="0.25">
      <c r="A38" s="14" t="s">
        <v>520</v>
      </c>
      <c r="B38" s="14" t="s">
        <v>1605</v>
      </c>
      <c r="C38" s="20">
        <v>9380</v>
      </c>
      <c r="D38" s="14" t="s">
        <v>1609</v>
      </c>
      <c r="E38" s="14" t="s">
        <v>413</v>
      </c>
      <c r="F38" s="14" t="s">
        <v>1961</v>
      </c>
      <c r="G38" s="14" t="s">
        <v>1610</v>
      </c>
      <c r="H38" s="31">
        <v>124645</v>
      </c>
      <c r="I38" s="31">
        <v>124730</v>
      </c>
      <c r="J38" s="31">
        <v>85</v>
      </c>
      <c r="K38" s="31">
        <v>125194</v>
      </c>
      <c r="L38" s="31">
        <v>464</v>
      </c>
      <c r="M38" s="31">
        <v>125573</v>
      </c>
      <c r="N38" s="31">
        <v>379</v>
      </c>
      <c r="O38" s="31"/>
      <c r="P38" s="31"/>
      <c r="Q38" s="31"/>
      <c r="R38" s="31"/>
      <c r="S38" s="31">
        <v>928</v>
      </c>
      <c r="T38" s="14" t="s">
        <v>1611</v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</row>
    <row r="39" spans="1:84" s="7" customFormat="1" ht="16.5" customHeight="1" x14ac:dyDescent="0.25">
      <c r="A39" s="15" t="s">
        <v>868</v>
      </c>
      <c r="B39" s="21" t="s">
        <v>1612</v>
      </c>
      <c r="C39" s="22">
        <v>9882</v>
      </c>
      <c r="D39" s="14" t="s">
        <v>1613</v>
      </c>
      <c r="E39" s="15" t="s">
        <v>413</v>
      </c>
      <c r="F39" s="14" t="s">
        <v>1962</v>
      </c>
      <c r="G39" s="15" t="s">
        <v>1614</v>
      </c>
      <c r="H39" s="31">
        <v>22526</v>
      </c>
      <c r="I39" s="31">
        <v>22526</v>
      </c>
      <c r="J39" s="31">
        <v>0</v>
      </c>
      <c r="K39" s="31"/>
      <c r="L39" s="31"/>
      <c r="M39" s="31"/>
      <c r="N39" s="31"/>
      <c r="O39" s="31"/>
      <c r="P39" s="31"/>
      <c r="Q39" s="31"/>
      <c r="R39" s="31"/>
      <c r="S39" s="31">
        <v>0</v>
      </c>
      <c r="T39" s="14" t="s">
        <v>1615</v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</row>
    <row r="40" spans="1:84" s="5" customFormat="1" ht="52.5" customHeight="1" x14ac:dyDescent="0.25">
      <c r="A40" s="30" t="s">
        <v>404</v>
      </c>
      <c r="B40" s="30" t="s">
        <v>405</v>
      </c>
      <c r="C40" s="30" t="s">
        <v>406</v>
      </c>
      <c r="D40" s="30" t="s">
        <v>407</v>
      </c>
      <c r="E40" s="30" t="s">
        <v>408</v>
      </c>
      <c r="F40" s="30" t="s">
        <v>409</v>
      </c>
      <c r="G40" s="30" t="s">
        <v>0</v>
      </c>
      <c r="H40" s="30">
        <v>42674</v>
      </c>
      <c r="I40" s="30" t="s">
        <v>1616</v>
      </c>
      <c r="J40" s="30" t="s">
        <v>1617</v>
      </c>
      <c r="K40" s="30" t="s">
        <v>1618</v>
      </c>
      <c r="L40" s="30" t="s">
        <v>1619</v>
      </c>
      <c r="M40" s="30" t="s">
        <v>1620</v>
      </c>
      <c r="N40" s="30" t="s">
        <v>1621</v>
      </c>
      <c r="O40" s="30" t="s">
        <v>1622</v>
      </c>
      <c r="P40" s="30" t="s">
        <v>1623</v>
      </c>
      <c r="Q40" s="30" t="s">
        <v>1624</v>
      </c>
      <c r="R40" s="30" t="s">
        <v>1625</v>
      </c>
      <c r="S40" s="30" t="s">
        <v>395</v>
      </c>
      <c r="T40" s="30" t="s">
        <v>379</v>
      </c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</row>
    <row r="41" spans="1:84" s="7" customFormat="1" ht="16.5" customHeight="1" x14ac:dyDescent="0.25">
      <c r="A41" s="14" t="s">
        <v>939</v>
      </c>
      <c r="B41" s="14" t="s">
        <v>1626</v>
      </c>
      <c r="C41" s="19">
        <v>9561</v>
      </c>
      <c r="D41" s="14" t="s">
        <v>1627</v>
      </c>
      <c r="E41" s="14" t="s">
        <v>413</v>
      </c>
      <c r="F41" s="14" t="s">
        <v>1056</v>
      </c>
      <c r="G41" s="14" t="s">
        <v>1628</v>
      </c>
      <c r="H41" s="31">
        <v>43624</v>
      </c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>
        <v>0</v>
      </c>
      <c r="T41" s="14" t="s">
        <v>1629</v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</row>
    <row r="42" spans="1:84" s="7" customFormat="1" ht="16.5" customHeight="1" x14ac:dyDescent="0.25">
      <c r="A42" s="14" t="s">
        <v>767</v>
      </c>
      <c r="B42" s="14" t="s">
        <v>787</v>
      </c>
      <c r="C42" s="19">
        <v>9441</v>
      </c>
      <c r="D42" s="14" t="s">
        <v>1630</v>
      </c>
      <c r="E42" s="14" t="s">
        <v>413</v>
      </c>
      <c r="F42" s="14" t="s">
        <v>1963</v>
      </c>
      <c r="G42" s="14" t="s">
        <v>1631</v>
      </c>
      <c r="H42" s="31">
        <v>116293</v>
      </c>
      <c r="I42" s="31">
        <v>116334</v>
      </c>
      <c r="J42" s="31">
        <v>41</v>
      </c>
      <c r="K42" s="31"/>
      <c r="L42" s="31"/>
      <c r="M42" s="31"/>
      <c r="N42" s="31"/>
      <c r="O42" s="31"/>
      <c r="P42" s="31"/>
      <c r="Q42" s="31"/>
      <c r="R42" s="31"/>
      <c r="S42" s="31">
        <v>41</v>
      </c>
      <c r="T42" s="29" t="s">
        <v>1632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</row>
    <row r="43" spans="1:84" s="7" customFormat="1" ht="16.5" customHeight="1" x14ac:dyDescent="0.25">
      <c r="A43" s="14" t="s">
        <v>459</v>
      </c>
      <c r="B43" s="14" t="s">
        <v>488</v>
      </c>
      <c r="C43" s="20">
        <v>9420</v>
      </c>
      <c r="D43" s="14" t="s">
        <v>1633</v>
      </c>
      <c r="E43" s="14" t="s">
        <v>417</v>
      </c>
      <c r="F43" s="14" t="s">
        <v>1964</v>
      </c>
      <c r="G43" s="14" t="s">
        <v>1634</v>
      </c>
      <c r="H43" s="31">
        <v>65461</v>
      </c>
      <c r="I43" s="31">
        <v>65501</v>
      </c>
      <c r="J43" s="31">
        <v>40</v>
      </c>
      <c r="K43" s="31"/>
      <c r="L43" s="31"/>
      <c r="M43" s="31"/>
      <c r="N43" s="31"/>
      <c r="O43" s="31"/>
      <c r="P43" s="31"/>
      <c r="Q43" s="31"/>
      <c r="R43" s="31"/>
      <c r="S43" s="31">
        <v>40</v>
      </c>
      <c r="T43" s="29" t="s">
        <v>1635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</row>
    <row r="44" spans="1:84" s="5" customFormat="1" ht="52.5" customHeight="1" x14ac:dyDescent="0.25">
      <c r="A44" s="30" t="s">
        <v>404</v>
      </c>
      <c r="B44" s="30" t="s">
        <v>405</v>
      </c>
      <c r="C44" s="30" t="s">
        <v>406</v>
      </c>
      <c r="D44" s="30" t="s">
        <v>407</v>
      </c>
      <c r="E44" s="30" t="s">
        <v>408</v>
      </c>
      <c r="F44" s="30" t="s">
        <v>409</v>
      </c>
      <c r="G44" s="30" t="s">
        <v>0</v>
      </c>
      <c r="H44" s="33" t="s">
        <v>1636</v>
      </c>
      <c r="I44" s="33" t="s">
        <v>1637</v>
      </c>
      <c r="J44" s="30" t="s">
        <v>1638</v>
      </c>
      <c r="K44" s="33" t="s">
        <v>1639</v>
      </c>
      <c r="L44" s="30" t="s">
        <v>1640</v>
      </c>
      <c r="M44" s="33" t="s">
        <v>1641</v>
      </c>
      <c r="N44" s="30" t="s">
        <v>1642</v>
      </c>
      <c r="O44" s="33" t="s">
        <v>1643</v>
      </c>
      <c r="P44" s="30" t="s">
        <v>1644</v>
      </c>
      <c r="Q44" s="33" t="s">
        <v>1645</v>
      </c>
      <c r="R44" s="30" t="s">
        <v>1646</v>
      </c>
      <c r="S44" s="30" t="s">
        <v>395</v>
      </c>
      <c r="T44" s="30" t="s">
        <v>379</v>
      </c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</row>
    <row r="45" spans="1:84" s="7" customFormat="1" ht="16.5" customHeight="1" x14ac:dyDescent="0.25">
      <c r="A45" s="14" t="s">
        <v>767</v>
      </c>
      <c r="B45" s="14" t="s">
        <v>850</v>
      </c>
      <c r="C45" s="20">
        <v>9394</v>
      </c>
      <c r="D45" s="14" t="s">
        <v>1647</v>
      </c>
      <c r="E45" s="14" t="s">
        <v>413</v>
      </c>
      <c r="F45" s="14" t="s">
        <v>1965</v>
      </c>
      <c r="G45" s="14" t="s">
        <v>1648</v>
      </c>
      <c r="H45" s="31">
        <v>51132</v>
      </c>
      <c r="I45" s="31">
        <v>51132</v>
      </c>
      <c r="J45" s="31">
        <v>0</v>
      </c>
      <c r="K45" s="31">
        <v>51132</v>
      </c>
      <c r="L45" s="31">
        <v>0</v>
      </c>
      <c r="M45" s="31"/>
      <c r="N45" s="31"/>
      <c r="O45" s="31"/>
      <c r="P45" s="31"/>
      <c r="Q45" s="31"/>
      <c r="R45" s="31"/>
      <c r="S45" s="31">
        <v>0</v>
      </c>
      <c r="T45" s="29" t="s">
        <v>1649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</row>
    <row r="46" spans="1:84" s="7" customFormat="1" ht="16.5" customHeight="1" x14ac:dyDescent="0.25">
      <c r="A46" s="14" t="s">
        <v>578</v>
      </c>
      <c r="B46" s="14" t="s">
        <v>611</v>
      </c>
      <c r="C46" s="19">
        <v>9445</v>
      </c>
      <c r="D46" s="14" t="s">
        <v>1650</v>
      </c>
      <c r="E46" s="14" t="s">
        <v>413</v>
      </c>
      <c r="F46" s="14" t="s">
        <v>1966</v>
      </c>
      <c r="G46" s="14" t="s">
        <v>1651</v>
      </c>
      <c r="H46" s="31">
        <v>104776</v>
      </c>
      <c r="I46" s="31">
        <v>104776</v>
      </c>
      <c r="J46" s="31">
        <v>0</v>
      </c>
      <c r="K46" s="31"/>
      <c r="L46" s="31"/>
      <c r="M46" s="31"/>
      <c r="N46" s="31"/>
      <c r="O46" s="31"/>
      <c r="P46" s="31"/>
      <c r="Q46" s="31"/>
      <c r="R46" s="31"/>
      <c r="S46" s="31">
        <v>0</v>
      </c>
      <c r="T46" s="29" t="s">
        <v>1652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</row>
    <row r="47" spans="1:84" s="7" customFormat="1" ht="16.5" customHeight="1" x14ac:dyDescent="0.25">
      <c r="A47" s="14" t="s">
        <v>767</v>
      </c>
      <c r="B47" s="14" t="s">
        <v>832</v>
      </c>
      <c r="C47" s="20">
        <v>9284</v>
      </c>
      <c r="D47" s="14" t="s">
        <v>833</v>
      </c>
      <c r="E47" s="14" t="s">
        <v>417</v>
      </c>
      <c r="F47" s="14" t="s">
        <v>1967</v>
      </c>
      <c r="G47" s="14" t="s">
        <v>8</v>
      </c>
      <c r="H47" s="31">
        <v>481363</v>
      </c>
      <c r="I47" s="31">
        <v>481762</v>
      </c>
      <c r="J47" s="31">
        <v>399</v>
      </c>
      <c r="K47" s="31">
        <v>482486</v>
      </c>
      <c r="L47" s="31">
        <v>724</v>
      </c>
      <c r="M47" s="31"/>
      <c r="N47" s="31"/>
      <c r="O47" s="31"/>
      <c r="P47" s="31"/>
      <c r="Q47" s="31"/>
      <c r="R47" s="31"/>
      <c r="S47" s="31">
        <v>1123</v>
      </c>
      <c r="T47" s="29" t="s">
        <v>1653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</row>
    <row r="48" spans="1:84" ht="52.5" customHeight="1" x14ac:dyDescent="0.25">
      <c r="A48" s="30" t="s">
        <v>404</v>
      </c>
      <c r="B48" s="30" t="s">
        <v>405</v>
      </c>
      <c r="C48" s="30" t="s">
        <v>406</v>
      </c>
      <c r="D48" s="30" t="s">
        <v>407</v>
      </c>
      <c r="E48" s="30" t="s">
        <v>408</v>
      </c>
      <c r="F48" s="30" t="s">
        <v>409</v>
      </c>
      <c r="G48" s="30" t="s">
        <v>0</v>
      </c>
      <c r="H48" s="33" t="s">
        <v>1654</v>
      </c>
      <c r="I48" s="33" t="s">
        <v>1655</v>
      </c>
      <c r="J48" s="30" t="s">
        <v>1656</v>
      </c>
      <c r="K48" s="33" t="s">
        <v>1657</v>
      </c>
      <c r="L48" s="30" t="s">
        <v>1658</v>
      </c>
      <c r="M48" s="33" t="s">
        <v>1659</v>
      </c>
      <c r="N48" s="30" t="s">
        <v>1660</v>
      </c>
      <c r="O48" s="33" t="s">
        <v>1661</v>
      </c>
      <c r="P48" s="30" t="s">
        <v>1662</v>
      </c>
      <c r="Q48" s="33" t="s">
        <v>1663</v>
      </c>
      <c r="R48" s="30" t="s">
        <v>1664</v>
      </c>
      <c r="S48" s="30" t="s">
        <v>395</v>
      </c>
      <c r="T48" s="30" t="s">
        <v>379</v>
      </c>
    </row>
    <row r="49" spans="1:84" s="7" customFormat="1" ht="16.5" customHeight="1" x14ac:dyDescent="0.25">
      <c r="A49" s="14" t="s">
        <v>410</v>
      </c>
      <c r="B49" s="14" t="s">
        <v>418</v>
      </c>
      <c r="C49" s="19">
        <v>9874</v>
      </c>
      <c r="D49" s="11" t="s">
        <v>1665</v>
      </c>
      <c r="E49" s="14" t="s">
        <v>413</v>
      </c>
      <c r="F49" s="14" t="s">
        <v>1056</v>
      </c>
      <c r="G49" s="14" t="s">
        <v>1666</v>
      </c>
      <c r="H49" s="31">
        <v>61020</v>
      </c>
      <c r="I49" s="31">
        <v>61183</v>
      </c>
      <c r="J49" s="31">
        <v>163</v>
      </c>
      <c r="K49" s="31"/>
      <c r="L49" s="31"/>
      <c r="M49" s="31"/>
      <c r="N49" s="31"/>
      <c r="O49" s="31"/>
      <c r="P49" s="31"/>
      <c r="Q49" s="31"/>
      <c r="R49" s="31"/>
      <c r="S49" s="31">
        <v>163</v>
      </c>
      <c r="T49" s="29" t="s">
        <v>1667</v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</row>
    <row r="50" spans="1:84" s="7" customFormat="1" ht="16.5" customHeight="1" x14ac:dyDescent="0.25">
      <c r="A50" s="14" t="s">
        <v>868</v>
      </c>
      <c r="B50" s="14" t="s">
        <v>869</v>
      </c>
      <c r="C50" s="19">
        <v>9811</v>
      </c>
      <c r="D50" s="14" t="s">
        <v>871</v>
      </c>
      <c r="E50" s="14" t="s">
        <v>413</v>
      </c>
      <c r="F50" s="14" t="s">
        <v>1968</v>
      </c>
      <c r="G50" s="14" t="s">
        <v>1668</v>
      </c>
      <c r="H50" s="31">
        <v>177744</v>
      </c>
      <c r="I50" s="31">
        <v>177790</v>
      </c>
      <c r="J50" s="31">
        <v>46</v>
      </c>
      <c r="K50" s="31"/>
      <c r="L50" s="31"/>
      <c r="M50" s="31"/>
      <c r="N50" s="31"/>
      <c r="O50" s="31"/>
      <c r="P50" s="31"/>
      <c r="Q50" s="31"/>
      <c r="R50" s="31"/>
      <c r="S50" s="31">
        <v>46</v>
      </c>
      <c r="T50" s="29" t="s">
        <v>1669</v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</row>
    <row r="51" spans="1:84" s="7" customFormat="1" ht="16.5" customHeight="1" x14ac:dyDescent="0.25">
      <c r="A51" s="14" t="s">
        <v>520</v>
      </c>
      <c r="B51" s="14" t="s">
        <v>536</v>
      </c>
      <c r="C51" s="24">
        <v>9396</v>
      </c>
      <c r="D51" s="11" t="s">
        <v>1670</v>
      </c>
      <c r="E51" s="11" t="s">
        <v>413</v>
      </c>
      <c r="F51" s="11" t="s">
        <v>1969</v>
      </c>
      <c r="G51" s="11" t="s">
        <v>1671</v>
      </c>
      <c r="H51" s="31">
        <v>83076</v>
      </c>
      <c r="I51" s="31">
        <v>83505</v>
      </c>
      <c r="J51" s="31">
        <v>429</v>
      </c>
      <c r="K51" s="31"/>
      <c r="L51" s="31"/>
      <c r="M51" s="31"/>
      <c r="N51" s="31"/>
      <c r="O51" s="31"/>
      <c r="P51" s="31"/>
      <c r="Q51" s="31"/>
      <c r="R51" s="31"/>
      <c r="S51" s="31">
        <v>429</v>
      </c>
      <c r="T51" s="29" t="s">
        <v>1672</v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</row>
    <row r="52" spans="1:84" s="7" customFormat="1" ht="16.5" customHeight="1" x14ac:dyDescent="0.25">
      <c r="A52" s="15" t="s">
        <v>578</v>
      </c>
      <c r="B52" s="21" t="s">
        <v>628</v>
      </c>
      <c r="C52" s="22">
        <v>9446</v>
      </c>
      <c r="D52" s="14" t="s">
        <v>630</v>
      </c>
      <c r="E52" s="15" t="s">
        <v>413</v>
      </c>
      <c r="F52" s="14" t="s">
        <v>1970</v>
      </c>
      <c r="G52" s="15" t="s">
        <v>1673</v>
      </c>
      <c r="H52" s="31">
        <v>119245</v>
      </c>
      <c r="I52" s="31">
        <v>119245</v>
      </c>
      <c r="J52" s="31">
        <v>0</v>
      </c>
      <c r="K52" s="31">
        <v>119245</v>
      </c>
      <c r="L52" s="31">
        <v>0</v>
      </c>
      <c r="M52" s="31"/>
      <c r="N52" s="31"/>
      <c r="O52" s="31"/>
      <c r="P52" s="31"/>
      <c r="Q52" s="31"/>
      <c r="R52" s="31"/>
      <c r="S52" s="31">
        <v>0</v>
      </c>
      <c r="T52" s="14" t="s">
        <v>1674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</row>
    <row r="53" spans="1:84" s="7" customFormat="1" ht="16.5" customHeight="1" x14ac:dyDescent="0.25">
      <c r="A53" s="14" t="s">
        <v>939</v>
      </c>
      <c r="B53" s="14" t="s">
        <v>972</v>
      </c>
      <c r="C53" s="20" t="s">
        <v>973</v>
      </c>
      <c r="D53" s="14" t="s">
        <v>1675</v>
      </c>
      <c r="E53" s="14" t="s">
        <v>413</v>
      </c>
      <c r="F53" s="14" t="s">
        <v>1063</v>
      </c>
      <c r="G53" s="14" t="s">
        <v>1676</v>
      </c>
      <c r="H53" s="31">
        <v>24481</v>
      </c>
      <c r="I53" s="31">
        <v>24492</v>
      </c>
      <c r="J53" s="31">
        <v>11</v>
      </c>
      <c r="K53" s="31"/>
      <c r="L53" s="31"/>
      <c r="M53" s="31"/>
      <c r="N53" s="31"/>
      <c r="O53" s="31"/>
      <c r="P53" s="31"/>
      <c r="Q53" s="31"/>
      <c r="R53" s="31"/>
      <c r="S53" s="31">
        <v>11</v>
      </c>
      <c r="T53" s="29" t="s">
        <v>1677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</row>
    <row r="54" spans="1:84" s="7" customFormat="1" ht="16.5" customHeight="1" x14ac:dyDescent="0.25">
      <c r="A54" s="14" t="s">
        <v>410</v>
      </c>
      <c r="B54" s="14" t="s">
        <v>444</v>
      </c>
      <c r="C54" s="20">
        <v>9947</v>
      </c>
      <c r="D54" s="14" t="s">
        <v>1678</v>
      </c>
      <c r="E54" s="14" t="s">
        <v>413</v>
      </c>
      <c r="F54" s="14" t="s">
        <v>1971</v>
      </c>
      <c r="G54" s="14" t="s">
        <v>1679</v>
      </c>
      <c r="H54" s="31">
        <v>65791</v>
      </c>
      <c r="I54" s="31">
        <v>65991</v>
      </c>
      <c r="J54" s="31">
        <v>200</v>
      </c>
      <c r="K54" s="31"/>
      <c r="L54" s="31"/>
      <c r="M54" s="31"/>
      <c r="N54" s="31"/>
      <c r="O54" s="31"/>
      <c r="P54" s="31"/>
      <c r="Q54" s="31"/>
      <c r="R54" s="31"/>
      <c r="S54" s="31">
        <v>200</v>
      </c>
      <c r="T54" s="29" t="s">
        <v>1680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</row>
    <row r="55" spans="1:84" s="7" customFormat="1" ht="16.5" customHeight="1" x14ac:dyDescent="0.25">
      <c r="A55" s="15" t="s">
        <v>459</v>
      </c>
      <c r="B55" s="21" t="s">
        <v>511</v>
      </c>
      <c r="C55" s="22">
        <v>9405</v>
      </c>
      <c r="D55" s="14" t="s">
        <v>1681</v>
      </c>
      <c r="E55" s="15" t="s">
        <v>413</v>
      </c>
      <c r="F55" s="14" t="s">
        <v>1972</v>
      </c>
      <c r="G55" s="1" t="s">
        <v>1682</v>
      </c>
      <c r="H55" s="31">
        <v>205292</v>
      </c>
      <c r="I55" s="31">
        <v>205346</v>
      </c>
      <c r="J55" s="31">
        <v>54</v>
      </c>
      <c r="K55" s="31"/>
      <c r="L55" s="31"/>
      <c r="M55" s="31"/>
      <c r="N55" s="31"/>
      <c r="O55" s="31"/>
      <c r="P55" s="31"/>
      <c r="Q55" s="31"/>
      <c r="R55" s="31"/>
      <c r="S55" s="31">
        <v>54</v>
      </c>
      <c r="T55" s="29" t="s">
        <v>1683</v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</row>
    <row r="56" spans="1:84" s="7" customFormat="1" ht="16.5" customHeight="1" x14ac:dyDescent="0.25">
      <c r="A56" s="14" t="s">
        <v>520</v>
      </c>
      <c r="B56" s="14" t="s">
        <v>555</v>
      </c>
      <c r="C56" s="24">
        <v>9388</v>
      </c>
      <c r="D56" s="11" t="s">
        <v>1684</v>
      </c>
      <c r="E56" s="11" t="s">
        <v>413</v>
      </c>
      <c r="F56" s="11" t="s">
        <v>1973</v>
      </c>
      <c r="G56" s="11" t="s">
        <v>1685</v>
      </c>
      <c r="H56" s="31">
        <v>51407</v>
      </c>
      <c r="I56" s="31">
        <v>51500</v>
      </c>
      <c r="J56" s="31">
        <v>93</v>
      </c>
      <c r="K56" s="31"/>
      <c r="L56" s="31"/>
      <c r="M56" s="31"/>
      <c r="N56" s="31"/>
      <c r="O56" s="31"/>
      <c r="P56" s="31"/>
      <c r="Q56" s="31"/>
      <c r="R56" s="31"/>
      <c r="S56" s="31">
        <v>93</v>
      </c>
      <c r="T56" s="29" t="s">
        <v>1686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</row>
    <row r="57" spans="1:84" s="7" customFormat="1" ht="16.5" customHeight="1" x14ac:dyDescent="0.25">
      <c r="A57" s="14" t="s">
        <v>1008</v>
      </c>
      <c r="B57" s="14" t="s">
        <v>1009</v>
      </c>
      <c r="C57" s="19">
        <v>9658</v>
      </c>
      <c r="D57" s="14" t="s">
        <v>1687</v>
      </c>
      <c r="E57" s="14" t="s">
        <v>413</v>
      </c>
      <c r="F57" s="14" t="s">
        <v>1974</v>
      </c>
      <c r="G57" s="14" t="s">
        <v>1688</v>
      </c>
      <c r="H57" s="31">
        <v>13952</v>
      </c>
      <c r="I57" s="31">
        <v>13963</v>
      </c>
      <c r="J57" s="31">
        <v>11</v>
      </c>
      <c r="K57" s="31"/>
      <c r="L57" s="31"/>
      <c r="M57" s="31"/>
      <c r="N57" s="31"/>
      <c r="O57" s="31"/>
      <c r="P57" s="31"/>
      <c r="Q57" s="31"/>
      <c r="R57" s="31"/>
      <c r="S57" s="31">
        <v>11</v>
      </c>
      <c r="T57" s="29" t="s">
        <v>1689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</row>
    <row r="58" spans="1:84" s="7" customFormat="1" ht="16.5" customHeight="1" x14ac:dyDescent="0.25">
      <c r="A58" s="14" t="s">
        <v>1008</v>
      </c>
      <c r="B58" s="14" t="s">
        <v>1020</v>
      </c>
      <c r="C58" s="20">
        <v>9530</v>
      </c>
      <c r="D58" s="14" t="s">
        <v>1690</v>
      </c>
      <c r="E58" s="14" t="s">
        <v>413</v>
      </c>
      <c r="F58" s="14" t="s">
        <v>1975</v>
      </c>
      <c r="G58" s="14" t="s">
        <v>1691</v>
      </c>
      <c r="H58" s="31">
        <v>138036</v>
      </c>
      <c r="I58" s="31">
        <v>138164</v>
      </c>
      <c r="J58" s="31">
        <v>128</v>
      </c>
      <c r="K58" s="31"/>
      <c r="L58" s="31"/>
      <c r="M58" s="31"/>
      <c r="N58" s="31"/>
      <c r="O58" s="31"/>
      <c r="P58" s="31"/>
      <c r="Q58" s="31"/>
      <c r="R58" s="31"/>
      <c r="S58" s="31">
        <v>128</v>
      </c>
      <c r="T58" s="29" t="s">
        <v>1692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</row>
    <row r="59" spans="1:84" s="7" customFormat="1" ht="16.5" customHeight="1" x14ac:dyDescent="0.25">
      <c r="A59" s="15" t="s">
        <v>578</v>
      </c>
      <c r="B59" s="21" t="s">
        <v>624</v>
      </c>
      <c r="C59" s="22">
        <v>9442</v>
      </c>
      <c r="D59" s="14" t="s">
        <v>1693</v>
      </c>
      <c r="E59" s="15" t="s">
        <v>1694</v>
      </c>
      <c r="F59" s="14" t="s">
        <v>1976</v>
      </c>
      <c r="G59" s="1" t="s">
        <v>1695</v>
      </c>
      <c r="H59" s="31">
        <v>67296</v>
      </c>
      <c r="I59" s="31">
        <v>67377</v>
      </c>
      <c r="J59" s="31">
        <v>81</v>
      </c>
      <c r="K59" s="31"/>
      <c r="L59" s="31"/>
      <c r="M59" s="31"/>
      <c r="N59" s="31"/>
      <c r="O59" s="31"/>
      <c r="P59" s="31"/>
      <c r="Q59" s="31"/>
      <c r="R59" s="31"/>
      <c r="S59" s="31">
        <v>81</v>
      </c>
      <c r="T59" s="29" t="s">
        <v>1696</v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</row>
    <row r="60" spans="1:84" s="7" customFormat="1" ht="16.5" customHeight="1" x14ac:dyDescent="0.25">
      <c r="A60" s="14" t="s">
        <v>702</v>
      </c>
      <c r="B60" s="14" t="s">
        <v>738</v>
      </c>
      <c r="C60" s="20">
        <v>9345</v>
      </c>
      <c r="D60" s="14" t="s">
        <v>1697</v>
      </c>
      <c r="E60" s="14" t="s">
        <v>413</v>
      </c>
      <c r="F60" s="14" t="s">
        <v>1977</v>
      </c>
      <c r="G60" s="14" t="s">
        <v>1698</v>
      </c>
      <c r="H60" s="31">
        <v>35399</v>
      </c>
      <c r="I60" s="31">
        <v>35471</v>
      </c>
      <c r="J60" s="31">
        <v>72</v>
      </c>
      <c r="K60" s="31"/>
      <c r="L60" s="31"/>
      <c r="M60" s="31"/>
      <c r="N60" s="31"/>
      <c r="O60" s="31"/>
      <c r="P60" s="31"/>
      <c r="Q60" s="31"/>
      <c r="R60" s="31"/>
      <c r="S60" s="31">
        <v>72</v>
      </c>
      <c r="T60" s="29" t="s">
        <v>1699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</row>
    <row r="61" spans="1:84" s="7" customFormat="1" ht="16.5" customHeight="1" x14ac:dyDescent="0.25">
      <c r="A61" s="14" t="s">
        <v>702</v>
      </c>
      <c r="B61" s="21" t="s">
        <v>725</v>
      </c>
      <c r="C61" s="20">
        <v>9276</v>
      </c>
      <c r="D61" s="14" t="s">
        <v>1700</v>
      </c>
      <c r="E61" s="14" t="s">
        <v>413</v>
      </c>
      <c r="F61" s="14" t="s">
        <v>1978</v>
      </c>
      <c r="G61" s="14" t="s">
        <v>1701</v>
      </c>
      <c r="H61" s="31">
        <v>24081</v>
      </c>
      <c r="I61" s="31">
        <v>24156</v>
      </c>
      <c r="J61" s="31">
        <v>75</v>
      </c>
      <c r="K61" s="31"/>
      <c r="L61" s="31"/>
      <c r="M61" s="31"/>
      <c r="N61" s="31"/>
      <c r="O61" s="31"/>
      <c r="P61" s="31"/>
      <c r="Q61" s="31"/>
      <c r="R61" s="31"/>
      <c r="S61" s="31">
        <v>75</v>
      </c>
      <c r="T61" s="29" t="s">
        <v>1702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</row>
    <row r="62" spans="1:84" s="7" customFormat="1" ht="16.5" customHeight="1" x14ac:dyDescent="0.25">
      <c r="A62" s="14" t="s">
        <v>939</v>
      </c>
      <c r="B62" s="14" t="s">
        <v>1703</v>
      </c>
      <c r="C62" s="19">
        <v>9666</v>
      </c>
      <c r="D62" s="14" t="s">
        <v>1704</v>
      </c>
      <c r="E62" s="14" t="s">
        <v>413</v>
      </c>
      <c r="F62" s="14" t="s">
        <v>1979</v>
      </c>
      <c r="G62" s="14" t="s">
        <v>1705</v>
      </c>
      <c r="H62" s="31">
        <v>15415</v>
      </c>
      <c r="I62" s="31">
        <v>15415</v>
      </c>
      <c r="J62" s="31">
        <v>0</v>
      </c>
      <c r="K62" s="31"/>
      <c r="L62" s="31"/>
      <c r="M62" s="31"/>
      <c r="N62" s="31"/>
      <c r="O62" s="31"/>
      <c r="P62" s="31"/>
      <c r="Q62" s="31"/>
      <c r="R62" s="31"/>
      <c r="S62" s="31">
        <v>0</v>
      </c>
      <c r="T62" s="14" t="s">
        <v>1706</v>
      </c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</row>
    <row r="63" spans="1:84" s="7" customFormat="1" ht="16.5" customHeight="1" x14ac:dyDescent="0.25">
      <c r="A63" s="14" t="s">
        <v>638</v>
      </c>
      <c r="B63" s="14" t="s">
        <v>677</v>
      </c>
      <c r="C63" s="20">
        <v>9259</v>
      </c>
      <c r="D63" s="14" t="s">
        <v>1707</v>
      </c>
      <c r="E63" s="14" t="s">
        <v>413</v>
      </c>
      <c r="F63" s="14" t="s">
        <v>1980</v>
      </c>
      <c r="G63" s="14" t="s">
        <v>1708</v>
      </c>
      <c r="H63" s="31">
        <v>88170</v>
      </c>
      <c r="I63" s="31">
        <v>88367</v>
      </c>
      <c r="J63" s="31">
        <v>197</v>
      </c>
      <c r="K63" s="31"/>
      <c r="L63" s="31"/>
      <c r="M63" s="31"/>
      <c r="N63" s="31"/>
      <c r="O63" s="31"/>
      <c r="P63" s="31"/>
      <c r="Q63" s="31"/>
      <c r="R63" s="31"/>
      <c r="S63" s="31">
        <v>197</v>
      </c>
      <c r="T63" s="29" t="s">
        <v>1709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</row>
    <row r="64" spans="1:84" s="7" customFormat="1" ht="16.5" customHeight="1" x14ac:dyDescent="0.25">
      <c r="A64" s="14" t="s">
        <v>767</v>
      </c>
      <c r="B64" s="14" t="s">
        <v>768</v>
      </c>
      <c r="C64" s="19">
        <v>9221</v>
      </c>
      <c r="D64" s="14" t="s">
        <v>1710</v>
      </c>
      <c r="E64" s="14" t="s">
        <v>413</v>
      </c>
      <c r="F64" s="14" t="s">
        <v>1981</v>
      </c>
      <c r="G64" s="14" t="s">
        <v>1711</v>
      </c>
      <c r="H64" s="31">
        <v>95060</v>
      </c>
      <c r="I64" s="31">
        <v>95164</v>
      </c>
      <c r="J64" s="31">
        <v>104</v>
      </c>
      <c r="K64" s="31"/>
      <c r="L64" s="31"/>
      <c r="M64" s="31"/>
      <c r="N64" s="31"/>
      <c r="O64" s="31"/>
      <c r="P64" s="31"/>
      <c r="Q64" s="31"/>
      <c r="R64" s="31"/>
      <c r="S64" s="31">
        <v>104</v>
      </c>
      <c r="T64" s="29" t="s">
        <v>1712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</row>
    <row r="65" spans="1:84" s="7" customFormat="1" ht="16.5" customHeight="1" x14ac:dyDescent="0.25">
      <c r="A65" s="15" t="s">
        <v>522</v>
      </c>
      <c r="B65" s="21" t="s">
        <v>560</v>
      </c>
      <c r="C65" s="22">
        <v>9360</v>
      </c>
      <c r="D65" s="14" t="s">
        <v>1713</v>
      </c>
      <c r="E65" s="15" t="s">
        <v>413</v>
      </c>
      <c r="F65" s="14" t="s">
        <v>1982</v>
      </c>
      <c r="G65" s="15" t="s">
        <v>1714</v>
      </c>
      <c r="H65" s="31">
        <v>30442</v>
      </c>
      <c r="I65" s="31">
        <v>30468</v>
      </c>
      <c r="J65" s="31">
        <v>26</v>
      </c>
      <c r="K65" s="31"/>
      <c r="L65" s="31"/>
      <c r="M65" s="31"/>
      <c r="N65" s="31"/>
      <c r="O65" s="31"/>
      <c r="P65" s="31"/>
      <c r="Q65" s="31"/>
      <c r="R65" s="31"/>
      <c r="S65" s="31">
        <v>26</v>
      </c>
      <c r="T65" s="29" t="s">
        <v>1715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</row>
    <row r="66" spans="1:84" s="7" customFormat="1" ht="16.5" customHeight="1" x14ac:dyDescent="0.25">
      <c r="A66" s="14" t="s">
        <v>520</v>
      </c>
      <c r="B66" s="14" t="s">
        <v>531</v>
      </c>
      <c r="C66" s="23">
        <v>9336</v>
      </c>
      <c r="D66" s="11" t="s">
        <v>1716</v>
      </c>
      <c r="E66" s="11" t="s">
        <v>417</v>
      </c>
      <c r="F66" s="11" t="s">
        <v>1983</v>
      </c>
      <c r="G66" s="11" t="s">
        <v>1717</v>
      </c>
      <c r="H66" s="31">
        <v>52390</v>
      </c>
      <c r="I66" s="31">
        <v>52717</v>
      </c>
      <c r="J66" s="31">
        <v>327</v>
      </c>
      <c r="K66" s="31"/>
      <c r="L66" s="31"/>
      <c r="M66" s="31"/>
      <c r="N66" s="31"/>
      <c r="O66" s="31"/>
      <c r="P66" s="31"/>
      <c r="Q66" s="31"/>
      <c r="R66" s="31"/>
      <c r="S66" s="31">
        <v>327</v>
      </c>
      <c r="T66" s="29" t="s">
        <v>1718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</row>
    <row r="67" spans="1:84" s="7" customFormat="1" ht="16.5" customHeight="1" x14ac:dyDescent="0.25">
      <c r="A67" s="14" t="s">
        <v>1008</v>
      </c>
      <c r="B67" s="14" t="s">
        <v>1011</v>
      </c>
      <c r="C67" s="19">
        <v>9653</v>
      </c>
      <c r="D67" s="14" t="s">
        <v>1719</v>
      </c>
      <c r="E67" s="14" t="s">
        <v>413</v>
      </c>
      <c r="F67" s="14" t="s">
        <v>1984</v>
      </c>
      <c r="G67" s="14" t="s">
        <v>1720</v>
      </c>
      <c r="H67" s="31">
        <v>67637</v>
      </c>
      <c r="I67" s="31">
        <v>67658</v>
      </c>
      <c r="J67" s="31">
        <v>21</v>
      </c>
      <c r="K67" s="31"/>
      <c r="L67" s="31"/>
      <c r="M67" s="31"/>
      <c r="N67" s="31"/>
      <c r="O67" s="31"/>
      <c r="P67" s="31"/>
      <c r="Q67" s="31"/>
      <c r="R67" s="31"/>
      <c r="S67" s="31">
        <v>21</v>
      </c>
      <c r="T67" s="29" t="s">
        <v>1721</v>
      </c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</row>
    <row r="68" spans="1:84" s="7" customFormat="1" ht="16.5" customHeight="1" x14ac:dyDescent="0.25">
      <c r="A68" s="15" t="s">
        <v>459</v>
      </c>
      <c r="B68" s="21" t="s">
        <v>504</v>
      </c>
      <c r="C68" s="22">
        <v>9430</v>
      </c>
      <c r="D68" s="14" t="s">
        <v>1722</v>
      </c>
      <c r="E68" s="15" t="s">
        <v>413</v>
      </c>
      <c r="F68" s="14" t="s">
        <v>1985</v>
      </c>
      <c r="G68" s="15" t="s">
        <v>1723</v>
      </c>
      <c r="H68" s="31">
        <v>251326</v>
      </c>
      <c r="I68" s="31">
        <v>251447</v>
      </c>
      <c r="J68" s="31">
        <v>121</v>
      </c>
      <c r="K68" s="31"/>
      <c r="L68" s="31"/>
      <c r="M68" s="31"/>
      <c r="N68" s="31"/>
      <c r="O68" s="31"/>
      <c r="P68" s="31"/>
      <c r="Q68" s="31"/>
      <c r="R68" s="31"/>
      <c r="S68" s="31">
        <v>121</v>
      </c>
      <c r="T68" s="29" t="s">
        <v>1724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</row>
    <row r="69" spans="1:84" s="7" customFormat="1" ht="16.5" customHeight="1" x14ac:dyDescent="0.25">
      <c r="A69" s="14" t="s">
        <v>939</v>
      </c>
      <c r="B69" s="14" t="s">
        <v>946</v>
      </c>
      <c r="C69" s="19">
        <v>9665</v>
      </c>
      <c r="D69" s="14" t="s">
        <v>948</v>
      </c>
      <c r="E69" s="14" t="s">
        <v>413</v>
      </c>
      <c r="F69" s="14" t="s">
        <v>1986</v>
      </c>
      <c r="G69" s="14" t="s">
        <v>1725</v>
      </c>
      <c r="H69" s="31">
        <v>24383</v>
      </c>
      <c r="I69" s="31">
        <v>24482</v>
      </c>
      <c r="J69" s="31">
        <v>99</v>
      </c>
      <c r="K69" s="31"/>
      <c r="L69" s="31"/>
      <c r="M69" s="31"/>
      <c r="N69" s="31"/>
      <c r="O69" s="31"/>
      <c r="P69" s="31"/>
      <c r="Q69" s="31"/>
      <c r="R69" s="31"/>
      <c r="S69" s="31">
        <v>99</v>
      </c>
      <c r="T69" s="29" t="s">
        <v>1726</v>
      </c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</row>
    <row r="70" spans="1:84" s="7" customFormat="1" ht="16.5" customHeight="1" x14ac:dyDescent="0.25">
      <c r="A70" s="14" t="s">
        <v>767</v>
      </c>
      <c r="B70" s="14" t="s">
        <v>850</v>
      </c>
      <c r="C70" s="20">
        <v>9394</v>
      </c>
      <c r="D70" s="14" t="s">
        <v>1727</v>
      </c>
      <c r="E70" s="14" t="s">
        <v>417</v>
      </c>
      <c r="F70" s="14" t="s">
        <v>802</v>
      </c>
      <c r="G70" s="14" t="s">
        <v>1728</v>
      </c>
      <c r="H70" s="31">
        <v>264671</v>
      </c>
      <c r="I70" s="31">
        <v>264701</v>
      </c>
      <c r="J70" s="31">
        <v>30</v>
      </c>
      <c r="K70" s="31"/>
      <c r="L70" s="31"/>
      <c r="M70" s="31"/>
      <c r="N70" s="31"/>
      <c r="O70" s="31"/>
      <c r="P70" s="31"/>
      <c r="Q70" s="31"/>
      <c r="R70" s="31"/>
      <c r="S70" s="31">
        <v>30</v>
      </c>
      <c r="T70" s="35" t="s">
        <v>1729</v>
      </c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</row>
    <row r="71" spans="1:84" s="7" customFormat="1" ht="16.5" customHeight="1" x14ac:dyDescent="0.25">
      <c r="A71" s="14" t="s">
        <v>868</v>
      </c>
      <c r="B71" s="14" t="s">
        <v>890</v>
      </c>
      <c r="C71" s="20">
        <v>9883</v>
      </c>
      <c r="D71" s="14" t="s">
        <v>1730</v>
      </c>
      <c r="E71" s="14" t="s">
        <v>413</v>
      </c>
      <c r="F71" s="14" t="s">
        <v>479</v>
      </c>
      <c r="G71" s="14" t="s">
        <v>1731</v>
      </c>
      <c r="H71" s="31">
        <v>44299</v>
      </c>
      <c r="I71" s="31">
        <v>44446</v>
      </c>
      <c r="J71" s="31">
        <v>147</v>
      </c>
      <c r="K71" s="31">
        <v>44544</v>
      </c>
      <c r="L71" s="31">
        <v>98</v>
      </c>
      <c r="M71" s="31"/>
      <c r="N71" s="31"/>
      <c r="O71" s="31"/>
      <c r="P71" s="31"/>
      <c r="Q71" s="31"/>
      <c r="R71" s="31"/>
      <c r="S71" s="31">
        <v>245</v>
      </c>
      <c r="T71" s="35" t="s">
        <v>1732</v>
      </c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</row>
    <row r="72" spans="1:84" s="7" customFormat="1" ht="16.5" customHeight="1" x14ac:dyDescent="0.25">
      <c r="A72" s="15" t="s">
        <v>939</v>
      </c>
      <c r="B72" s="21" t="s">
        <v>962</v>
      </c>
      <c r="C72" s="19">
        <v>9570</v>
      </c>
      <c r="D72" s="14" t="s">
        <v>1733</v>
      </c>
      <c r="E72" s="15" t="s">
        <v>413</v>
      </c>
      <c r="F72" s="14" t="s">
        <v>1987</v>
      </c>
      <c r="G72" s="1" t="s">
        <v>1734</v>
      </c>
      <c r="H72" s="31">
        <v>110884</v>
      </c>
      <c r="I72" s="31">
        <v>111475</v>
      </c>
      <c r="J72" s="31">
        <v>591</v>
      </c>
      <c r="K72" s="31">
        <v>111481</v>
      </c>
      <c r="L72" s="31">
        <v>6</v>
      </c>
      <c r="M72" s="31"/>
      <c r="N72" s="31"/>
      <c r="O72" s="31"/>
      <c r="P72" s="31"/>
      <c r="Q72" s="31"/>
      <c r="R72" s="31"/>
      <c r="S72" s="31">
        <v>597</v>
      </c>
      <c r="T72" s="35" t="s">
        <v>1735</v>
      </c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</row>
    <row r="73" spans="1:84" s="7" customFormat="1" ht="16.5" customHeight="1" x14ac:dyDescent="0.25">
      <c r="A73" s="14" t="s">
        <v>638</v>
      </c>
      <c r="B73" s="14" t="s">
        <v>650</v>
      </c>
      <c r="C73" s="19">
        <v>9970</v>
      </c>
      <c r="D73" s="14" t="s">
        <v>652</v>
      </c>
      <c r="E73" s="14" t="s">
        <v>413</v>
      </c>
      <c r="F73" s="14" t="s">
        <v>1207</v>
      </c>
      <c r="G73" s="14" t="s">
        <v>196</v>
      </c>
      <c r="H73" s="31">
        <v>91104</v>
      </c>
      <c r="I73" s="31">
        <v>91329</v>
      </c>
      <c r="J73" s="31">
        <v>225</v>
      </c>
      <c r="K73" s="31">
        <v>91388</v>
      </c>
      <c r="L73" s="31">
        <v>59</v>
      </c>
      <c r="M73" s="31"/>
      <c r="N73" s="31"/>
      <c r="O73" s="31"/>
      <c r="P73" s="31"/>
      <c r="Q73" s="31"/>
      <c r="R73" s="31"/>
      <c r="S73" s="31">
        <v>284</v>
      </c>
      <c r="T73" s="29" t="s">
        <v>1736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</row>
    <row r="74" spans="1:84" s="6" customFormat="1" ht="16.5" customHeight="1" x14ac:dyDescent="0.25">
      <c r="A74" s="11" t="s">
        <v>868</v>
      </c>
      <c r="B74" s="11" t="s">
        <v>885</v>
      </c>
      <c r="C74" s="23">
        <v>9816</v>
      </c>
      <c r="D74" s="11" t="s">
        <v>1737</v>
      </c>
      <c r="E74" s="11" t="s">
        <v>413</v>
      </c>
      <c r="F74" s="11" t="s">
        <v>1738</v>
      </c>
      <c r="G74" s="11" t="s">
        <v>1739</v>
      </c>
      <c r="H74" s="36">
        <v>152637</v>
      </c>
      <c r="I74" s="36">
        <v>152641</v>
      </c>
      <c r="J74" s="36">
        <v>4</v>
      </c>
      <c r="K74" s="36">
        <v>152642</v>
      </c>
      <c r="L74" s="36">
        <v>1</v>
      </c>
      <c r="M74" s="36"/>
      <c r="N74" s="36"/>
      <c r="O74" s="36"/>
      <c r="P74" s="36"/>
      <c r="Q74" s="36"/>
      <c r="R74" s="36"/>
      <c r="S74" s="36">
        <v>5</v>
      </c>
      <c r="T74" s="37" t="s">
        <v>1740</v>
      </c>
    </row>
    <row r="75" spans="1:84" s="6" customFormat="1" ht="16.5" customHeight="1" x14ac:dyDescent="0.25">
      <c r="A75" s="11" t="s">
        <v>939</v>
      </c>
      <c r="B75" s="11" t="s">
        <v>978</v>
      </c>
      <c r="C75" s="24">
        <v>9640</v>
      </c>
      <c r="D75" s="11" t="s">
        <v>1741</v>
      </c>
      <c r="E75" s="11" t="s">
        <v>413</v>
      </c>
      <c r="F75" s="11" t="s">
        <v>1988</v>
      </c>
      <c r="G75" s="11" t="s">
        <v>1742</v>
      </c>
      <c r="H75" s="36">
        <v>24438</v>
      </c>
      <c r="I75" s="36">
        <v>24578</v>
      </c>
      <c r="J75" s="36">
        <v>140</v>
      </c>
      <c r="K75" s="36">
        <v>24598</v>
      </c>
      <c r="L75" s="36">
        <v>20</v>
      </c>
      <c r="M75" s="36"/>
      <c r="N75" s="36"/>
      <c r="O75" s="36"/>
      <c r="P75" s="36"/>
      <c r="Q75" s="36"/>
      <c r="R75" s="36"/>
      <c r="S75" s="36">
        <v>160</v>
      </c>
      <c r="T75" s="37" t="s">
        <v>1743</v>
      </c>
    </row>
    <row r="76" spans="1:84" s="6" customFormat="1" ht="16.5" customHeight="1" x14ac:dyDescent="0.25">
      <c r="A76" s="11" t="s">
        <v>1008</v>
      </c>
      <c r="B76" s="11" t="s">
        <v>1018</v>
      </c>
      <c r="C76" s="24">
        <v>9550</v>
      </c>
      <c r="D76" s="11" t="s">
        <v>1744</v>
      </c>
      <c r="E76" s="11" t="s">
        <v>413</v>
      </c>
      <c r="F76" s="11" t="s">
        <v>1989</v>
      </c>
      <c r="G76" s="11" t="s">
        <v>1745</v>
      </c>
      <c r="H76" s="36">
        <v>26770</v>
      </c>
      <c r="I76" s="36">
        <v>26840</v>
      </c>
      <c r="J76" s="36">
        <v>70</v>
      </c>
      <c r="K76" s="36">
        <v>26861</v>
      </c>
      <c r="L76" s="36">
        <v>21</v>
      </c>
      <c r="M76" s="36"/>
      <c r="N76" s="36"/>
      <c r="O76" s="36"/>
      <c r="P76" s="36"/>
      <c r="Q76" s="36"/>
      <c r="R76" s="36"/>
      <c r="S76" s="36">
        <v>91</v>
      </c>
      <c r="T76" s="37" t="s">
        <v>1746</v>
      </c>
    </row>
    <row r="77" spans="1:84" s="6" customFormat="1" ht="16.5" customHeight="1" x14ac:dyDescent="0.25">
      <c r="A77" s="11" t="s">
        <v>868</v>
      </c>
      <c r="B77" s="11" t="s">
        <v>874</v>
      </c>
      <c r="C77" s="23">
        <v>9843</v>
      </c>
      <c r="D77" s="11" t="s">
        <v>1747</v>
      </c>
      <c r="E77" s="11" t="s">
        <v>413</v>
      </c>
      <c r="F77" s="11" t="s">
        <v>1990</v>
      </c>
      <c r="G77" s="11" t="s">
        <v>1748</v>
      </c>
      <c r="H77" s="36">
        <v>39179</v>
      </c>
      <c r="I77" s="36">
        <v>39246</v>
      </c>
      <c r="J77" s="36">
        <v>67</v>
      </c>
      <c r="K77" s="36">
        <v>39260</v>
      </c>
      <c r="L77" s="36">
        <v>14</v>
      </c>
      <c r="M77" s="36"/>
      <c r="N77" s="36"/>
      <c r="O77" s="36"/>
      <c r="P77" s="36"/>
      <c r="Q77" s="36"/>
      <c r="R77" s="36"/>
      <c r="S77" s="36">
        <v>81</v>
      </c>
      <c r="T77" s="37" t="s">
        <v>1749</v>
      </c>
    </row>
    <row r="78" spans="1:84" s="7" customFormat="1" ht="16.5" customHeight="1" x14ac:dyDescent="0.25">
      <c r="A78" s="14" t="s">
        <v>767</v>
      </c>
      <c r="B78" s="14" t="s">
        <v>780</v>
      </c>
      <c r="C78" s="19">
        <v>9282</v>
      </c>
      <c r="D78" s="14" t="s">
        <v>1750</v>
      </c>
      <c r="E78" s="14" t="s">
        <v>413</v>
      </c>
      <c r="F78" s="14" t="s">
        <v>1991</v>
      </c>
      <c r="G78" s="14" t="s">
        <v>1751</v>
      </c>
      <c r="H78" s="31">
        <v>77688</v>
      </c>
      <c r="I78" s="31">
        <v>77885</v>
      </c>
      <c r="J78" s="31">
        <v>197</v>
      </c>
      <c r="K78" s="31">
        <v>78037</v>
      </c>
      <c r="L78" s="31">
        <v>152</v>
      </c>
      <c r="M78" s="31"/>
      <c r="N78" s="31"/>
      <c r="O78" s="31"/>
      <c r="P78" s="31"/>
      <c r="Q78" s="31"/>
      <c r="R78" s="31"/>
      <c r="S78" s="31">
        <v>349</v>
      </c>
      <c r="T78" s="37" t="s">
        <v>1752</v>
      </c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</row>
    <row r="79" spans="1:84" s="7" customFormat="1" ht="16.5" customHeight="1" x14ac:dyDescent="0.25">
      <c r="A79" s="14" t="s">
        <v>767</v>
      </c>
      <c r="B79" s="14" t="s">
        <v>784</v>
      </c>
      <c r="C79" s="19">
        <v>9911</v>
      </c>
      <c r="D79" s="14" t="s">
        <v>1753</v>
      </c>
      <c r="E79" s="14" t="s">
        <v>413</v>
      </c>
      <c r="F79" s="14" t="s">
        <v>1992</v>
      </c>
      <c r="G79" s="14" t="s">
        <v>1754</v>
      </c>
      <c r="H79" s="31">
        <v>60166</v>
      </c>
      <c r="I79" s="31">
        <v>60447</v>
      </c>
      <c r="J79" s="31">
        <v>281</v>
      </c>
      <c r="K79" s="31">
        <v>60690</v>
      </c>
      <c r="L79" s="31">
        <v>243</v>
      </c>
      <c r="M79" s="31"/>
      <c r="N79" s="31"/>
      <c r="O79" s="31"/>
      <c r="P79" s="31"/>
      <c r="Q79" s="31"/>
      <c r="R79" s="31"/>
      <c r="S79" s="31">
        <v>524</v>
      </c>
      <c r="T79" s="37" t="s">
        <v>1755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</row>
    <row r="80" spans="1:84" s="7" customFormat="1" ht="16.5" customHeight="1" x14ac:dyDescent="0.25">
      <c r="A80" s="14" t="s">
        <v>638</v>
      </c>
      <c r="B80" s="14" t="s">
        <v>639</v>
      </c>
      <c r="C80" s="19">
        <v>9214</v>
      </c>
      <c r="D80" s="14" t="s">
        <v>1756</v>
      </c>
      <c r="E80" s="14" t="s">
        <v>413</v>
      </c>
      <c r="F80" s="14" t="s">
        <v>1993</v>
      </c>
      <c r="G80" s="14" t="s">
        <v>1757</v>
      </c>
      <c r="H80" s="31">
        <v>90604</v>
      </c>
      <c r="I80" s="31">
        <v>90675</v>
      </c>
      <c r="J80" s="31">
        <v>71</v>
      </c>
      <c r="K80" s="31">
        <v>90757</v>
      </c>
      <c r="L80" s="31">
        <v>82</v>
      </c>
      <c r="M80" s="31"/>
      <c r="N80" s="31"/>
      <c r="O80" s="31"/>
      <c r="P80" s="31"/>
      <c r="Q80" s="31"/>
      <c r="R80" s="31"/>
      <c r="S80" s="31">
        <v>153</v>
      </c>
      <c r="T80" s="37" t="s">
        <v>1758</v>
      </c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</row>
    <row r="81" spans="1:84" s="7" customFormat="1" ht="16.5" customHeight="1" x14ac:dyDescent="0.25">
      <c r="A81" s="14" t="s">
        <v>638</v>
      </c>
      <c r="B81" s="14" t="s">
        <v>683</v>
      </c>
      <c r="C81" s="20">
        <v>9235</v>
      </c>
      <c r="D81" s="14" t="s">
        <v>1759</v>
      </c>
      <c r="E81" s="14" t="s">
        <v>413</v>
      </c>
      <c r="F81" s="14" t="s">
        <v>1760</v>
      </c>
      <c r="G81" s="14" t="s">
        <v>1761</v>
      </c>
      <c r="H81" s="31">
        <v>38488</v>
      </c>
      <c r="I81" s="31">
        <v>38556</v>
      </c>
      <c r="J81" s="31">
        <v>68</v>
      </c>
      <c r="K81" s="31">
        <v>38602</v>
      </c>
      <c r="L81" s="31">
        <v>46</v>
      </c>
      <c r="M81" s="31"/>
      <c r="N81" s="31"/>
      <c r="O81" s="31"/>
      <c r="P81" s="31"/>
      <c r="Q81" s="31"/>
      <c r="R81" s="31"/>
      <c r="S81" s="31">
        <v>114</v>
      </c>
      <c r="T81" s="37" t="s">
        <v>1762</v>
      </c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</row>
    <row r="82" spans="1:84" s="7" customFormat="1" ht="16.5" customHeight="1" x14ac:dyDescent="0.25">
      <c r="A82" s="14" t="s">
        <v>767</v>
      </c>
      <c r="B82" s="14" t="s">
        <v>797</v>
      </c>
      <c r="C82" s="19">
        <v>9271</v>
      </c>
      <c r="D82" s="14" t="s">
        <v>1763</v>
      </c>
      <c r="E82" s="14" t="s">
        <v>413</v>
      </c>
      <c r="F82" s="14" t="s">
        <v>1469</v>
      </c>
      <c r="G82" s="14" t="s">
        <v>1764</v>
      </c>
      <c r="H82" s="31">
        <v>39365</v>
      </c>
      <c r="I82" s="31">
        <v>39433</v>
      </c>
      <c r="J82" s="31">
        <v>68</v>
      </c>
      <c r="K82" s="31">
        <v>39529</v>
      </c>
      <c r="L82" s="31">
        <v>96</v>
      </c>
      <c r="M82" s="31"/>
      <c r="N82" s="31"/>
      <c r="O82" s="31"/>
      <c r="P82" s="31"/>
      <c r="Q82" s="31"/>
      <c r="R82" s="31"/>
      <c r="S82" s="31">
        <v>164</v>
      </c>
      <c r="T82" s="37" t="s">
        <v>1765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</row>
    <row r="83" spans="1:84" s="7" customFormat="1" ht="16.5" customHeight="1" x14ac:dyDescent="0.25">
      <c r="A83" s="14" t="s">
        <v>767</v>
      </c>
      <c r="B83" s="14" t="s">
        <v>836</v>
      </c>
      <c r="C83" s="20">
        <v>9225</v>
      </c>
      <c r="D83" s="14" t="s">
        <v>1766</v>
      </c>
      <c r="E83" s="14" t="s">
        <v>413</v>
      </c>
      <c r="F83" s="14" t="s">
        <v>1994</v>
      </c>
      <c r="G83" s="14" t="s">
        <v>1767</v>
      </c>
      <c r="H83" s="31">
        <v>106724</v>
      </c>
      <c r="I83" s="31">
        <v>106829</v>
      </c>
      <c r="J83" s="31">
        <v>105</v>
      </c>
      <c r="K83" s="31">
        <v>107024</v>
      </c>
      <c r="L83" s="31">
        <v>195</v>
      </c>
      <c r="M83" s="31"/>
      <c r="N83" s="31"/>
      <c r="O83" s="31"/>
      <c r="P83" s="31"/>
      <c r="Q83" s="31"/>
      <c r="R83" s="31"/>
      <c r="S83" s="31">
        <v>300</v>
      </c>
      <c r="T83" s="37" t="s">
        <v>1768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</row>
    <row r="84" spans="1:84" s="7" customFormat="1" ht="16.5" customHeight="1" x14ac:dyDescent="0.25">
      <c r="A84" s="14" t="s">
        <v>638</v>
      </c>
      <c r="B84" s="14" t="s">
        <v>653</v>
      </c>
      <c r="C84" s="19">
        <v>9203</v>
      </c>
      <c r="D84" s="14" t="s">
        <v>1769</v>
      </c>
      <c r="E84" s="14" t="s">
        <v>413</v>
      </c>
      <c r="F84" s="14" t="s">
        <v>1770</v>
      </c>
      <c r="G84" s="14" t="s">
        <v>1771</v>
      </c>
      <c r="H84" s="31">
        <v>64118</v>
      </c>
      <c r="I84" s="31">
        <v>64415</v>
      </c>
      <c r="J84" s="31">
        <v>297</v>
      </c>
      <c r="K84" s="31">
        <v>64677</v>
      </c>
      <c r="L84" s="31">
        <v>262</v>
      </c>
      <c r="M84" s="31">
        <v>64775</v>
      </c>
      <c r="N84" s="31">
        <v>98</v>
      </c>
      <c r="O84" s="31"/>
      <c r="P84" s="31"/>
      <c r="Q84" s="31"/>
      <c r="R84" s="31"/>
      <c r="S84" s="31">
        <v>657</v>
      </c>
      <c r="T84" s="37" t="s">
        <v>1772</v>
      </c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</row>
    <row r="85" spans="1:84" s="7" customFormat="1" ht="16.5" customHeight="1" x14ac:dyDescent="0.25">
      <c r="A85" s="14" t="s">
        <v>702</v>
      </c>
      <c r="B85" s="14" t="s">
        <v>763</v>
      </c>
      <c r="C85" s="20">
        <v>9253</v>
      </c>
      <c r="D85" s="14" t="s">
        <v>1773</v>
      </c>
      <c r="E85" s="14" t="s">
        <v>413</v>
      </c>
      <c r="F85" s="14" t="s">
        <v>1774</v>
      </c>
      <c r="G85" s="14" t="s">
        <v>1775</v>
      </c>
      <c r="H85" s="31">
        <v>52619</v>
      </c>
      <c r="I85" s="31">
        <v>52735</v>
      </c>
      <c r="J85" s="31">
        <v>116</v>
      </c>
      <c r="K85" s="31">
        <v>52788</v>
      </c>
      <c r="L85" s="31">
        <v>53</v>
      </c>
      <c r="M85" s="31">
        <v>52812</v>
      </c>
      <c r="N85" s="31">
        <v>24</v>
      </c>
      <c r="O85" s="31"/>
      <c r="P85" s="31"/>
      <c r="Q85" s="31"/>
      <c r="R85" s="31"/>
      <c r="S85" s="31">
        <v>193</v>
      </c>
      <c r="T85" s="37" t="s">
        <v>1776</v>
      </c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</row>
    <row r="86" spans="1:84" s="7" customFormat="1" ht="16.5" customHeight="1" x14ac:dyDescent="0.25">
      <c r="A86" s="14" t="s">
        <v>638</v>
      </c>
      <c r="B86" s="14" t="s">
        <v>661</v>
      </c>
      <c r="C86" s="19">
        <v>9234</v>
      </c>
      <c r="D86" s="11" t="s">
        <v>1777</v>
      </c>
      <c r="E86" s="14" t="s">
        <v>413</v>
      </c>
      <c r="F86" s="14" t="s">
        <v>1995</v>
      </c>
      <c r="G86" s="14" t="s">
        <v>1778</v>
      </c>
      <c r="H86" s="31">
        <v>64264</v>
      </c>
      <c r="I86" s="31">
        <v>64589</v>
      </c>
      <c r="J86" s="31">
        <v>325</v>
      </c>
      <c r="K86" s="31">
        <v>64833</v>
      </c>
      <c r="L86" s="31">
        <v>244</v>
      </c>
      <c r="M86" s="31">
        <v>64964</v>
      </c>
      <c r="N86" s="31">
        <v>131</v>
      </c>
      <c r="O86" s="31"/>
      <c r="P86" s="31"/>
      <c r="Q86" s="31"/>
      <c r="R86" s="31"/>
      <c r="S86" s="31">
        <v>700</v>
      </c>
      <c r="T86" s="37" t="s">
        <v>1779</v>
      </c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</row>
    <row r="87" spans="1:84" s="7" customFormat="1" ht="16.5" customHeight="1" x14ac:dyDescent="0.25">
      <c r="A87" s="14" t="s">
        <v>638</v>
      </c>
      <c r="B87" s="14" t="s">
        <v>648</v>
      </c>
      <c r="C87" s="19">
        <v>9955</v>
      </c>
      <c r="D87" s="14" t="s">
        <v>1780</v>
      </c>
      <c r="E87" s="14" t="s">
        <v>413</v>
      </c>
      <c r="F87" s="14" t="s">
        <v>1996</v>
      </c>
      <c r="G87" s="14" t="s">
        <v>1781</v>
      </c>
      <c r="H87" s="31">
        <v>61151</v>
      </c>
      <c r="I87" s="31">
        <v>61315</v>
      </c>
      <c r="J87" s="31">
        <v>164</v>
      </c>
      <c r="K87" s="31">
        <v>61566</v>
      </c>
      <c r="L87" s="31">
        <v>251</v>
      </c>
      <c r="M87" s="31">
        <v>61733</v>
      </c>
      <c r="N87" s="31">
        <v>167</v>
      </c>
      <c r="O87" s="31"/>
      <c r="P87" s="31"/>
      <c r="Q87" s="31"/>
      <c r="R87" s="31"/>
      <c r="S87" s="31">
        <v>582</v>
      </c>
      <c r="T87" s="37" t="s">
        <v>1782</v>
      </c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</row>
    <row r="88" spans="1:84" s="7" customFormat="1" ht="16.5" customHeight="1" x14ac:dyDescent="0.25">
      <c r="A88" s="15" t="s">
        <v>638</v>
      </c>
      <c r="B88" s="21" t="s">
        <v>659</v>
      </c>
      <c r="C88" s="19">
        <v>9924</v>
      </c>
      <c r="D88" s="14" t="s">
        <v>1783</v>
      </c>
      <c r="E88" s="15" t="s">
        <v>413</v>
      </c>
      <c r="F88" s="14" t="s">
        <v>1466</v>
      </c>
      <c r="G88" s="15" t="s">
        <v>1784</v>
      </c>
      <c r="H88" s="31">
        <v>56376</v>
      </c>
      <c r="I88" s="31">
        <v>56506</v>
      </c>
      <c r="J88" s="31">
        <v>130</v>
      </c>
      <c r="K88" s="31">
        <v>56635</v>
      </c>
      <c r="L88" s="31">
        <v>129</v>
      </c>
      <c r="M88" s="31">
        <v>56733</v>
      </c>
      <c r="N88" s="31">
        <v>98</v>
      </c>
      <c r="O88" s="31"/>
      <c r="P88" s="31"/>
      <c r="Q88" s="31"/>
      <c r="R88" s="31"/>
      <c r="S88" s="31">
        <v>357</v>
      </c>
      <c r="T88" s="37" t="s">
        <v>1785</v>
      </c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</row>
    <row r="89" spans="1:84" s="7" customFormat="1" ht="16.5" customHeight="1" x14ac:dyDescent="0.25">
      <c r="A89" s="14" t="s">
        <v>638</v>
      </c>
      <c r="B89" s="14" t="s">
        <v>1786</v>
      </c>
      <c r="C89" s="20">
        <v>9216</v>
      </c>
      <c r="D89" s="14" t="s">
        <v>1787</v>
      </c>
      <c r="E89" s="14" t="s">
        <v>417</v>
      </c>
      <c r="F89" s="14" t="s">
        <v>1997</v>
      </c>
      <c r="G89" s="14" t="s">
        <v>1788</v>
      </c>
      <c r="H89" s="31">
        <v>163700</v>
      </c>
      <c r="I89" s="31">
        <v>163836</v>
      </c>
      <c r="J89" s="31">
        <v>136</v>
      </c>
      <c r="K89" s="31">
        <v>164071</v>
      </c>
      <c r="L89" s="31">
        <v>235</v>
      </c>
      <c r="M89" s="31">
        <v>164216</v>
      </c>
      <c r="N89" s="31">
        <v>145</v>
      </c>
      <c r="O89" s="31">
        <v>164225</v>
      </c>
      <c r="P89" s="31">
        <v>9</v>
      </c>
      <c r="Q89" s="31"/>
      <c r="R89" s="31"/>
      <c r="S89" s="31">
        <v>525</v>
      </c>
      <c r="T89" s="37" t="s">
        <v>1789</v>
      </c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</row>
    <row r="90" spans="1:84" s="7" customFormat="1" ht="16.5" customHeight="1" x14ac:dyDescent="0.25">
      <c r="A90" s="14" t="s">
        <v>520</v>
      </c>
      <c r="B90" s="14" t="s">
        <v>552</v>
      </c>
      <c r="C90" s="20">
        <v>9310</v>
      </c>
      <c r="D90" s="14" t="s">
        <v>1790</v>
      </c>
      <c r="E90" s="14" t="s">
        <v>413</v>
      </c>
      <c r="F90" s="14" t="s">
        <v>1998</v>
      </c>
      <c r="G90" s="14" t="s">
        <v>1791</v>
      </c>
      <c r="H90" s="31">
        <v>75456</v>
      </c>
      <c r="I90" s="31">
        <v>75456</v>
      </c>
      <c r="J90" s="31">
        <v>0</v>
      </c>
      <c r="K90" s="31">
        <v>75456</v>
      </c>
      <c r="L90" s="31">
        <v>0</v>
      </c>
      <c r="M90" s="31">
        <v>75456</v>
      </c>
      <c r="N90" s="31">
        <v>0</v>
      </c>
      <c r="O90" s="31">
        <v>75456</v>
      </c>
      <c r="P90" s="31">
        <v>0</v>
      </c>
      <c r="Q90" s="31"/>
      <c r="R90" s="31"/>
      <c r="S90" s="31">
        <v>0</v>
      </c>
      <c r="T90" s="37" t="s">
        <v>1792</v>
      </c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</row>
    <row r="91" spans="1:84" s="7" customFormat="1" ht="17.25" customHeight="1" x14ac:dyDescent="0.25">
      <c r="A91" s="14" t="s">
        <v>520</v>
      </c>
      <c r="B91" s="14" t="s">
        <v>570</v>
      </c>
      <c r="C91" s="24">
        <v>9391</v>
      </c>
      <c r="D91" s="11" t="s">
        <v>1793</v>
      </c>
      <c r="E91" s="11" t="s">
        <v>413</v>
      </c>
      <c r="F91" s="11" t="s">
        <v>1999</v>
      </c>
      <c r="G91" s="11" t="s">
        <v>1794</v>
      </c>
      <c r="H91" s="31">
        <v>66242</v>
      </c>
      <c r="I91" s="31">
        <v>66242</v>
      </c>
      <c r="J91" s="31">
        <v>0</v>
      </c>
      <c r="K91" s="31">
        <v>66242</v>
      </c>
      <c r="L91" s="31">
        <v>0</v>
      </c>
      <c r="M91" s="31">
        <v>66246</v>
      </c>
      <c r="N91" s="31">
        <v>4</v>
      </c>
      <c r="O91" s="31">
        <v>66246</v>
      </c>
      <c r="P91" s="31">
        <v>0</v>
      </c>
      <c r="Q91" s="31"/>
      <c r="R91" s="38"/>
      <c r="S91" s="38">
        <v>4</v>
      </c>
      <c r="T91" s="39" t="s">
        <v>1795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</row>
    <row r="92" spans="1:84" s="5" customFormat="1" ht="52.5" customHeight="1" x14ac:dyDescent="0.25">
      <c r="A92" s="30" t="s">
        <v>404</v>
      </c>
      <c r="B92" s="30" t="s">
        <v>405</v>
      </c>
      <c r="C92" s="30" t="s">
        <v>406</v>
      </c>
      <c r="D92" s="30" t="s">
        <v>407</v>
      </c>
      <c r="E92" s="30" t="s">
        <v>408</v>
      </c>
      <c r="F92" s="30" t="s">
        <v>409</v>
      </c>
      <c r="G92" s="30" t="s">
        <v>0</v>
      </c>
      <c r="H92" s="33" t="s">
        <v>1796</v>
      </c>
      <c r="I92" s="33" t="s">
        <v>1797</v>
      </c>
      <c r="J92" s="30" t="s">
        <v>1798</v>
      </c>
      <c r="K92" s="33" t="s">
        <v>1799</v>
      </c>
      <c r="L92" s="30" t="s">
        <v>1800</v>
      </c>
      <c r="M92" s="33" t="s">
        <v>1801</v>
      </c>
      <c r="N92" s="30" t="s">
        <v>1802</v>
      </c>
      <c r="O92" s="33" t="s">
        <v>1803</v>
      </c>
      <c r="P92" s="30" t="s">
        <v>1804</v>
      </c>
      <c r="Q92" s="30" t="s">
        <v>395</v>
      </c>
      <c r="R92" s="137" t="s">
        <v>379</v>
      </c>
      <c r="S92" s="137"/>
      <c r="T92" s="137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</row>
    <row r="93" spans="1:84" s="7" customFormat="1" ht="16.5" customHeight="1" x14ac:dyDescent="0.25">
      <c r="A93" s="14" t="s">
        <v>638</v>
      </c>
      <c r="B93" s="14" t="s">
        <v>688</v>
      </c>
      <c r="C93" s="20">
        <v>9217</v>
      </c>
      <c r="D93" s="11" t="s">
        <v>1805</v>
      </c>
      <c r="E93" s="14" t="s">
        <v>413</v>
      </c>
      <c r="F93" s="14" t="s">
        <v>2000</v>
      </c>
      <c r="G93" s="14" t="s">
        <v>1806</v>
      </c>
      <c r="H93" s="31">
        <v>134590</v>
      </c>
      <c r="I93" s="31">
        <v>134689</v>
      </c>
      <c r="J93" s="31">
        <v>99</v>
      </c>
      <c r="K93" s="31"/>
      <c r="L93" s="31"/>
      <c r="M93" s="31"/>
      <c r="N93" s="31"/>
      <c r="O93" s="31"/>
      <c r="P93" s="31"/>
      <c r="Q93" s="40">
        <v>99</v>
      </c>
      <c r="R93" s="138" t="s">
        <v>1807</v>
      </c>
      <c r="S93" s="138"/>
      <c r="T93" s="138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</row>
    <row r="94" spans="1:84" s="7" customFormat="1" ht="16.5" customHeight="1" x14ac:dyDescent="0.25">
      <c r="A94" s="14" t="s">
        <v>638</v>
      </c>
      <c r="B94" s="14" t="s">
        <v>688</v>
      </c>
      <c r="C94" s="20">
        <v>9217</v>
      </c>
      <c r="D94" s="14" t="s">
        <v>1808</v>
      </c>
      <c r="E94" s="14" t="s">
        <v>413</v>
      </c>
      <c r="F94" s="14" t="s">
        <v>867</v>
      </c>
      <c r="G94" s="14" t="s">
        <v>1809</v>
      </c>
      <c r="H94" s="31">
        <v>68080</v>
      </c>
      <c r="I94" s="31">
        <v>68082</v>
      </c>
      <c r="J94" s="31">
        <v>2</v>
      </c>
      <c r="K94" s="31"/>
      <c r="L94" s="31"/>
      <c r="M94" s="31"/>
      <c r="N94" s="31"/>
      <c r="O94" s="31"/>
      <c r="P94" s="31"/>
      <c r="Q94" s="40">
        <v>2</v>
      </c>
      <c r="R94" s="138" t="s">
        <v>1810</v>
      </c>
      <c r="S94" s="138"/>
      <c r="T94" s="138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</row>
    <row r="95" spans="1:84" s="7" customFormat="1" ht="16.5" customHeight="1" x14ac:dyDescent="0.25">
      <c r="A95" s="14" t="s">
        <v>939</v>
      </c>
      <c r="B95" s="14" t="s">
        <v>954</v>
      </c>
      <c r="C95" s="19">
        <v>9678</v>
      </c>
      <c r="D95" s="14" t="s">
        <v>1811</v>
      </c>
      <c r="E95" s="14" t="s">
        <v>413</v>
      </c>
      <c r="F95" s="14" t="s">
        <v>2001</v>
      </c>
      <c r="G95" s="14" t="s">
        <v>1812</v>
      </c>
      <c r="H95" s="31">
        <v>255215</v>
      </c>
      <c r="I95" s="31">
        <v>255215</v>
      </c>
      <c r="J95" s="31">
        <v>0</v>
      </c>
      <c r="K95" s="31">
        <v>255215</v>
      </c>
      <c r="L95" s="31">
        <v>0</v>
      </c>
      <c r="M95" s="31">
        <v>255215</v>
      </c>
      <c r="N95" s="31">
        <v>0</v>
      </c>
      <c r="O95" s="31">
        <v>255215</v>
      </c>
      <c r="P95" s="31">
        <v>0</v>
      </c>
      <c r="Q95" s="31">
        <v>0</v>
      </c>
      <c r="R95" s="138" t="s">
        <v>1813</v>
      </c>
      <c r="S95" s="138"/>
      <c r="T95" s="138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</row>
    <row r="96" spans="1:84" s="7" customFormat="1" ht="16.5" customHeight="1" x14ac:dyDescent="0.25">
      <c r="A96" s="14" t="s">
        <v>939</v>
      </c>
      <c r="B96" s="14" t="s">
        <v>954</v>
      </c>
      <c r="C96" s="19">
        <v>9678</v>
      </c>
      <c r="D96" s="14" t="s">
        <v>956</v>
      </c>
      <c r="E96" s="14" t="s">
        <v>417</v>
      </c>
      <c r="F96" s="14" t="s">
        <v>2002</v>
      </c>
      <c r="G96" s="14" t="s">
        <v>233</v>
      </c>
      <c r="H96" s="31">
        <v>301567</v>
      </c>
      <c r="I96" s="31">
        <v>302401</v>
      </c>
      <c r="J96" s="31">
        <v>834</v>
      </c>
      <c r="K96" s="31">
        <v>303891</v>
      </c>
      <c r="L96" s="31">
        <v>1490</v>
      </c>
      <c r="M96" s="31">
        <v>305464</v>
      </c>
      <c r="N96" s="31">
        <v>1573</v>
      </c>
      <c r="O96" s="31">
        <v>306044</v>
      </c>
      <c r="P96" s="31">
        <v>580</v>
      </c>
      <c r="Q96" s="31">
        <v>4477</v>
      </c>
      <c r="R96" s="138" t="s">
        <v>1814</v>
      </c>
      <c r="S96" s="138"/>
      <c r="T96" s="138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</row>
    <row r="97" spans="1:86" ht="52.5" customHeight="1" x14ac:dyDescent="0.25">
      <c r="A97" s="30" t="s">
        <v>404</v>
      </c>
      <c r="B97" s="30" t="s">
        <v>405</v>
      </c>
      <c r="C97" s="30" t="s">
        <v>406</v>
      </c>
      <c r="D97" s="30" t="s">
        <v>407</v>
      </c>
      <c r="E97" s="30" t="s">
        <v>408</v>
      </c>
      <c r="F97" s="30" t="s">
        <v>409</v>
      </c>
      <c r="G97" s="30" t="s">
        <v>0</v>
      </c>
      <c r="H97" s="33" t="s">
        <v>1815</v>
      </c>
      <c r="I97" s="33" t="s">
        <v>1816</v>
      </c>
      <c r="J97" s="30" t="s">
        <v>1817</v>
      </c>
      <c r="K97" s="33" t="s">
        <v>1818</v>
      </c>
      <c r="L97" s="30" t="s">
        <v>1819</v>
      </c>
      <c r="M97" s="33" t="s">
        <v>1820</v>
      </c>
      <c r="N97" s="30" t="s">
        <v>1821</v>
      </c>
      <c r="O97" s="33" t="s">
        <v>1822</v>
      </c>
      <c r="P97" s="30" t="s">
        <v>1823</v>
      </c>
      <c r="Q97" s="33" t="s">
        <v>1824</v>
      </c>
      <c r="R97" s="30" t="s">
        <v>1825</v>
      </c>
      <c r="S97" s="30" t="s">
        <v>395</v>
      </c>
      <c r="T97" s="30" t="s">
        <v>379</v>
      </c>
    </row>
    <row r="98" spans="1:86" s="7" customFormat="1" ht="16.5" customHeight="1" x14ac:dyDescent="0.25">
      <c r="A98" s="14" t="s">
        <v>1008</v>
      </c>
      <c r="B98" s="21" t="s">
        <v>1025</v>
      </c>
      <c r="C98" s="20">
        <v>9503</v>
      </c>
      <c r="D98" s="14" t="s">
        <v>1826</v>
      </c>
      <c r="E98" s="14" t="s">
        <v>413</v>
      </c>
      <c r="F98" s="14" t="s">
        <v>2003</v>
      </c>
      <c r="G98" s="14" t="s">
        <v>378</v>
      </c>
      <c r="H98" s="31">
        <v>35755</v>
      </c>
      <c r="I98" s="31">
        <v>35888</v>
      </c>
      <c r="J98" s="31">
        <v>133</v>
      </c>
      <c r="K98" s="31">
        <v>35901</v>
      </c>
      <c r="L98" s="31">
        <v>13</v>
      </c>
      <c r="M98" s="31">
        <v>35946</v>
      </c>
      <c r="N98" s="31">
        <v>45</v>
      </c>
      <c r="O98" s="31">
        <v>35977</v>
      </c>
      <c r="P98" s="31">
        <v>31</v>
      </c>
      <c r="Q98" s="31">
        <v>35981</v>
      </c>
      <c r="R98" s="31">
        <v>4</v>
      </c>
      <c r="S98" s="31">
        <v>226</v>
      </c>
      <c r="T98" s="14" t="s">
        <v>1827</v>
      </c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</row>
    <row r="99" spans="1:86" s="7" customFormat="1" ht="52.5" customHeight="1" x14ac:dyDescent="0.25">
      <c r="A99" s="30" t="s">
        <v>404</v>
      </c>
      <c r="B99" s="30" t="s">
        <v>405</v>
      </c>
      <c r="C99" s="30" t="s">
        <v>406</v>
      </c>
      <c r="D99" s="30" t="s">
        <v>407</v>
      </c>
      <c r="E99" s="30" t="s">
        <v>408</v>
      </c>
      <c r="F99" s="30" t="s">
        <v>409</v>
      </c>
      <c r="G99" s="30" t="s">
        <v>0</v>
      </c>
      <c r="H99" s="41">
        <v>42886</v>
      </c>
      <c r="I99" s="33" t="s">
        <v>1828</v>
      </c>
      <c r="J99" s="30" t="s">
        <v>1829</v>
      </c>
      <c r="K99" s="33" t="s">
        <v>1830</v>
      </c>
      <c r="L99" s="30" t="s">
        <v>1831</v>
      </c>
      <c r="M99" s="33" t="s">
        <v>1832</v>
      </c>
      <c r="N99" s="30" t="s">
        <v>1833</v>
      </c>
      <c r="O99" s="33" t="s">
        <v>1834</v>
      </c>
      <c r="P99" s="30" t="s">
        <v>1835</v>
      </c>
      <c r="Q99" s="33" t="s">
        <v>1836</v>
      </c>
      <c r="R99" s="30" t="s">
        <v>1837</v>
      </c>
      <c r="S99" s="30" t="s">
        <v>395</v>
      </c>
      <c r="T99" s="30" t="s">
        <v>379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</row>
    <row r="100" spans="1:86" s="7" customFormat="1" ht="16.5" customHeight="1" x14ac:dyDescent="0.25">
      <c r="A100" s="14" t="s">
        <v>767</v>
      </c>
      <c r="B100" s="14" t="s">
        <v>815</v>
      </c>
      <c r="C100" s="20">
        <v>9288</v>
      </c>
      <c r="D100" s="14" t="s">
        <v>1838</v>
      </c>
      <c r="E100" s="14" t="s">
        <v>413</v>
      </c>
      <c r="F100" s="14" t="s">
        <v>2004</v>
      </c>
      <c r="G100" s="14" t="s">
        <v>1839</v>
      </c>
      <c r="H100" s="31">
        <v>57524</v>
      </c>
      <c r="I100" s="31">
        <v>57543</v>
      </c>
      <c r="J100" s="31">
        <v>19</v>
      </c>
      <c r="K100" s="31">
        <v>57589</v>
      </c>
      <c r="L100" s="31">
        <v>46</v>
      </c>
      <c r="M100" s="31">
        <v>57597</v>
      </c>
      <c r="N100" s="31">
        <v>8</v>
      </c>
      <c r="O100" s="31"/>
      <c r="P100" s="31"/>
      <c r="Q100" s="31"/>
      <c r="R100" s="31"/>
      <c r="S100" s="31">
        <v>73</v>
      </c>
      <c r="T100" s="14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</row>
    <row r="101" spans="1:86" s="5" customFormat="1" ht="52.5" customHeight="1" x14ac:dyDescent="0.25">
      <c r="A101" s="30" t="s">
        <v>404</v>
      </c>
      <c r="B101" s="30" t="s">
        <v>405</v>
      </c>
      <c r="C101" s="30" t="s">
        <v>406</v>
      </c>
      <c r="D101" s="30" t="s">
        <v>407</v>
      </c>
      <c r="E101" s="30" t="s">
        <v>408</v>
      </c>
      <c r="F101" s="30" t="s">
        <v>409</v>
      </c>
      <c r="G101" s="30" t="s">
        <v>0</v>
      </c>
      <c r="H101" s="41" t="s">
        <v>1840</v>
      </c>
      <c r="I101" s="33" t="s">
        <v>1841</v>
      </c>
      <c r="J101" s="33" t="s">
        <v>1842</v>
      </c>
      <c r="K101" s="33" t="s">
        <v>1843</v>
      </c>
      <c r="L101" s="33" t="s">
        <v>1844</v>
      </c>
      <c r="M101" s="33" t="s">
        <v>1845</v>
      </c>
      <c r="N101" s="33" t="s">
        <v>1846</v>
      </c>
      <c r="O101" s="33" t="s">
        <v>1847</v>
      </c>
      <c r="P101" s="33" t="s">
        <v>1848</v>
      </c>
      <c r="Q101" s="33" t="s">
        <v>1849</v>
      </c>
      <c r="R101" s="33" t="s">
        <v>1850</v>
      </c>
      <c r="S101" s="30" t="s">
        <v>395</v>
      </c>
      <c r="T101" s="30" t="s">
        <v>379</v>
      </c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</row>
    <row r="102" spans="1:86" s="7" customFormat="1" ht="16.5" customHeight="1" x14ac:dyDescent="0.25">
      <c r="A102" s="14" t="s">
        <v>767</v>
      </c>
      <c r="B102" s="14" t="s">
        <v>865</v>
      </c>
      <c r="C102" s="20">
        <v>9928</v>
      </c>
      <c r="D102" s="14" t="s">
        <v>866</v>
      </c>
      <c r="E102" s="14" t="s">
        <v>413</v>
      </c>
      <c r="F102" s="14" t="s">
        <v>2005</v>
      </c>
      <c r="G102" s="14" t="s">
        <v>1851</v>
      </c>
      <c r="H102" s="31">
        <v>80339</v>
      </c>
      <c r="I102" s="31">
        <v>80464</v>
      </c>
      <c r="J102" s="31">
        <v>125</v>
      </c>
      <c r="K102" s="31">
        <v>80494</v>
      </c>
      <c r="L102" s="31">
        <v>30</v>
      </c>
      <c r="M102" s="31"/>
      <c r="N102" s="31"/>
      <c r="O102" s="31"/>
      <c r="P102" s="31"/>
      <c r="Q102" s="31"/>
      <c r="R102" s="31"/>
      <c r="S102" s="31">
        <v>155</v>
      </c>
      <c r="T102" s="14" t="s">
        <v>1852</v>
      </c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6"/>
      <c r="BX102" s="6"/>
      <c r="BY102" s="6"/>
      <c r="BZ102" s="6"/>
      <c r="CA102" s="6"/>
      <c r="CB102" s="6"/>
      <c r="CC102" s="6"/>
      <c r="CD102" s="6"/>
      <c r="CE102" s="6"/>
      <c r="CF102" s="6"/>
    </row>
    <row r="103" spans="1:86" s="7" customFormat="1" ht="16.5" customHeight="1" x14ac:dyDescent="0.25">
      <c r="A103" s="14" t="s">
        <v>1008</v>
      </c>
      <c r="B103" s="14" t="s">
        <v>1049</v>
      </c>
      <c r="C103" s="20">
        <v>9611</v>
      </c>
      <c r="D103" s="14" t="s">
        <v>1050</v>
      </c>
      <c r="E103" s="14" t="s">
        <v>417</v>
      </c>
      <c r="F103" s="14" t="s">
        <v>2006</v>
      </c>
      <c r="G103" s="14" t="s">
        <v>9</v>
      </c>
      <c r="H103" s="31">
        <v>416587</v>
      </c>
      <c r="I103" s="31">
        <v>417264</v>
      </c>
      <c r="J103" s="31">
        <v>677</v>
      </c>
      <c r="K103" s="31">
        <v>417264</v>
      </c>
      <c r="L103" s="31">
        <v>0</v>
      </c>
      <c r="M103" s="31">
        <v>418252</v>
      </c>
      <c r="N103" s="31">
        <v>988</v>
      </c>
      <c r="O103" s="31"/>
      <c r="P103" s="31"/>
      <c r="Q103" s="31"/>
      <c r="R103" s="31"/>
      <c r="S103" s="31">
        <v>1665</v>
      </c>
      <c r="T103" s="14" t="s">
        <v>2034</v>
      </c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6"/>
      <c r="BX103" s="6"/>
      <c r="BY103" s="6"/>
      <c r="BZ103" s="6"/>
      <c r="CA103" s="6"/>
      <c r="CB103" s="6"/>
      <c r="CC103" s="6"/>
      <c r="CD103" s="6"/>
      <c r="CE103" s="6"/>
      <c r="CF103" s="6"/>
    </row>
    <row r="104" spans="1:86" ht="52.5" customHeight="1" x14ac:dyDescent="0.25">
      <c r="A104" s="30" t="s">
        <v>404</v>
      </c>
      <c r="B104" s="30" t="s">
        <v>405</v>
      </c>
      <c r="C104" s="30" t="s">
        <v>406</v>
      </c>
      <c r="D104" s="30" t="s">
        <v>407</v>
      </c>
      <c r="E104" s="30" t="s">
        <v>408</v>
      </c>
      <c r="F104" s="30" t="s">
        <v>409</v>
      </c>
      <c r="G104" s="30" t="s">
        <v>0</v>
      </c>
      <c r="H104" s="41" t="s">
        <v>1853</v>
      </c>
      <c r="I104" s="33" t="s">
        <v>1854</v>
      </c>
      <c r="J104" s="33" t="s">
        <v>1855</v>
      </c>
      <c r="K104" s="33" t="s">
        <v>1856</v>
      </c>
      <c r="L104" s="33" t="s">
        <v>1857</v>
      </c>
      <c r="M104" s="33" t="s">
        <v>1858</v>
      </c>
      <c r="N104" s="33" t="s">
        <v>1859</v>
      </c>
      <c r="O104" s="33" t="s">
        <v>1860</v>
      </c>
      <c r="P104" s="33" t="s">
        <v>1861</v>
      </c>
      <c r="Q104" s="33" t="s">
        <v>1862</v>
      </c>
      <c r="R104" s="33" t="s">
        <v>1863</v>
      </c>
      <c r="S104" s="30" t="s">
        <v>395</v>
      </c>
      <c r="T104" s="30" t="s">
        <v>379</v>
      </c>
    </row>
    <row r="105" spans="1:86" s="7" customFormat="1" ht="16.5" customHeight="1" x14ac:dyDescent="0.25">
      <c r="A105" s="14" t="s">
        <v>767</v>
      </c>
      <c r="B105" s="14" t="s">
        <v>852</v>
      </c>
      <c r="C105" s="20">
        <v>9289</v>
      </c>
      <c r="D105" s="14" t="s">
        <v>1864</v>
      </c>
      <c r="E105" s="14" t="s">
        <v>413</v>
      </c>
      <c r="F105" s="14" t="s">
        <v>2007</v>
      </c>
      <c r="G105" s="14" t="s">
        <v>1865</v>
      </c>
      <c r="H105" s="31">
        <v>94466</v>
      </c>
      <c r="I105" s="31">
        <v>94474</v>
      </c>
      <c r="J105" s="31">
        <v>8</v>
      </c>
      <c r="K105" s="31"/>
      <c r="L105" s="31"/>
      <c r="M105" s="31"/>
      <c r="N105" s="31"/>
      <c r="O105" s="31"/>
      <c r="P105" s="31"/>
      <c r="Q105" s="31"/>
      <c r="R105" s="31"/>
      <c r="S105" s="31">
        <v>8</v>
      </c>
      <c r="T105" s="14" t="s">
        <v>1866</v>
      </c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</row>
    <row r="106" spans="1:86" s="7" customFormat="1" ht="16.5" customHeight="1" x14ac:dyDescent="0.25">
      <c r="A106" s="14" t="s">
        <v>767</v>
      </c>
      <c r="B106" s="14" t="s">
        <v>842</v>
      </c>
      <c r="C106" s="20">
        <v>9238</v>
      </c>
      <c r="D106" s="14" t="s">
        <v>843</v>
      </c>
      <c r="E106" s="14" t="s">
        <v>417</v>
      </c>
      <c r="F106" s="14" t="s">
        <v>2008</v>
      </c>
      <c r="G106" s="14" t="s">
        <v>148</v>
      </c>
      <c r="H106" s="31">
        <v>441948</v>
      </c>
      <c r="I106" s="31">
        <v>442628</v>
      </c>
      <c r="J106" s="31">
        <v>680</v>
      </c>
      <c r="K106" s="31">
        <v>443319</v>
      </c>
      <c r="L106" s="31">
        <v>691</v>
      </c>
      <c r="M106" s="31">
        <v>443736</v>
      </c>
      <c r="N106" s="31">
        <v>417</v>
      </c>
      <c r="O106" s="31">
        <v>443736</v>
      </c>
      <c r="P106" s="31">
        <v>0</v>
      </c>
      <c r="Q106" s="31"/>
      <c r="R106" s="31"/>
      <c r="S106" s="31">
        <v>1788</v>
      </c>
      <c r="T106" s="14" t="s">
        <v>1867</v>
      </c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</row>
    <row r="107" spans="1:86" s="7" customFormat="1" ht="52.5" customHeight="1" x14ac:dyDescent="0.25">
      <c r="A107" s="30" t="s">
        <v>404</v>
      </c>
      <c r="B107" s="30" t="s">
        <v>405</v>
      </c>
      <c r="C107" s="30" t="s">
        <v>406</v>
      </c>
      <c r="D107" s="30" t="s">
        <v>407</v>
      </c>
      <c r="E107" s="30" t="s">
        <v>408</v>
      </c>
      <c r="F107" s="30" t="s">
        <v>409</v>
      </c>
      <c r="G107" s="30" t="s">
        <v>0</v>
      </c>
      <c r="H107" s="41" t="s">
        <v>1868</v>
      </c>
      <c r="I107" s="33" t="s">
        <v>1869</v>
      </c>
      <c r="J107" s="33" t="s">
        <v>1870</v>
      </c>
      <c r="K107" s="33" t="s">
        <v>1871</v>
      </c>
      <c r="L107" s="33" t="s">
        <v>1872</v>
      </c>
      <c r="M107" s="33" t="s">
        <v>1873</v>
      </c>
      <c r="N107" s="33" t="s">
        <v>1874</v>
      </c>
      <c r="O107" s="33" t="s">
        <v>1875</v>
      </c>
      <c r="P107" s="33" t="s">
        <v>1876</v>
      </c>
      <c r="Q107" s="33" t="s">
        <v>1877</v>
      </c>
      <c r="R107" s="33" t="s">
        <v>1480</v>
      </c>
      <c r="S107" s="30" t="s">
        <v>395</v>
      </c>
      <c r="T107" s="30" t="s">
        <v>379</v>
      </c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</row>
    <row r="108" spans="1:86" s="7" customFormat="1" ht="16.5" customHeight="1" x14ac:dyDescent="0.25">
      <c r="A108" s="14" t="s">
        <v>459</v>
      </c>
      <c r="B108" s="14" t="s">
        <v>475</v>
      </c>
      <c r="C108" s="19">
        <v>9425</v>
      </c>
      <c r="D108" s="11" t="s">
        <v>1878</v>
      </c>
      <c r="E108" s="14" t="s">
        <v>413</v>
      </c>
      <c r="F108" s="14" t="s">
        <v>2009</v>
      </c>
      <c r="G108" s="14" t="s">
        <v>62</v>
      </c>
      <c r="H108" s="31">
        <v>306743</v>
      </c>
      <c r="I108" s="31">
        <v>306766</v>
      </c>
      <c r="J108" s="31">
        <v>23</v>
      </c>
      <c r="K108" s="31">
        <v>306774</v>
      </c>
      <c r="L108" s="31">
        <v>8</v>
      </c>
      <c r="M108" s="31">
        <v>306774</v>
      </c>
      <c r="N108" s="31">
        <v>0</v>
      </c>
      <c r="O108" s="31">
        <v>306774</v>
      </c>
      <c r="P108" s="31">
        <v>0</v>
      </c>
      <c r="Q108" s="31"/>
      <c r="R108" s="31"/>
      <c r="S108" s="31">
        <v>31</v>
      </c>
      <c r="T108" s="14" t="s">
        <v>1879</v>
      </c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</row>
    <row r="109" spans="1:86" s="7" customFormat="1" ht="16.5" customHeight="1" x14ac:dyDescent="0.25">
      <c r="A109" s="14" t="s">
        <v>1008</v>
      </c>
      <c r="B109" s="14" t="s">
        <v>1029</v>
      </c>
      <c r="C109" s="20">
        <v>9504</v>
      </c>
      <c r="D109" s="14" t="s">
        <v>1880</v>
      </c>
      <c r="E109" s="14" t="s">
        <v>413</v>
      </c>
      <c r="F109" s="15" t="s">
        <v>1881</v>
      </c>
      <c r="G109" s="14" t="s">
        <v>1882</v>
      </c>
      <c r="H109" s="31">
        <v>87751</v>
      </c>
      <c r="I109" s="31">
        <v>87868</v>
      </c>
      <c r="J109" s="31">
        <v>117</v>
      </c>
      <c r="K109" s="31">
        <v>87923</v>
      </c>
      <c r="L109" s="31">
        <v>55</v>
      </c>
      <c r="M109" s="31">
        <v>88027</v>
      </c>
      <c r="N109" s="31">
        <v>104</v>
      </c>
      <c r="O109" s="31">
        <v>88110</v>
      </c>
      <c r="P109" s="31">
        <v>83</v>
      </c>
      <c r="Q109" s="31">
        <v>88122</v>
      </c>
      <c r="R109" s="31">
        <v>12</v>
      </c>
      <c r="S109" s="31">
        <v>371</v>
      </c>
      <c r="T109" s="42" t="s">
        <v>1883</v>
      </c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</row>
    <row r="110" spans="1:86" s="7" customFormat="1" ht="16.5" customHeight="1" x14ac:dyDescent="0.25">
      <c r="A110" s="14" t="s">
        <v>578</v>
      </c>
      <c r="B110" s="14" t="s">
        <v>605</v>
      </c>
      <c r="C110" s="19">
        <v>9839</v>
      </c>
      <c r="D110" s="14" t="s">
        <v>606</v>
      </c>
      <c r="E110" s="14" t="s">
        <v>417</v>
      </c>
      <c r="F110" s="14" t="s">
        <v>2010</v>
      </c>
      <c r="G110" s="14" t="s">
        <v>1884</v>
      </c>
      <c r="H110" s="31">
        <v>453893</v>
      </c>
      <c r="I110" s="31">
        <v>455221</v>
      </c>
      <c r="J110" s="31">
        <v>1328</v>
      </c>
      <c r="K110" s="31">
        <v>456372</v>
      </c>
      <c r="L110" s="31">
        <v>1151</v>
      </c>
      <c r="M110" s="31">
        <v>457620</v>
      </c>
      <c r="N110" s="31">
        <v>1248</v>
      </c>
      <c r="O110" s="31">
        <v>459053</v>
      </c>
      <c r="P110" s="31">
        <v>1433</v>
      </c>
      <c r="Q110" s="31">
        <v>459285</v>
      </c>
      <c r="R110" s="31">
        <v>232</v>
      </c>
      <c r="S110" s="31">
        <v>5392</v>
      </c>
      <c r="T110" s="14" t="s">
        <v>1885</v>
      </c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</row>
    <row r="111" spans="1:86" ht="52.5" customHeight="1" x14ac:dyDescent="0.25">
      <c r="A111" s="30" t="s">
        <v>404</v>
      </c>
      <c r="B111" s="30" t="s">
        <v>405</v>
      </c>
      <c r="C111" s="30" t="s">
        <v>406</v>
      </c>
      <c r="D111" s="30" t="s">
        <v>407</v>
      </c>
      <c r="E111" s="30" t="s">
        <v>408</v>
      </c>
      <c r="F111" s="30" t="s">
        <v>409</v>
      </c>
      <c r="G111" s="30" t="s">
        <v>0</v>
      </c>
      <c r="H111" s="41">
        <v>43039</v>
      </c>
      <c r="I111" s="33" t="s">
        <v>1886</v>
      </c>
      <c r="J111" s="33" t="s">
        <v>1887</v>
      </c>
      <c r="K111" s="33" t="s">
        <v>1888</v>
      </c>
      <c r="L111" s="33" t="s">
        <v>1889</v>
      </c>
      <c r="M111" s="33" t="s">
        <v>1890</v>
      </c>
      <c r="N111" s="33" t="s">
        <v>1891</v>
      </c>
      <c r="O111" s="33" t="s">
        <v>1892</v>
      </c>
      <c r="P111" s="33" t="s">
        <v>1893</v>
      </c>
      <c r="Q111" s="33" t="s">
        <v>1894</v>
      </c>
      <c r="R111" s="33" t="s">
        <v>1625</v>
      </c>
      <c r="S111" s="30" t="s">
        <v>395</v>
      </c>
      <c r="T111" s="30" t="s">
        <v>379</v>
      </c>
    </row>
    <row r="112" spans="1:86" s="7" customFormat="1" ht="57.75" customHeight="1" x14ac:dyDescent="0.25">
      <c r="A112" s="14" t="s">
        <v>410</v>
      </c>
      <c r="B112" s="14" t="s">
        <v>411</v>
      </c>
      <c r="C112" s="19">
        <v>9875</v>
      </c>
      <c r="D112" s="14" t="s">
        <v>412</v>
      </c>
      <c r="E112" s="14" t="s">
        <v>413</v>
      </c>
      <c r="F112" s="14" t="s">
        <v>2011</v>
      </c>
      <c r="G112" s="14" t="s">
        <v>30</v>
      </c>
      <c r="H112" s="31">
        <v>370465</v>
      </c>
      <c r="I112" s="31">
        <v>371296</v>
      </c>
      <c r="J112" s="31">
        <v>831</v>
      </c>
      <c r="K112" s="31">
        <v>371560</v>
      </c>
      <c r="L112" s="31">
        <v>264</v>
      </c>
      <c r="M112" s="31"/>
      <c r="N112" s="31"/>
      <c r="O112" s="31"/>
      <c r="P112" s="31"/>
      <c r="Q112" s="31"/>
      <c r="R112" s="31"/>
      <c r="S112" s="31">
        <v>1095</v>
      </c>
      <c r="T112" s="43" t="s">
        <v>1895</v>
      </c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</row>
    <row r="113" spans="1:110" s="7" customFormat="1" ht="57.75" customHeight="1" x14ac:dyDescent="0.25">
      <c r="A113" s="14" t="s">
        <v>578</v>
      </c>
      <c r="B113" s="14" t="s">
        <v>605</v>
      </c>
      <c r="C113" s="19">
        <v>9839</v>
      </c>
      <c r="D113" s="14" t="s">
        <v>1896</v>
      </c>
      <c r="E113" s="14" t="s">
        <v>413</v>
      </c>
      <c r="F113" s="14" t="s">
        <v>2012</v>
      </c>
      <c r="G113" s="14" t="s">
        <v>1897</v>
      </c>
      <c r="H113" s="31">
        <v>384097</v>
      </c>
      <c r="I113" s="31">
        <v>384182</v>
      </c>
      <c r="J113" s="31">
        <v>85</v>
      </c>
      <c r="K113" s="8">
        <v>384197</v>
      </c>
      <c r="L113" s="8">
        <v>15</v>
      </c>
      <c r="M113" s="31"/>
      <c r="N113" s="31"/>
      <c r="O113" s="31"/>
      <c r="P113" s="31"/>
      <c r="Q113" s="31"/>
      <c r="R113" s="31"/>
      <c r="S113" s="31">
        <v>100</v>
      </c>
      <c r="T113" s="43" t="s">
        <v>1898</v>
      </c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</row>
    <row r="114" spans="1:110" s="6" customFormat="1" ht="16.5" customHeight="1" x14ac:dyDescent="0.25">
      <c r="A114" s="11" t="s">
        <v>578</v>
      </c>
      <c r="B114" s="11" t="s">
        <v>622</v>
      </c>
      <c r="C114" s="24">
        <v>9402</v>
      </c>
      <c r="D114" s="11" t="s">
        <v>623</v>
      </c>
      <c r="E114" s="11" t="s">
        <v>417</v>
      </c>
      <c r="F114" s="11" t="s">
        <v>2013</v>
      </c>
      <c r="G114" s="11" t="s">
        <v>93</v>
      </c>
      <c r="H114" s="36">
        <v>238112</v>
      </c>
      <c r="I114" s="36">
        <v>238117</v>
      </c>
      <c r="J114" s="36">
        <v>5</v>
      </c>
      <c r="K114" s="11">
        <v>238117</v>
      </c>
      <c r="L114" s="8">
        <v>0</v>
      </c>
      <c r="M114" s="36"/>
      <c r="N114" s="36"/>
      <c r="O114" s="36"/>
      <c r="P114" s="36"/>
      <c r="Q114" s="36"/>
      <c r="R114" s="36"/>
      <c r="S114" s="36">
        <v>5</v>
      </c>
      <c r="T114" s="14" t="s">
        <v>1899</v>
      </c>
    </row>
    <row r="115" spans="1:110" s="7" customFormat="1" ht="43.5" customHeight="1" x14ac:dyDescent="0.25">
      <c r="A115" s="14" t="s">
        <v>578</v>
      </c>
      <c r="B115" s="14" t="s">
        <v>594</v>
      </c>
      <c r="C115" s="19">
        <v>9831</v>
      </c>
      <c r="D115" s="14" t="s">
        <v>595</v>
      </c>
      <c r="E115" s="14" t="s">
        <v>417</v>
      </c>
      <c r="F115" s="14" t="s">
        <v>2014</v>
      </c>
      <c r="G115" s="14" t="s">
        <v>167</v>
      </c>
      <c r="H115" s="31">
        <v>484752</v>
      </c>
      <c r="I115" s="31">
        <v>484752</v>
      </c>
      <c r="J115" s="31">
        <v>0</v>
      </c>
      <c r="K115" s="8">
        <v>484752</v>
      </c>
      <c r="L115" s="8">
        <v>0</v>
      </c>
      <c r="M115" s="31">
        <v>484752</v>
      </c>
      <c r="N115" s="31">
        <v>0</v>
      </c>
      <c r="O115" s="31"/>
      <c r="P115" s="31"/>
      <c r="Q115" s="31"/>
      <c r="R115" s="31"/>
      <c r="S115" s="31">
        <v>0</v>
      </c>
      <c r="T115" s="43" t="s">
        <v>1900</v>
      </c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</row>
    <row r="116" spans="1:110" s="7" customFormat="1" ht="16.5" customHeight="1" x14ac:dyDescent="0.25">
      <c r="A116" s="14" t="s">
        <v>578</v>
      </c>
      <c r="B116" s="14" t="s">
        <v>619</v>
      </c>
      <c r="C116" s="20">
        <v>9832</v>
      </c>
      <c r="D116" s="14" t="s">
        <v>620</v>
      </c>
      <c r="E116" s="14" t="s">
        <v>413</v>
      </c>
      <c r="F116" s="14" t="s">
        <v>2015</v>
      </c>
      <c r="G116" s="14" t="s">
        <v>310</v>
      </c>
      <c r="H116" s="31">
        <v>162442</v>
      </c>
      <c r="I116" s="31">
        <v>162442</v>
      </c>
      <c r="J116" s="31">
        <v>0</v>
      </c>
      <c r="K116" s="8">
        <v>162442</v>
      </c>
      <c r="L116" s="8">
        <v>0</v>
      </c>
      <c r="M116" s="31">
        <v>162442</v>
      </c>
      <c r="N116" s="31">
        <v>0</v>
      </c>
      <c r="O116" s="31"/>
      <c r="P116" s="31"/>
      <c r="Q116" s="31"/>
      <c r="R116" s="31"/>
      <c r="S116" s="31">
        <v>0</v>
      </c>
      <c r="T116" s="14" t="s">
        <v>1901</v>
      </c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</row>
    <row r="117" spans="1:110" s="7" customFormat="1" ht="16.5" customHeight="1" x14ac:dyDescent="0.25">
      <c r="A117" s="14" t="s">
        <v>578</v>
      </c>
      <c r="B117" s="14" t="s">
        <v>617</v>
      </c>
      <c r="C117" s="19">
        <v>9448</v>
      </c>
      <c r="D117" s="14" t="s">
        <v>618</v>
      </c>
      <c r="E117" s="14" t="s">
        <v>417</v>
      </c>
      <c r="F117" s="14" t="s">
        <v>2016</v>
      </c>
      <c r="G117" s="14" t="s">
        <v>195</v>
      </c>
      <c r="H117" s="31">
        <v>267862</v>
      </c>
      <c r="I117" s="31">
        <v>268140</v>
      </c>
      <c r="J117" s="31">
        <v>278</v>
      </c>
      <c r="K117" s="8">
        <v>268480</v>
      </c>
      <c r="L117" s="8">
        <v>340</v>
      </c>
      <c r="M117" s="31">
        <v>268539</v>
      </c>
      <c r="N117" s="31">
        <v>59</v>
      </c>
      <c r="O117" s="31"/>
      <c r="P117" s="31"/>
      <c r="Q117" s="31"/>
      <c r="R117" s="31"/>
      <c r="S117" s="31">
        <v>677</v>
      </c>
      <c r="T117" s="14" t="s">
        <v>1902</v>
      </c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</row>
    <row r="118" spans="1:110" s="7" customFormat="1" ht="16.5" customHeight="1" x14ac:dyDescent="0.25">
      <c r="A118" s="14" t="s">
        <v>578</v>
      </c>
      <c r="B118" s="14" t="s">
        <v>600</v>
      </c>
      <c r="C118" s="19">
        <v>9833</v>
      </c>
      <c r="D118" s="14" t="s">
        <v>604</v>
      </c>
      <c r="E118" s="14" t="s">
        <v>417</v>
      </c>
      <c r="F118" s="14" t="s">
        <v>2017</v>
      </c>
      <c r="G118" s="14" t="s">
        <v>304</v>
      </c>
      <c r="H118" s="31">
        <v>563730</v>
      </c>
      <c r="I118" s="31">
        <v>564530</v>
      </c>
      <c r="J118" s="31">
        <v>800</v>
      </c>
      <c r="K118" s="8">
        <v>565757</v>
      </c>
      <c r="L118" s="8">
        <v>1227</v>
      </c>
      <c r="M118" s="8">
        <v>567177</v>
      </c>
      <c r="N118" s="8">
        <v>1420</v>
      </c>
      <c r="O118" s="31">
        <v>568586</v>
      </c>
      <c r="P118" s="31">
        <v>1409</v>
      </c>
      <c r="Q118" s="31"/>
      <c r="R118" s="31"/>
      <c r="S118" s="31">
        <v>3447</v>
      </c>
      <c r="T118" s="14" t="s">
        <v>1903</v>
      </c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</row>
    <row r="119" spans="1:110" s="9" customFormat="1" ht="16.5" customHeight="1" x14ac:dyDescent="0.25">
      <c r="A119" s="11" t="s">
        <v>578</v>
      </c>
      <c r="B119" s="11" t="s">
        <v>622</v>
      </c>
      <c r="C119" s="24">
        <v>9402</v>
      </c>
      <c r="D119" s="11" t="s">
        <v>623</v>
      </c>
      <c r="E119" s="11" t="s">
        <v>413</v>
      </c>
      <c r="F119" s="11" t="s">
        <v>1904</v>
      </c>
      <c r="G119" s="11" t="s">
        <v>93</v>
      </c>
      <c r="H119" s="31">
        <v>384197</v>
      </c>
      <c r="I119" s="8">
        <v>384197</v>
      </c>
      <c r="J119" s="31">
        <v>0</v>
      </c>
      <c r="K119" s="8">
        <v>384221</v>
      </c>
      <c r="L119" s="8">
        <v>24</v>
      </c>
      <c r="M119" s="8">
        <v>384341</v>
      </c>
      <c r="N119" s="8">
        <v>120</v>
      </c>
      <c r="O119" s="8">
        <v>384350</v>
      </c>
      <c r="P119" s="8">
        <v>9</v>
      </c>
      <c r="Q119" s="8"/>
      <c r="R119" s="8"/>
      <c r="S119" s="31">
        <v>144</v>
      </c>
      <c r="T119" s="14" t="s">
        <v>1905</v>
      </c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</row>
    <row r="120" spans="1:110" s="7" customFormat="1" ht="16.5" customHeight="1" x14ac:dyDescent="0.25">
      <c r="A120" s="14" t="s">
        <v>520</v>
      </c>
      <c r="B120" s="14" t="s">
        <v>521</v>
      </c>
      <c r="C120" s="23">
        <v>9393</v>
      </c>
      <c r="D120" s="11" t="s">
        <v>1906</v>
      </c>
      <c r="E120" s="11" t="s">
        <v>413</v>
      </c>
      <c r="F120" s="11" t="s">
        <v>2018</v>
      </c>
      <c r="G120" s="11" t="s">
        <v>1907</v>
      </c>
      <c r="H120" s="8">
        <v>155378</v>
      </c>
      <c r="I120" s="8">
        <v>155378</v>
      </c>
      <c r="J120" s="8">
        <v>0</v>
      </c>
      <c r="K120" s="8">
        <v>155378</v>
      </c>
      <c r="L120" s="8">
        <v>0</v>
      </c>
      <c r="M120" s="8"/>
      <c r="N120" s="8"/>
      <c r="O120" s="8"/>
      <c r="P120" s="8"/>
      <c r="Q120" s="8"/>
      <c r="R120" s="8"/>
      <c r="S120" s="31">
        <v>0</v>
      </c>
      <c r="T120" s="43" t="s">
        <v>1908</v>
      </c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</row>
    <row r="121" spans="1:110" s="7" customFormat="1" ht="16.5" customHeight="1" x14ac:dyDescent="0.25">
      <c r="A121" s="15" t="s">
        <v>638</v>
      </c>
      <c r="B121" s="21" t="s">
        <v>642</v>
      </c>
      <c r="C121" s="19">
        <v>9905</v>
      </c>
      <c r="D121" s="14" t="s">
        <v>1909</v>
      </c>
      <c r="E121" s="15" t="s">
        <v>413</v>
      </c>
      <c r="F121" s="14" t="s">
        <v>2019</v>
      </c>
      <c r="G121" s="15" t="s">
        <v>1910</v>
      </c>
      <c r="H121" s="8">
        <v>150253</v>
      </c>
      <c r="I121" s="8">
        <v>150253</v>
      </c>
      <c r="J121" s="8">
        <v>0</v>
      </c>
      <c r="K121" s="8">
        <v>150253</v>
      </c>
      <c r="L121" s="8">
        <v>0</v>
      </c>
      <c r="M121" s="8"/>
      <c r="N121" s="8"/>
      <c r="O121" s="8"/>
      <c r="P121" s="8"/>
      <c r="Q121" s="8"/>
      <c r="R121" s="8"/>
      <c r="S121" s="31">
        <v>0</v>
      </c>
      <c r="T121" s="43" t="s">
        <v>1911</v>
      </c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</row>
    <row r="122" spans="1:110" s="7" customFormat="1" ht="16.5" customHeight="1" x14ac:dyDescent="0.25">
      <c r="A122" s="14" t="s">
        <v>437</v>
      </c>
      <c r="B122" s="21" t="s">
        <v>454</v>
      </c>
      <c r="C122" s="20">
        <v>9873</v>
      </c>
      <c r="D122" s="14" t="s">
        <v>1912</v>
      </c>
      <c r="E122" s="14" t="s">
        <v>413</v>
      </c>
      <c r="F122" s="14" t="s">
        <v>2020</v>
      </c>
      <c r="G122" s="14" t="s">
        <v>1913</v>
      </c>
      <c r="H122" s="8">
        <v>47969</v>
      </c>
      <c r="I122" s="8">
        <v>47969</v>
      </c>
      <c r="J122" s="8">
        <v>0</v>
      </c>
      <c r="K122" s="8">
        <v>47973</v>
      </c>
      <c r="L122" s="8">
        <v>4</v>
      </c>
      <c r="M122" s="8">
        <v>47978</v>
      </c>
      <c r="N122" s="8">
        <v>5</v>
      </c>
      <c r="O122" s="8"/>
      <c r="P122" s="8"/>
      <c r="Q122" s="8"/>
      <c r="R122" s="8"/>
      <c r="S122" s="31">
        <v>9</v>
      </c>
      <c r="T122" s="43" t="s">
        <v>1914</v>
      </c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</row>
    <row r="123" spans="1:110" s="5" customFormat="1" ht="52.5" customHeight="1" x14ac:dyDescent="0.25">
      <c r="A123" s="30" t="s">
        <v>404</v>
      </c>
      <c r="B123" s="30" t="s">
        <v>405</v>
      </c>
      <c r="C123" s="30" t="s">
        <v>406</v>
      </c>
      <c r="D123" s="30" t="s">
        <v>407</v>
      </c>
      <c r="E123" s="30" t="s">
        <v>408</v>
      </c>
      <c r="F123" s="30" t="s">
        <v>409</v>
      </c>
      <c r="G123" s="30" t="s">
        <v>0</v>
      </c>
      <c r="H123" s="41" t="s">
        <v>1915</v>
      </c>
      <c r="I123" s="44" t="s">
        <v>1916</v>
      </c>
      <c r="J123" s="44" t="s">
        <v>1917</v>
      </c>
      <c r="K123" s="45" t="s">
        <v>1918</v>
      </c>
      <c r="L123" s="45" t="s">
        <v>1919</v>
      </c>
      <c r="M123" s="46" t="s">
        <v>1920</v>
      </c>
      <c r="N123" s="46" t="s">
        <v>1921</v>
      </c>
      <c r="O123" s="47" t="s">
        <v>1922</v>
      </c>
      <c r="P123" s="47" t="s">
        <v>1923</v>
      </c>
      <c r="Q123" s="48" t="s">
        <v>1924</v>
      </c>
      <c r="R123" s="48" t="s">
        <v>1664</v>
      </c>
      <c r="S123" s="30" t="s">
        <v>395</v>
      </c>
      <c r="T123" s="33" t="s">
        <v>379</v>
      </c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110" s="7" customFormat="1" ht="16.5" customHeight="1" x14ac:dyDescent="0.25">
      <c r="A124" s="14" t="s">
        <v>868</v>
      </c>
      <c r="B124" s="14" t="s">
        <v>892</v>
      </c>
      <c r="C124" s="20">
        <v>9854</v>
      </c>
      <c r="D124" s="14" t="s">
        <v>894</v>
      </c>
      <c r="E124" s="14" t="s">
        <v>413</v>
      </c>
      <c r="F124" s="14" t="s">
        <v>895</v>
      </c>
      <c r="G124" s="14" t="s">
        <v>263</v>
      </c>
      <c r="H124" s="8">
        <v>15527</v>
      </c>
      <c r="I124" s="8">
        <v>15527</v>
      </c>
      <c r="J124" s="8">
        <v>0</v>
      </c>
      <c r="K124" s="8">
        <v>15532</v>
      </c>
      <c r="L124" s="8">
        <v>5</v>
      </c>
      <c r="M124" s="8"/>
      <c r="N124" s="8"/>
      <c r="O124" s="8"/>
      <c r="P124" s="8"/>
      <c r="Q124" s="8"/>
      <c r="R124" s="8"/>
      <c r="S124" s="31">
        <v>5</v>
      </c>
      <c r="T124" s="49" t="s">
        <v>1925</v>
      </c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</row>
    <row r="125" spans="1:110" ht="16.5" customHeight="1" x14ac:dyDescent="0.25">
      <c r="A125" s="30" t="s">
        <v>404</v>
      </c>
      <c r="B125" s="30" t="s">
        <v>405</v>
      </c>
      <c r="C125" s="30" t="s">
        <v>406</v>
      </c>
      <c r="D125" s="30" t="s">
        <v>407</v>
      </c>
      <c r="E125" s="30" t="s">
        <v>408</v>
      </c>
      <c r="F125" s="30" t="s">
        <v>409</v>
      </c>
      <c r="G125" s="30" t="s">
        <v>0</v>
      </c>
      <c r="H125" s="137" t="s">
        <v>1926</v>
      </c>
      <c r="I125" s="137"/>
      <c r="J125" s="137"/>
      <c r="K125" s="137"/>
      <c r="L125" s="137"/>
      <c r="M125" s="137"/>
    </row>
    <row r="126" spans="1:110" ht="16.5" customHeight="1" x14ac:dyDescent="0.25">
      <c r="A126" s="14" t="s">
        <v>459</v>
      </c>
      <c r="B126" s="14" t="s">
        <v>481</v>
      </c>
      <c r="C126" s="20">
        <v>9479</v>
      </c>
      <c r="D126" s="14" t="s">
        <v>482</v>
      </c>
      <c r="E126" s="14" t="s">
        <v>413</v>
      </c>
      <c r="F126" s="14" t="s">
        <v>1106</v>
      </c>
      <c r="G126" s="14" t="s">
        <v>138</v>
      </c>
      <c r="H126" s="50">
        <v>63259</v>
      </c>
      <c r="I126" s="136" t="s">
        <v>1471</v>
      </c>
      <c r="J126" s="136"/>
      <c r="K126" s="136"/>
      <c r="L126" s="136"/>
      <c r="M126" s="136"/>
      <c r="N126" s="34"/>
      <c r="O126" s="34"/>
      <c r="P126" s="34"/>
      <c r="Q126" s="34"/>
      <c r="R126" s="34"/>
      <c r="S126" s="34"/>
      <c r="T126" s="34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</row>
    <row r="127" spans="1:110" s="7" customFormat="1" ht="16.5" customHeight="1" x14ac:dyDescent="0.25">
      <c r="A127" s="14" t="s">
        <v>520</v>
      </c>
      <c r="B127" s="14" t="s">
        <v>557</v>
      </c>
      <c r="C127" s="24">
        <v>9382</v>
      </c>
      <c r="D127" s="11" t="s">
        <v>558</v>
      </c>
      <c r="E127" s="11" t="s">
        <v>413</v>
      </c>
      <c r="F127" s="11" t="s">
        <v>1159</v>
      </c>
      <c r="G127" s="11" t="s">
        <v>306</v>
      </c>
      <c r="H127" s="27">
        <v>66678</v>
      </c>
      <c r="I127" s="136" t="s">
        <v>1471</v>
      </c>
      <c r="J127" s="136"/>
      <c r="K127" s="136"/>
      <c r="L127" s="136"/>
      <c r="M127" s="13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</row>
    <row r="128" spans="1:110" ht="16.5" customHeight="1" x14ac:dyDescent="0.25">
      <c r="A128" s="14" t="s">
        <v>520</v>
      </c>
      <c r="B128" s="14" t="s">
        <v>552</v>
      </c>
      <c r="C128" s="20">
        <v>9310</v>
      </c>
      <c r="D128" s="14" t="s">
        <v>553</v>
      </c>
      <c r="E128" s="14" t="s">
        <v>417</v>
      </c>
      <c r="F128" s="14" t="s">
        <v>1155</v>
      </c>
      <c r="G128" s="14" t="s">
        <v>122</v>
      </c>
      <c r="H128" s="27">
        <v>193229</v>
      </c>
      <c r="I128" s="136" t="s">
        <v>1927</v>
      </c>
      <c r="J128" s="136"/>
      <c r="K128" s="136"/>
      <c r="L128" s="136"/>
      <c r="M128" s="136"/>
      <c r="N128" s="34"/>
      <c r="O128" s="34"/>
      <c r="P128" s="34"/>
      <c r="Q128" s="34"/>
      <c r="R128" s="34"/>
      <c r="S128" s="34"/>
      <c r="T128" s="34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</row>
    <row r="129" spans="1:110" s="7" customFormat="1" ht="16.5" customHeight="1" x14ac:dyDescent="0.25">
      <c r="A129" s="14" t="s">
        <v>638</v>
      </c>
      <c r="B129" s="14" t="s">
        <v>683</v>
      </c>
      <c r="C129" s="20">
        <v>9235</v>
      </c>
      <c r="D129" s="11" t="s">
        <v>684</v>
      </c>
      <c r="E129" s="14" t="s">
        <v>417</v>
      </c>
      <c r="F129" s="14" t="s">
        <v>1225</v>
      </c>
      <c r="G129" s="14" t="s">
        <v>142</v>
      </c>
      <c r="H129" s="27">
        <v>324067</v>
      </c>
      <c r="I129" s="136" t="s">
        <v>1467</v>
      </c>
      <c r="J129" s="136"/>
      <c r="K129" s="136"/>
      <c r="L129" s="136"/>
      <c r="M129" s="13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</row>
    <row r="130" spans="1:110" s="7" customFormat="1" ht="16.5" customHeight="1" x14ac:dyDescent="0.25">
      <c r="A130" s="14" t="s">
        <v>638</v>
      </c>
      <c r="B130" s="14" t="s">
        <v>683</v>
      </c>
      <c r="C130" s="20">
        <v>9235</v>
      </c>
      <c r="D130" s="11" t="s">
        <v>685</v>
      </c>
      <c r="E130" s="14" t="s">
        <v>413</v>
      </c>
      <c r="F130" s="14" t="s">
        <v>1226</v>
      </c>
      <c r="G130" s="14" t="s">
        <v>245</v>
      </c>
      <c r="H130" s="27">
        <v>160394</v>
      </c>
      <c r="I130" s="136" t="s">
        <v>1467</v>
      </c>
      <c r="J130" s="136"/>
      <c r="K130" s="136"/>
      <c r="L130" s="136"/>
      <c r="M130" s="13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</row>
    <row r="131" spans="1:110" ht="16.5" customHeight="1" x14ac:dyDescent="0.25">
      <c r="A131" s="15" t="s">
        <v>702</v>
      </c>
      <c r="B131" s="21" t="s">
        <v>703</v>
      </c>
      <c r="C131" s="19">
        <v>9342</v>
      </c>
      <c r="D131" s="14" t="s">
        <v>704</v>
      </c>
      <c r="E131" s="15" t="s">
        <v>413</v>
      </c>
      <c r="F131" s="14" t="s">
        <v>1236</v>
      </c>
      <c r="G131" s="15" t="s">
        <v>374</v>
      </c>
      <c r="H131" s="27">
        <v>130424</v>
      </c>
      <c r="I131" s="136" t="s">
        <v>1928</v>
      </c>
      <c r="J131" s="136"/>
      <c r="K131" s="136"/>
      <c r="L131" s="136"/>
      <c r="M131" s="136"/>
      <c r="N131" s="34"/>
      <c r="O131" s="34"/>
      <c r="P131" s="34"/>
      <c r="Q131" s="34"/>
      <c r="R131" s="34"/>
      <c r="S131" s="34"/>
      <c r="T131" s="34" t="s">
        <v>2071</v>
      </c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</row>
    <row r="132" spans="1:110" ht="16.5" customHeight="1" x14ac:dyDescent="0.25">
      <c r="A132" s="14" t="s">
        <v>702</v>
      </c>
      <c r="B132" s="14" t="s">
        <v>719</v>
      </c>
      <c r="C132" s="19">
        <v>9293</v>
      </c>
      <c r="D132" s="14" t="s">
        <v>720</v>
      </c>
      <c r="E132" s="14" t="s">
        <v>417</v>
      </c>
      <c r="F132" s="14" t="s">
        <v>1245</v>
      </c>
      <c r="G132" s="14" t="s">
        <v>86</v>
      </c>
      <c r="H132" s="27">
        <v>263606</v>
      </c>
      <c r="I132" s="136" t="s">
        <v>1061</v>
      </c>
      <c r="J132" s="136"/>
      <c r="K132" s="136"/>
      <c r="L132" s="136"/>
      <c r="M132" s="136"/>
      <c r="N132" s="34"/>
      <c r="O132" s="34"/>
      <c r="P132" s="34"/>
      <c r="Q132" s="34"/>
      <c r="R132" s="34"/>
      <c r="S132" s="34"/>
      <c r="T132" s="34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</row>
    <row r="133" spans="1:110" ht="16.5" customHeight="1" x14ac:dyDescent="0.25">
      <c r="A133" s="14" t="s">
        <v>702</v>
      </c>
      <c r="B133" s="14" t="s">
        <v>719</v>
      </c>
      <c r="C133" s="19">
        <v>9293</v>
      </c>
      <c r="D133" s="14" t="s">
        <v>721</v>
      </c>
      <c r="E133" s="14" t="s">
        <v>413</v>
      </c>
      <c r="F133" s="14" t="s">
        <v>1246</v>
      </c>
      <c r="G133" s="14" t="s">
        <v>314</v>
      </c>
      <c r="H133" s="27">
        <v>69822</v>
      </c>
      <c r="I133" s="136" t="s">
        <v>1061</v>
      </c>
      <c r="J133" s="136"/>
      <c r="K133" s="136"/>
      <c r="L133" s="136"/>
      <c r="M133" s="136"/>
      <c r="N133" s="34"/>
      <c r="O133" s="34"/>
      <c r="P133" s="34"/>
      <c r="Q133" s="34"/>
      <c r="R133" s="34"/>
      <c r="S133" s="34"/>
      <c r="T133" s="34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</row>
    <row r="134" spans="1:110" s="7" customFormat="1" ht="16.5" customHeight="1" x14ac:dyDescent="0.25">
      <c r="A134" s="14" t="s">
        <v>868</v>
      </c>
      <c r="B134" s="14" t="s">
        <v>892</v>
      </c>
      <c r="C134" s="20">
        <v>9854</v>
      </c>
      <c r="D134" s="14" t="s">
        <v>894</v>
      </c>
      <c r="E134" s="14" t="s">
        <v>413</v>
      </c>
      <c r="F134" s="14" t="s">
        <v>895</v>
      </c>
      <c r="G134" s="14" t="s">
        <v>263</v>
      </c>
      <c r="H134" s="27">
        <v>15532</v>
      </c>
      <c r="I134" s="136" t="s">
        <v>1929</v>
      </c>
      <c r="J134" s="136"/>
      <c r="K134" s="136"/>
      <c r="L134" s="136"/>
      <c r="M134" s="13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</row>
    <row r="135" spans="1:110" ht="16.5" customHeight="1" x14ac:dyDescent="0.25">
      <c r="A135" s="14" t="s">
        <v>868</v>
      </c>
      <c r="B135" s="14" t="s">
        <v>933</v>
      </c>
      <c r="C135" s="20">
        <v>9819</v>
      </c>
      <c r="D135" s="14" t="s">
        <v>934</v>
      </c>
      <c r="E135" s="14" t="s">
        <v>413</v>
      </c>
      <c r="F135" s="14" t="s">
        <v>1387</v>
      </c>
      <c r="G135" s="14" t="s">
        <v>230</v>
      </c>
      <c r="H135" s="27">
        <v>246453</v>
      </c>
      <c r="I135" s="136" t="s">
        <v>1470</v>
      </c>
      <c r="J135" s="136"/>
      <c r="K135" s="136"/>
      <c r="L135" s="136"/>
      <c r="M135" s="136"/>
      <c r="N135" s="34"/>
      <c r="O135" s="34"/>
      <c r="P135" s="34"/>
      <c r="Q135" s="34"/>
      <c r="R135" s="34"/>
      <c r="S135" s="34"/>
      <c r="T135" s="34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</row>
    <row r="136" spans="1:110" ht="16.5" customHeight="1" x14ac:dyDescent="0.25">
      <c r="A136" s="14" t="s">
        <v>868</v>
      </c>
      <c r="B136" s="14" t="s">
        <v>933</v>
      </c>
      <c r="C136" s="20">
        <v>9819</v>
      </c>
      <c r="D136" s="14" t="s">
        <v>935</v>
      </c>
      <c r="E136" s="14" t="s">
        <v>417</v>
      </c>
      <c r="F136" s="14" t="s">
        <v>1388</v>
      </c>
      <c r="G136" s="14" t="s">
        <v>243</v>
      </c>
      <c r="H136" s="27">
        <v>329329</v>
      </c>
      <c r="I136" s="136" t="s">
        <v>1470</v>
      </c>
      <c r="J136" s="136"/>
      <c r="K136" s="136"/>
      <c r="L136" s="136"/>
      <c r="M136" s="136"/>
      <c r="N136" s="34"/>
      <c r="O136" s="34"/>
      <c r="P136" s="34"/>
      <c r="Q136" s="34"/>
      <c r="R136" s="34"/>
      <c r="S136" s="34"/>
      <c r="T136" s="34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</row>
    <row r="137" spans="1:110" ht="16.5" customHeight="1" x14ac:dyDescent="0.25">
      <c r="A137" s="14" t="s">
        <v>939</v>
      </c>
      <c r="B137" s="14" t="s">
        <v>958</v>
      </c>
      <c r="C137" s="19">
        <v>9571</v>
      </c>
      <c r="D137" s="14" t="s">
        <v>959</v>
      </c>
      <c r="E137" s="14" t="s">
        <v>413</v>
      </c>
      <c r="F137" s="14" t="s">
        <v>1400</v>
      </c>
      <c r="G137" s="14" t="s">
        <v>18</v>
      </c>
      <c r="H137" s="27">
        <v>62495</v>
      </c>
      <c r="I137" s="136" t="s">
        <v>1931</v>
      </c>
      <c r="J137" s="136"/>
      <c r="K137" s="136"/>
      <c r="L137" s="136"/>
      <c r="M137" s="136"/>
      <c r="N137" s="34"/>
      <c r="O137" s="34"/>
      <c r="P137" s="34"/>
      <c r="Q137" s="34"/>
      <c r="R137" s="34"/>
      <c r="S137" s="34"/>
      <c r="T137" s="34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</row>
    <row r="138" spans="1:110" s="7" customFormat="1" ht="16.5" customHeight="1" x14ac:dyDescent="0.25">
      <c r="A138" s="15" t="s">
        <v>1008</v>
      </c>
      <c r="B138" s="21" t="s">
        <v>1014</v>
      </c>
      <c r="C138" s="19">
        <v>9651</v>
      </c>
      <c r="D138" s="14" t="s">
        <v>1015</v>
      </c>
      <c r="E138" s="15" t="s">
        <v>413</v>
      </c>
      <c r="F138" s="14" t="s">
        <v>1435</v>
      </c>
      <c r="G138" s="15" t="s">
        <v>353</v>
      </c>
      <c r="H138" s="55">
        <v>31915</v>
      </c>
      <c r="I138" s="133" t="s">
        <v>1471</v>
      </c>
      <c r="J138" s="134"/>
      <c r="K138" s="134"/>
      <c r="L138" s="134"/>
      <c r="M138" s="135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</row>
    <row r="139" spans="1:110" ht="16.5" customHeight="1" x14ac:dyDescent="0.25">
      <c r="A139" s="14" t="s">
        <v>939</v>
      </c>
      <c r="B139" s="14" t="s">
        <v>992</v>
      </c>
      <c r="C139" s="19">
        <v>9610</v>
      </c>
      <c r="D139" s="14" t="s">
        <v>995</v>
      </c>
      <c r="E139" s="14" t="s">
        <v>413</v>
      </c>
      <c r="F139" s="14" t="s">
        <v>1428</v>
      </c>
      <c r="G139" s="14" t="s">
        <v>18</v>
      </c>
      <c r="H139" s="55">
        <v>62495</v>
      </c>
      <c r="I139" s="133" t="s">
        <v>1932</v>
      </c>
      <c r="J139" s="134"/>
      <c r="K139" s="134"/>
      <c r="L139" s="134"/>
      <c r="M139" s="135"/>
    </row>
    <row r="140" spans="1:110" ht="16.5" customHeight="1" x14ac:dyDescent="0.25">
      <c r="A140" s="14" t="s">
        <v>638</v>
      </c>
      <c r="B140" s="14" t="s">
        <v>679</v>
      </c>
      <c r="C140" s="56">
        <v>9222</v>
      </c>
      <c r="D140" s="14" t="s">
        <v>682</v>
      </c>
      <c r="E140" s="14" t="s">
        <v>413</v>
      </c>
      <c r="F140" s="14" t="s">
        <v>1224</v>
      </c>
      <c r="G140" s="14" t="s">
        <v>309</v>
      </c>
      <c r="H140" s="55">
        <v>283122</v>
      </c>
      <c r="I140" s="133" t="s">
        <v>1933</v>
      </c>
      <c r="J140" s="134"/>
      <c r="K140" s="134"/>
      <c r="L140" s="134"/>
      <c r="M140" s="135"/>
    </row>
    <row r="141" spans="1:110" ht="16.5" customHeight="1" x14ac:dyDescent="0.25">
      <c r="A141" s="14" t="s">
        <v>2021</v>
      </c>
      <c r="B141" s="14" t="s">
        <v>2024</v>
      </c>
      <c r="C141" s="19" t="s">
        <v>2022</v>
      </c>
      <c r="D141" s="14" t="s">
        <v>2023</v>
      </c>
      <c r="E141" s="14" t="s">
        <v>2025</v>
      </c>
      <c r="F141" s="14" t="s">
        <v>2027</v>
      </c>
      <c r="G141" s="14" t="s">
        <v>2026</v>
      </c>
      <c r="H141" s="55">
        <v>1082107</v>
      </c>
      <c r="I141" s="133" t="s">
        <v>2028</v>
      </c>
      <c r="J141" s="134"/>
      <c r="K141" s="134"/>
      <c r="L141" s="134"/>
      <c r="M141" s="135"/>
    </row>
    <row r="142" spans="1:110" ht="16.5" customHeight="1" x14ac:dyDescent="0.25">
      <c r="A142" s="14" t="s">
        <v>2021</v>
      </c>
      <c r="B142" s="14" t="s">
        <v>2054</v>
      </c>
      <c r="C142" s="19" t="s">
        <v>2055</v>
      </c>
      <c r="D142" s="14" t="s">
        <v>2056</v>
      </c>
      <c r="E142" s="14" t="s">
        <v>2025</v>
      </c>
      <c r="F142" s="14" t="s">
        <v>2057</v>
      </c>
      <c r="G142" s="14" t="s">
        <v>2058</v>
      </c>
      <c r="H142" s="55">
        <v>519866</v>
      </c>
      <c r="I142" s="133" t="s">
        <v>2059</v>
      </c>
      <c r="J142" s="134"/>
      <c r="K142" s="134"/>
      <c r="L142" s="134"/>
      <c r="M142" s="135"/>
    </row>
    <row r="143" spans="1:110" ht="16.5" customHeight="1" x14ac:dyDescent="0.25">
      <c r="A143" s="14" t="s">
        <v>2021</v>
      </c>
      <c r="B143" s="14" t="s">
        <v>2060</v>
      </c>
      <c r="C143" s="19" t="s">
        <v>2061</v>
      </c>
      <c r="D143" s="14" t="s">
        <v>2062</v>
      </c>
      <c r="E143" s="14" t="s">
        <v>2025</v>
      </c>
      <c r="F143" s="14" t="s">
        <v>2063</v>
      </c>
      <c r="G143" s="14" t="s">
        <v>2064</v>
      </c>
      <c r="H143" s="55"/>
      <c r="I143" s="133" t="s">
        <v>2065</v>
      </c>
      <c r="J143" s="134" t="s">
        <v>2065</v>
      </c>
      <c r="K143" s="134"/>
      <c r="L143" s="134"/>
      <c r="M143" s="135"/>
    </row>
    <row r="144" spans="1:110" ht="16.5" customHeight="1" x14ac:dyDescent="0.25">
      <c r="A144" s="14" t="s">
        <v>520</v>
      </c>
      <c r="B144" s="14" t="s">
        <v>555</v>
      </c>
      <c r="C144" s="58">
        <v>9388</v>
      </c>
      <c r="D144" s="14" t="s">
        <v>556</v>
      </c>
      <c r="E144" s="14" t="s">
        <v>417</v>
      </c>
      <c r="F144" s="14" t="s">
        <v>1158</v>
      </c>
      <c r="G144" s="14" t="s">
        <v>6</v>
      </c>
      <c r="H144" s="55">
        <f>VLOOKUP(G144:G595,'[1]Dispositivos exportados de HP W'!$C$2:$D$592,2,FALSE)</f>
        <v>458544</v>
      </c>
      <c r="I144" s="136" t="s">
        <v>2053</v>
      </c>
      <c r="J144" s="136"/>
      <c r="K144" s="136"/>
      <c r="L144" s="136"/>
      <c r="M144" s="136"/>
    </row>
    <row r="167" spans="10:14" ht="16.5" customHeight="1" x14ac:dyDescent="0.25">
      <c r="J167" s="133"/>
      <c r="K167" s="134"/>
      <c r="L167" s="134"/>
      <c r="M167" s="134"/>
      <c r="N167" s="135"/>
    </row>
  </sheetData>
  <autoFilter ref="A1:DF144"/>
  <mergeCells count="26">
    <mergeCell ref="J167:N167"/>
    <mergeCell ref="I142:M142"/>
    <mergeCell ref="I143:M143"/>
    <mergeCell ref="I141:M141"/>
    <mergeCell ref="I144:M144"/>
    <mergeCell ref="I131:M131"/>
    <mergeCell ref="I132:M132"/>
    <mergeCell ref="I133:M133"/>
    <mergeCell ref="I134:M134"/>
    <mergeCell ref="I135:M135"/>
    <mergeCell ref="I140:M140"/>
    <mergeCell ref="I139:M139"/>
    <mergeCell ref="I137:M137"/>
    <mergeCell ref="I138:M138"/>
    <mergeCell ref="R92:T92"/>
    <mergeCell ref="R93:T93"/>
    <mergeCell ref="R94:T94"/>
    <mergeCell ref="R95:T95"/>
    <mergeCell ref="R96:T96"/>
    <mergeCell ref="I126:M126"/>
    <mergeCell ref="I128:M128"/>
    <mergeCell ref="H125:M125"/>
    <mergeCell ref="I129:M129"/>
    <mergeCell ref="I130:M130"/>
    <mergeCell ref="I127:M127"/>
    <mergeCell ref="I136:M136"/>
  </mergeCells>
  <conditionalFormatting sqref="F100:G100">
    <cfRule type="duplicateValues" dxfId="628" priority="320"/>
    <cfRule type="duplicateValues" dxfId="627" priority="321"/>
  </conditionalFormatting>
  <conditionalFormatting sqref="F102:G102">
    <cfRule type="duplicateValues" dxfId="626" priority="317"/>
    <cfRule type="duplicateValues" dxfId="625" priority="318"/>
  </conditionalFormatting>
  <conditionalFormatting sqref="F102">
    <cfRule type="duplicateValues" dxfId="624" priority="319"/>
  </conditionalFormatting>
  <conditionalFormatting sqref="F103:G103">
    <cfRule type="duplicateValues" dxfId="623" priority="314"/>
    <cfRule type="duplicateValues" dxfId="622" priority="315"/>
  </conditionalFormatting>
  <conditionalFormatting sqref="F103">
    <cfRule type="duplicateValues" dxfId="621" priority="316"/>
  </conditionalFormatting>
  <conditionalFormatting sqref="F105:G105">
    <cfRule type="duplicateValues" dxfId="620" priority="311"/>
    <cfRule type="duplicateValues" dxfId="619" priority="312"/>
  </conditionalFormatting>
  <conditionalFormatting sqref="F105">
    <cfRule type="duplicateValues" dxfId="618" priority="313"/>
  </conditionalFormatting>
  <conditionalFormatting sqref="F106:G106">
    <cfRule type="duplicateValues" dxfId="617" priority="308"/>
    <cfRule type="duplicateValues" dxfId="616" priority="309"/>
  </conditionalFormatting>
  <conditionalFormatting sqref="F106">
    <cfRule type="duplicateValues" dxfId="615" priority="310"/>
  </conditionalFormatting>
  <conditionalFormatting sqref="F108:G108">
    <cfRule type="duplicateValues" dxfId="614" priority="305"/>
    <cfRule type="duplicateValues" dxfId="613" priority="306"/>
  </conditionalFormatting>
  <conditionalFormatting sqref="F108">
    <cfRule type="duplicateValues" dxfId="612" priority="307"/>
  </conditionalFormatting>
  <conditionalFormatting sqref="F109:G109">
    <cfRule type="duplicateValues" dxfId="611" priority="302"/>
    <cfRule type="duplicateValues" dxfId="610" priority="303"/>
  </conditionalFormatting>
  <conditionalFormatting sqref="F109">
    <cfRule type="duplicateValues" dxfId="609" priority="304"/>
  </conditionalFormatting>
  <conditionalFormatting sqref="F110:G110">
    <cfRule type="duplicateValues" dxfId="608" priority="299"/>
    <cfRule type="duplicateValues" dxfId="607" priority="300"/>
  </conditionalFormatting>
  <conditionalFormatting sqref="F110">
    <cfRule type="duplicateValues" dxfId="606" priority="301"/>
  </conditionalFormatting>
  <conditionalFormatting sqref="F112:G112">
    <cfRule type="duplicateValues" dxfId="605" priority="296"/>
    <cfRule type="duplicateValues" dxfId="604" priority="297"/>
  </conditionalFormatting>
  <conditionalFormatting sqref="F112">
    <cfRule type="duplicateValues" dxfId="603" priority="298"/>
  </conditionalFormatting>
  <conditionalFormatting sqref="F113:G113">
    <cfRule type="duplicateValues" dxfId="602" priority="293"/>
    <cfRule type="duplicateValues" dxfId="601" priority="294"/>
  </conditionalFormatting>
  <conditionalFormatting sqref="F113">
    <cfRule type="duplicateValues" dxfId="600" priority="295"/>
  </conditionalFormatting>
  <conditionalFormatting sqref="F114:G114">
    <cfRule type="duplicateValues" dxfId="599" priority="290"/>
    <cfRule type="duplicateValues" dxfId="598" priority="291"/>
  </conditionalFormatting>
  <conditionalFormatting sqref="F114">
    <cfRule type="duplicateValues" dxfId="597" priority="292"/>
  </conditionalFormatting>
  <conditionalFormatting sqref="F115:G115">
    <cfRule type="duplicateValues" dxfId="596" priority="287"/>
    <cfRule type="duplicateValues" dxfId="595" priority="288"/>
  </conditionalFormatting>
  <conditionalFormatting sqref="F115">
    <cfRule type="duplicateValues" dxfId="594" priority="289"/>
  </conditionalFormatting>
  <conditionalFormatting sqref="F116:G116">
    <cfRule type="duplicateValues" dxfId="593" priority="284"/>
    <cfRule type="duplicateValues" dxfId="592" priority="285"/>
  </conditionalFormatting>
  <conditionalFormatting sqref="F116">
    <cfRule type="duplicateValues" dxfId="591" priority="286"/>
  </conditionalFormatting>
  <conditionalFormatting sqref="F117:G117">
    <cfRule type="duplicateValues" dxfId="590" priority="281"/>
    <cfRule type="duplicateValues" dxfId="589" priority="282"/>
  </conditionalFormatting>
  <conditionalFormatting sqref="F117">
    <cfRule type="duplicateValues" dxfId="588" priority="283"/>
  </conditionalFormatting>
  <conditionalFormatting sqref="F118:G118">
    <cfRule type="duplicateValues" dxfId="587" priority="278"/>
    <cfRule type="duplicateValues" dxfId="586" priority="279"/>
  </conditionalFormatting>
  <conditionalFormatting sqref="F118">
    <cfRule type="duplicateValues" dxfId="585" priority="280"/>
  </conditionalFormatting>
  <conditionalFormatting sqref="F119:G119">
    <cfRule type="duplicateValues" dxfId="584" priority="275"/>
    <cfRule type="duplicateValues" dxfId="583" priority="276"/>
  </conditionalFormatting>
  <conditionalFormatting sqref="F119">
    <cfRule type="duplicateValues" dxfId="582" priority="277"/>
  </conditionalFormatting>
  <conditionalFormatting sqref="F120:G120">
    <cfRule type="duplicateValues" dxfId="581" priority="272"/>
    <cfRule type="duplicateValues" dxfId="580" priority="273"/>
  </conditionalFormatting>
  <conditionalFormatting sqref="F120">
    <cfRule type="duplicateValues" dxfId="579" priority="274"/>
  </conditionalFormatting>
  <conditionalFormatting sqref="F121:G121">
    <cfRule type="duplicateValues" dxfId="578" priority="269"/>
    <cfRule type="duplicateValues" dxfId="577" priority="270"/>
  </conditionalFormatting>
  <conditionalFormatting sqref="F121">
    <cfRule type="duplicateValues" dxfId="576" priority="271"/>
  </conditionalFormatting>
  <conditionalFormatting sqref="F122:G122">
    <cfRule type="duplicateValues" dxfId="575" priority="266"/>
    <cfRule type="duplicateValues" dxfId="574" priority="267"/>
  </conditionalFormatting>
  <conditionalFormatting sqref="F122">
    <cfRule type="duplicateValues" dxfId="573" priority="268"/>
  </conditionalFormatting>
  <conditionalFormatting sqref="F124:G124">
    <cfRule type="duplicateValues" dxfId="572" priority="263"/>
    <cfRule type="duplicateValues" dxfId="571" priority="264"/>
  </conditionalFormatting>
  <conditionalFormatting sqref="F124">
    <cfRule type="duplicateValues" dxfId="570" priority="265"/>
  </conditionalFormatting>
  <conditionalFormatting sqref="H126 H144">
    <cfRule type="cellIs" dxfId="569" priority="257" operator="equal">
      <formula>0</formula>
    </cfRule>
  </conditionalFormatting>
  <conditionalFormatting sqref="G126">
    <cfRule type="duplicateValues" dxfId="568" priority="258"/>
    <cfRule type="duplicateValues" dxfId="567" priority="259"/>
  </conditionalFormatting>
  <conditionalFormatting sqref="F126">
    <cfRule type="duplicateValues" dxfId="566" priority="260"/>
    <cfRule type="duplicateValues" dxfId="565" priority="261"/>
  </conditionalFormatting>
  <conditionalFormatting sqref="F126">
    <cfRule type="duplicateValues" dxfId="564" priority="262"/>
  </conditionalFormatting>
  <conditionalFormatting sqref="H128">
    <cfRule type="cellIs" dxfId="563" priority="247" operator="equal">
      <formula>0</formula>
    </cfRule>
  </conditionalFormatting>
  <conditionalFormatting sqref="G128">
    <cfRule type="duplicateValues" dxfId="562" priority="248"/>
    <cfRule type="duplicateValues" dxfId="561" priority="249"/>
  </conditionalFormatting>
  <conditionalFormatting sqref="F128">
    <cfRule type="duplicateValues" dxfId="560" priority="250"/>
    <cfRule type="duplicateValues" dxfId="559" priority="251"/>
  </conditionalFormatting>
  <conditionalFormatting sqref="F128">
    <cfRule type="duplicateValues" dxfId="558" priority="252"/>
  </conditionalFormatting>
  <conditionalFormatting sqref="H129:H130">
    <cfRule type="cellIs" dxfId="557" priority="237" operator="equal">
      <formula>0</formula>
    </cfRule>
  </conditionalFormatting>
  <conditionalFormatting sqref="G129:G130">
    <cfRule type="duplicateValues" dxfId="556" priority="238"/>
    <cfRule type="duplicateValues" dxfId="555" priority="239"/>
  </conditionalFormatting>
  <conditionalFormatting sqref="F129:F130">
    <cfRule type="duplicateValues" dxfId="554" priority="240"/>
    <cfRule type="duplicateValues" dxfId="553" priority="241"/>
  </conditionalFormatting>
  <conditionalFormatting sqref="F129:F130">
    <cfRule type="duplicateValues" dxfId="552" priority="242"/>
  </conditionalFormatting>
  <conditionalFormatting sqref="H131">
    <cfRule type="cellIs" dxfId="551" priority="227" operator="equal">
      <formula>0</formula>
    </cfRule>
  </conditionalFormatting>
  <conditionalFormatting sqref="G131">
    <cfRule type="duplicateValues" dxfId="550" priority="228"/>
    <cfRule type="duplicateValues" dxfId="549" priority="229"/>
  </conditionalFormatting>
  <conditionalFormatting sqref="F131">
    <cfRule type="duplicateValues" dxfId="548" priority="230"/>
    <cfRule type="duplicateValues" dxfId="547" priority="231"/>
  </conditionalFormatting>
  <conditionalFormatting sqref="F131">
    <cfRule type="duplicateValues" dxfId="546" priority="232"/>
  </conditionalFormatting>
  <conditionalFormatting sqref="H132:H133">
    <cfRule type="cellIs" dxfId="545" priority="217" operator="equal">
      <formula>0</formula>
    </cfRule>
  </conditionalFormatting>
  <conditionalFormatting sqref="G132:G133">
    <cfRule type="duplicateValues" dxfId="544" priority="218"/>
    <cfRule type="duplicateValues" dxfId="543" priority="219"/>
  </conditionalFormatting>
  <conditionalFormatting sqref="F132:F133">
    <cfRule type="duplicateValues" dxfId="542" priority="220"/>
    <cfRule type="duplicateValues" dxfId="541" priority="221"/>
  </conditionalFormatting>
  <conditionalFormatting sqref="F132:F133">
    <cfRule type="duplicateValues" dxfId="540" priority="222"/>
  </conditionalFormatting>
  <conditionalFormatting sqref="H134">
    <cfRule type="cellIs" dxfId="539" priority="207" operator="equal">
      <formula>0</formula>
    </cfRule>
  </conditionalFormatting>
  <conditionalFormatting sqref="G134">
    <cfRule type="duplicateValues" dxfId="538" priority="208"/>
    <cfRule type="duplicateValues" dxfId="537" priority="209"/>
  </conditionalFormatting>
  <conditionalFormatting sqref="F134">
    <cfRule type="duplicateValues" dxfId="536" priority="210"/>
    <cfRule type="duplicateValues" dxfId="535" priority="211"/>
  </conditionalFormatting>
  <conditionalFormatting sqref="F134">
    <cfRule type="duplicateValues" dxfId="534" priority="212"/>
  </conditionalFormatting>
  <conditionalFormatting sqref="H135:H136">
    <cfRule type="cellIs" dxfId="533" priority="197" operator="equal">
      <formula>0</formula>
    </cfRule>
  </conditionalFormatting>
  <conditionalFormatting sqref="G135:G136">
    <cfRule type="duplicateValues" dxfId="532" priority="198"/>
    <cfRule type="duplicateValues" dxfId="531" priority="199"/>
  </conditionalFormatting>
  <conditionalFormatting sqref="F135:F136">
    <cfRule type="duplicateValues" dxfId="530" priority="200"/>
    <cfRule type="duplicateValues" dxfId="529" priority="201"/>
  </conditionalFormatting>
  <conditionalFormatting sqref="F135:F136">
    <cfRule type="duplicateValues" dxfId="528" priority="202"/>
  </conditionalFormatting>
  <conditionalFormatting sqref="H137">
    <cfRule type="cellIs" dxfId="527" priority="187" operator="equal">
      <formula>0</formula>
    </cfRule>
  </conditionalFormatting>
  <conditionalFormatting sqref="H138">
    <cfRule type="cellIs" dxfId="526" priority="177" operator="equal">
      <formula>0</formula>
    </cfRule>
  </conditionalFormatting>
  <conditionalFormatting sqref="G138">
    <cfRule type="duplicateValues" dxfId="525" priority="178"/>
    <cfRule type="duplicateValues" dxfId="524" priority="179"/>
  </conditionalFormatting>
  <conditionalFormatting sqref="F138">
    <cfRule type="duplicateValues" dxfId="523" priority="180"/>
    <cfRule type="duplicateValues" dxfId="522" priority="181"/>
  </conditionalFormatting>
  <conditionalFormatting sqref="F138">
    <cfRule type="duplicateValues" dxfId="521" priority="182"/>
  </conditionalFormatting>
  <conditionalFormatting sqref="H127">
    <cfRule type="cellIs" dxfId="520" priority="167" operator="equal">
      <formula>0</formula>
    </cfRule>
  </conditionalFormatting>
  <conditionalFormatting sqref="G127">
    <cfRule type="duplicateValues" dxfId="519" priority="168"/>
    <cfRule type="duplicateValues" dxfId="518" priority="169"/>
  </conditionalFormatting>
  <conditionalFormatting sqref="F127">
    <cfRule type="duplicateValues" dxfId="517" priority="170"/>
    <cfRule type="duplicateValues" dxfId="516" priority="171"/>
  </conditionalFormatting>
  <conditionalFormatting sqref="F127">
    <cfRule type="duplicateValues" dxfId="515" priority="172"/>
  </conditionalFormatting>
  <conditionalFormatting sqref="H139">
    <cfRule type="cellIs" dxfId="514" priority="157" operator="equal">
      <formula>0</formula>
    </cfRule>
  </conditionalFormatting>
  <conditionalFormatting sqref="G139">
    <cfRule type="duplicateValues" dxfId="513" priority="158"/>
    <cfRule type="duplicateValues" dxfId="512" priority="159"/>
  </conditionalFormatting>
  <conditionalFormatting sqref="F139">
    <cfRule type="duplicateValues" dxfId="511" priority="160"/>
    <cfRule type="duplicateValues" dxfId="510" priority="161"/>
  </conditionalFormatting>
  <conditionalFormatting sqref="F139">
    <cfRule type="duplicateValues" dxfId="509" priority="162"/>
  </conditionalFormatting>
  <conditionalFormatting sqref="G140">
    <cfRule type="duplicateValues" dxfId="508" priority="152"/>
    <cfRule type="duplicateValues" dxfId="507" priority="153"/>
  </conditionalFormatting>
  <conditionalFormatting sqref="F140">
    <cfRule type="duplicateValues" dxfId="506" priority="154"/>
    <cfRule type="duplicateValues" dxfId="505" priority="155"/>
  </conditionalFormatting>
  <conditionalFormatting sqref="F140">
    <cfRule type="duplicateValues" dxfId="504" priority="156"/>
  </conditionalFormatting>
  <conditionalFormatting sqref="G140">
    <cfRule type="duplicateValues" dxfId="503" priority="150"/>
  </conditionalFormatting>
  <conditionalFormatting sqref="H140">
    <cfRule type="cellIs" dxfId="502" priority="149" operator="equal">
      <formula>0</formula>
    </cfRule>
  </conditionalFormatting>
  <conditionalFormatting sqref="H142">
    <cfRule type="cellIs" dxfId="501" priority="125" operator="equal">
      <formula>0</formula>
    </cfRule>
  </conditionalFormatting>
  <conditionalFormatting sqref="H141">
    <cfRule type="cellIs" dxfId="500" priority="131" operator="equal">
      <formula>0</formula>
    </cfRule>
  </conditionalFormatting>
  <conditionalFormatting sqref="G141">
    <cfRule type="duplicateValues" dxfId="499" priority="132"/>
    <cfRule type="duplicateValues" dxfId="498" priority="133"/>
  </conditionalFormatting>
  <conditionalFormatting sqref="F141">
    <cfRule type="duplicateValues" dxfId="497" priority="134"/>
    <cfRule type="duplicateValues" dxfId="496" priority="135"/>
  </conditionalFormatting>
  <conditionalFormatting sqref="F141">
    <cfRule type="duplicateValues" dxfId="495" priority="136"/>
  </conditionalFormatting>
  <conditionalFormatting sqref="G142">
    <cfRule type="duplicateValues" dxfId="494" priority="126"/>
    <cfRule type="duplicateValues" dxfId="493" priority="127"/>
  </conditionalFormatting>
  <conditionalFormatting sqref="F142">
    <cfRule type="duplicateValues" dxfId="492" priority="128"/>
    <cfRule type="duplicateValues" dxfId="491" priority="129"/>
  </conditionalFormatting>
  <conditionalFormatting sqref="F142">
    <cfRule type="duplicateValues" dxfId="490" priority="130"/>
  </conditionalFormatting>
  <conditionalFormatting sqref="H143">
    <cfRule type="cellIs" dxfId="489" priority="119" operator="equal">
      <formula>0</formula>
    </cfRule>
  </conditionalFormatting>
  <conditionalFormatting sqref="G143">
    <cfRule type="duplicateValues" dxfId="488" priority="120"/>
    <cfRule type="duplicateValues" dxfId="487" priority="121"/>
  </conditionalFormatting>
  <conditionalFormatting sqref="F143">
    <cfRule type="duplicateValues" dxfId="486" priority="122"/>
    <cfRule type="duplicateValues" dxfId="485" priority="123"/>
  </conditionalFormatting>
  <conditionalFormatting sqref="F143">
    <cfRule type="duplicateValues" dxfId="484" priority="124"/>
  </conditionalFormatting>
  <conditionalFormatting sqref="G144">
    <cfRule type="duplicateValues" dxfId="483" priority="386"/>
    <cfRule type="duplicateValues" dxfId="482" priority="387"/>
  </conditionalFormatting>
  <conditionalFormatting sqref="F144">
    <cfRule type="duplicateValues" dxfId="481" priority="388"/>
    <cfRule type="duplicateValues" dxfId="480" priority="389"/>
  </conditionalFormatting>
  <conditionalFormatting sqref="F144">
    <cfRule type="duplicateValues" dxfId="479" priority="390"/>
  </conditionalFormatting>
  <conditionalFormatting sqref="G137">
    <cfRule type="duplicateValues" dxfId="478" priority="391"/>
    <cfRule type="duplicateValues" dxfId="477" priority="392"/>
  </conditionalFormatting>
  <conditionalFormatting sqref="F137">
    <cfRule type="duplicateValues" dxfId="476" priority="393"/>
    <cfRule type="duplicateValues" dxfId="475" priority="394"/>
  </conditionalFormatting>
  <conditionalFormatting sqref="F137">
    <cfRule type="duplicateValues" dxfId="474" priority="395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F19"/>
  <sheetViews>
    <sheetView workbookViewId="0">
      <selection activeCell="E23" sqref="E23"/>
    </sheetView>
  </sheetViews>
  <sheetFormatPr baseColWidth="10" defaultRowHeight="15" x14ac:dyDescent="0.25"/>
  <cols>
    <col min="4" max="4" width="16.5703125" bestFit="1" customWidth="1"/>
    <col min="5" max="5" width="38.85546875" bestFit="1" customWidth="1"/>
    <col min="6" max="6" width="19.140625" customWidth="1"/>
  </cols>
  <sheetData>
    <row r="4" spans="4:6" x14ac:dyDescent="0.25">
      <c r="D4" s="18" t="s">
        <v>404</v>
      </c>
      <c r="E4" s="18" t="s">
        <v>405</v>
      </c>
    </row>
    <row r="5" spans="4:6" x14ac:dyDescent="0.25">
      <c r="D5" s="14" t="s">
        <v>459</v>
      </c>
      <c r="E5" s="14" t="s">
        <v>473</v>
      </c>
    </row>
    <row r="6" spans="4:6" x14ac:dyDescent="0.25">
      <c r="D6" s="14" t="s">
        <v>520</v>
      </c>
      <c r="E6" s="14" t="s">
        <v>533</v>
      </c>
    </row>
    <row r="7" spans="4:6" x14ac:dyDescent="0.25">
      <c r="D7" s="14" t="s">
        <v>868</v>
      </c>
      <c r="E7" s="14" t="s">
        <v>933</v>
      </c>
    </row>
    <row r="8" spans="4:6" x14ac:dyDescent="0.25">
      <c r="D8" s="14" t="s">
        <v>868</v>
      </c>
      <c r="E8" s="14" t="s">
        <v>933</v>
      </c>
    </row>
    <row r="9" spans="4:6" x14ac:dyDescent="0.25">
      <c r="D9" s="14" t="s">
        <v>868</v>
      </c>
      <c r="E9" s="14" t="s">
        <v>874</v>
      </c>
    </row>
    <row r="11" spans="4:6" ht="15" customHeight="1" x14ac:dyDescent="0.25">
      <c r="D11" s="18" t="s">
        <v>404</v>
      </c>
      <c r="E11" s="18" t="s">
        <v>405</v>
      </c>
      <c r="F11" s="18" t="s">
        <v>1463</v>
      </c>
    </row>
    <row r="12" spans="4:6" x14ac:dyDescent="0.25">
      <c r="D12" s="14" t="s">
        <v>459</v>
      </c>
      <c r="E12" s="14" t="s">
        <v>473</v>
      </c>
      <c r="F12" s="28" t="s">
        <v>1464</v>
      </c>
    </row>
    <row r="13" spans="4:6" x14ac:dyDescent="0.25">
      <c r="D13" s="14" t="s">
        <v>868</v>
      </c>
      <c r="E13" s="14" t="s">
        <v>874</v>
      </c>
      <c r="F13" s="28" t="s">
        <v>1465</v>
      </c>
    </row>
    <row r="14" spans="4:6" x14ac:dyDescent="0.25">
      <c r="D14" s="14" t="s">
        <v>868</v>
      </c>
      <c r="E14" s="14" t="s">
        <v>909</v>
      </c>
      <c r="F14" s="28" t="s">
        <v>1464</v>
      </c>
    </row>
    <row r="15" spans="4:6" x14ac:dyDescent="0.25">
      <c r="D15" s="14" t="s">
        <v>868</v>
      </c>
      <c r="E15" s="14" t="s">
        <v>909</v>
      </c>
      <c r="F15" s="28" t="s">
        <v>1465</v>
      </c>
    </row>
    <row r="16" spans="4:6" x14ac:dyDescent="0.25">
      <c r="D16" s="14" t="s">
        <v>868</v>
      </c>
      <c r="E16" s="14" t="s">
        <v>933</v>
      </c>
      <c r="F16" s="28" t="s">
        <v>1464</v>
      </c>
    </row>
    <row r="17" spans="4:6" x14ac:dyDescent="0.25">
      <c r="D17" s="14" t="s">
        <v>868</v>
      </c>
      <c r="E17" s="14" t="s">
        <v>933</v>
      </c>
      <c r="F17" s="28" t="s">
        <v>1465</v>
      </c>
    </row>
    <row r="18" spans="4:6" x14ac:dyDescent="0.25">
      <c r="D18" s="15" t="s">
        <v>868</v>
      </c>
      <c r="E18" s="21" t="s">
        <v>936</v>
      </c>
      <c r="F18" s="28" t="s">
        <v>1464</v>
      </c>
    </row>
    <row r="19" spans="4:6" x14ac:dyDescent="0.25">
      <c r="D19" s="15" t="s">
        <v>868</v>
      </c>
      <c r="E19" s="21" t="s">
        <v>936</v>
      </c>
      <c r="F19" s="28" t="s">
        <v>1465</v>
      </c>
    </row>
  </sheetData>
  <sortState ref="D5:E9">
    <sortCondition ref="D5:D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T137"/>
  <sheetViews>
    <sheetView topLeftCell="A115" workbookViewId="0">
      <selection activeCell="B143" sqref="B143"/>
    </sheetView>
  </sheetViews>
  <sheetFormatPr baseColWidth="10" defaultRowHeight="15" x14ac:dyDescent="0.25"/>
  <cols>
    <col min="1" max="1" width="17" bestFit="1" customWidth="1"/>
    <col min="2" max="2" width="38.85546875" bestFit="1" customWidth="1"/>
    <col min="7" max="7" width="12.7109375" bestFit="1" customWidth="1"/>
    <col min="8" max="8" width="11.42578125" style="3"/>
    <col min="9" max="9" width="255.7109375" bestFit="1" customWidth="1"/>
    <col min="19" max="19" width="95.7109375" bestFit="1" customWidth="1"/>
  </cols>
  <sheetData>
    <row r="1" spans="1:72" x14ac:dyDescent="0.25">
      <c r="B1" t="s">
        <v>2102</v>
      </c>
    </row>
    <row r="2" spans="1:72" s="7" customFormat="1" ht="16.5" customHeight="1" x14ac:dyDescent="0.25">
      <c r="A2" s="14" t="s">
        <v>939</v>
      </c>
      <c r="B2" s="14" t="s">
        <v>972</v>
      </c>
      <c r="C2" s="20" t="s">
        <v>973</v>
      </c>
      <c r="D2" s="14" t="s">
        <v>975</v>
      </c>
      <c r="E2" s="14" t="s">
        <v>417</v>
      </c>
      <c r="F2" s="14" t="s">
        <v>1413</v>
      </c>
      <c r="G2" s="14" t="s">
        <v>231</v>
      </c>
      <c r="H2" s="14"/>
      <c r="I2" s="69" t="s">
        <v>2039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</row>
    <row r="3" spans="1:72" s="7" customFormat="1" ht="16.5" customHeight="1" x14ac:dyDescent="0.25">
      <c r="A3" s="14" t="s">
        <v>702</v>
      </c>
      <c r="B3" s="14" t="s">
        <v>815</v>
      </c>
      <c r="C3" s="56">
        <v>9288</v>
      </c>
      <c r="D3" s="14" t="s">
        <v>816</v>
      </c>
      <c r="E3" s="14" t="s">
        <v>417</v>
      </c>
      <c r="F3" s="14" t="s">
        <v>1307</v>
      </c>
      <c r="G3" s="14" t="s">
        <v>37</v>
      </c>
      <c r="H3" s="14"/>
      <c r="I3" s="14" t="s">
        <v>2036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</row>
    <row r="4" spans="1:72" s="7" customFormat="1" ht="16.5" customHeight="1" x14ac:dyDescent="0.25">
      <c r="A4" s="15" t="s">
        <v>578</v>
      </c>
      <c r="B4" s="21" t="s">
        <v>624</v>
      </c>
      <c r="C4" s="22">
        <v>9442</v>
      </c>
      <c r="D4" s="14" t="s">
        <v>625</v>
      </c>
      <c r="E4" s="15" t="s">
        <v>417</v>
      </c>
      <c r="F4" s="14" t="s">
        <v>1189</v>
      </c>
      <c r="G4" s="15" t="s">
        <v>346</v>
      </c>
      <c r="H4" s="15"/>
      <c r="I4" s="14" t="s">
        <v>2044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</row>
    <row r="5" spans="1:72" s="7" customFormat="1" ht="16.5" customHeight="1" x14ac:dyDescent="0.25">
      <c r="A5" s="14" t="s">
        <v>578</v>
      </c>
      <c r="B5" s="14" t="s">
        <v>605</v>
      </c>
      <c r="C5" s="19">
        <v>9839</v>
      </c>
      <c r="D5" s="14" t="s">
        <v>606</v>
      </c>
      <c r="E5" s="14" t="s">
        <v>417</v>
      </c>
      <c r="F5" s="14" t="s">
        <v>607</v>
      </c>
      <c r="G5" s="14" t="s">
        <v>1057</v>
      </c>
      <c r="H5" s="14"/>
      <c r="I5" s="8" t="s">
        <v>2045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</row>
    <row r="6" spans="1:72" s="7" customFormat="1" ht="16.5" customHeight="1" x14ac:dyDescent="0.25">
      <c r="A6" s="14" t="s">
        <v>868</v>
      </c>
      <c r="B6" s="14" t="s">
        <v>890</v>
      </c>
      <c r="C6" s="56">
        <v>9883</v>
      </c>
      <c r="D6" s="14" t="s">
        <v>891</v>
      </c>
      <c r="E6" s="14" t="s">
        <v>417</v>
      </c>
      <c r="F6" s="14" t="s">
        <v>1355</v>
      </c>
      <c r="G6" s="14" t="s">
        <v>82</v>
      </c>
      <c r="H6" s="14"/>
      <c r="I6" s="14" t="s">
        <v>2043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</row>
    <row r="7" spans="1:72" s="7" customFormat="1" ht="16.5" customHeight="1" x14ac:dyDescent="0.25">
      <c r="A7" s="14" t="s">
        <v>2082</v>
      </c>
      <c r="B7" s="14" t="s">
        <v>468</v>
      </c>
      <c r="C7" s="19">
        <v>9481</v>
      </c>
      <c r="D7" s="14" t="s">
        <v>469</v>
      </c>
      <c r="E7" s="14" t="s">
        <v>417</v>
      </c>
      <c r="F7" s="14" t="s">
        <v>1097</v>
      </c>
      <c r="G7" s="14" t="s">
        <v>27</v>
      </c>
      <c r="H7" s="14"/>
      <c r="I7" s="14" t="s">
        <v>2068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</row>
    <row r="8" spans="1:72" s="7" customFormat="1" ht="16.5" customHeight="1" x14ac:dyDescent="0.25">
      <c r="A8" s="15" t="s">
        <v>638</v>
      </c>
      <c r="B8" s="21" t="s">
        <v>659</v>
      </c>
      <c r="C8" s="19">
        <v>9924</v>
      </c>
      <c r="D8" s="14" t="s">
        <v>660</v>
      </c>
      <c r="E8" s="15" t="s">
        <v>417</v>
      </c>
      <c r="F8" s="14" t="s">
        <v>1210</v>
      </c>
      <c r="G8" s="15" t="s">
        <v>372</v>
      </c>
      <c r="H8" s="15"/>
      <c r="I8" s="14" t="s">
        <v>2079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</row>
    <row r="9" spans="1:72" s="7" customFormat="1" ht="16.5" customHeight="1" x14ac:dyDescent="0.25">
      <c r="A9" s="14" t="s">
        <v>638</v>
      </c>
      <c r="B9" s="14" t="s">
        <v>679</v>
      </c>
      <c r="C9" s="75">
        <v>9222</v>
      </c>
      <c r="D9" s="54" t="s">
        <v>680</v>
      </c>
      <c r="E9" s="14" t="s">
        <v>417</v>
      </c>
      <c r="F9" s="14" t="s">
        <v>1222</v>
      </c>
      <c r="G9" s="14" t="s">
        <v>199</v>
      </c>
      <c r="H9" s="14"/>
      <c r="I9" s="14" t="s">
        <v>2041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</row>
    <row r="10" spans="1:72" s="7" customFormat="1" ht="16.5" customHeight="1" x14ac:dyDescent="0.25">
      <c r="A10" s="15" t="s">
        <v>939</v>
      </c>
      <c r="B10" s="21" t="s">
        <v>972</v>
      </c>
      <c r="C10" s="22" t="s">
        <v>973</v>
      </c>
      <c r="D10" s="14" t="s">
        <v>974</v>
      </c>
      <c r="E10" s="15" t="s">
        <v>413</v>
      </c>
      <c r="F10" s="14" t="s">
        <v>1412</v>
      </c>
      <c r="G10" s="15" t="s">
        <v>363</v>
      </c>
      <c r="H10" s="15"/>
      <c r="I10" s="69" t="s">
        <v>2039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</row>
    <row r="11" spans="1:72" s="7" customFormat="1" ht="16.5" customHeight="1" x14ac:dyDescent="0.25">
      <c r="A11" s="14" t="s">
        <v>939</v>
      </c>
      <c r="B11" s="14" t="s">
        <v>964</v>
      </c>
      <c r="C11" s="19">
        <v>9583</v>
      </c>
      <c r="D11" s="14" t="s">
        <v>965</v>
      </c>
      <c r="E11" s="14" t="s">
        <v>413</v>
      </c>
      <c r="F11" s="14" t="s">
        <v>1406</v>
      </c>
      <c r="G11" s="14" t="s">
        <v>204</v>
      </c>
      <c r="H11" s="14"/>
      <c r="I11" s="14" t="s">
        <v>2040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</row>
    <row r="12" spans="1:72" s="7" customFormat="1" ht="16.5" customHeight="1" x14ac:dyDescent="0.25">
      <c r="A12" s="14" t="s">
        <v>939</v>
      </c>
      <c r="B12" s="21" t="s">
        <v>1014</v>
      </c>
      <c r="C12" s="19">
        <v>9651</v>
      </c>
      <c r="D12" s="14" t="s">
        <v>1015</v>
      </c>
      <c r="E12" s="15" t="s">
        <v>413</v>
      </c>
      <c r="F12" s="14" t="s">
        <v>1435</v>
      </c>
      <c r="G12" s="76" t="s">
        <v>353</v>
      </c>
      <c r="H12" s="76"/>
      <c r="I12" s="69" t="s">
        <v>2080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</row>
    <row r="13" spans="1:72" s="7" customFormat="1" ht="16.5" customHeight="1" x14ac:dyDescent="0.25">
      <c r="A13" s="14" t="s">
        <v>638</v>
      </c>
      <c r="B13" s="8" t="s">
        <v>688</v>
      </c>
      <c r="C13" s="20">
        <v>9217</v>
      </c>
      <c r="D13" s="8" t="s">
        <v>2051</v>
      </c>
      <c r="E13" s="14" t="s">
        <v>413</v>
      </c>
      <c r="F13" s="14" t="s">
        <v>2052</v>
      </c>
      <c r="G13" s="14" t="s">
        <v>2067</v>
      </c>
      <c r="H13" s="14"/>
      <c r="I13" s="8" t="s">
        <v>2081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</row>
    <row r="14" spans="1:72" s="7" customFormat="1" ht="16.5" customHeight="1" x14ac:dyDescent="0.25">
      <c r="A14" s="14" t="s">
        <v>702</v>
      </c>
      <c r="B14" s="14" t="s">
        <v>757</v>
      </c>
      <c r="C14" s="75">
        <v>9211</v>
      </c>
      <c r="D14" s="14" t="s">
        <v>760</v>
      </c>
      <c r="E14" s="14" t="s">
        <v>413</v>
      </c>
      <c r="F14" s="14" t="s">
        <v>1270</v>
      </c>
      <c r="G14" s="14" t="s">
        <v>324</v>
      </c>
      <c r="H14" s="14"/>
      <c r="I14" s="14" t="s">
        <v>2101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</row>
    <row r="15" spans="1:72" s="7" customFormat="1" ht="16.5" customHeight="1" x14ac:dyDescent="0.25">
      <c r="A15" s="14" t="s">
        <v>868</v>
      </c>
      <c r="B15" s="14" t="s">
        <v>902</v>
      </c>
      <c r="C15" s="56">
        <v>9860</v>
      </c>
      <c r="D15" s="14" t="s">
        <v>903</v>
      </c>
      <c r="E15" s="14" t="s">
        <v>413</v>
      </c>
      <c r="F15" s="14" t="s">
        <v>1361</v>
      </c>
      <c r="G15" s="14" t="s">
        <v>96</v>
      </c>
      <c r="H15" s="14"/>
      <c r="I15" s="14" t="s">
        <v>2050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</row>
    <row r="16" spans="1:72" s="9" customFormat="1" ht="16.5" customHeight="1" x14ac:dyDescent="0.25">
      <c r="A16" s="14" t="s">
        <v>767</v>
      </c>
      <c r="B16" s="14" t="s">
        <v>848</v>
      </c>
      <c r="C16" s="75">
        <v>9275</v>
      </c>
      <c r="D16" s="14" t="s">
        <v>849</v>
      </c>
      <c r="E16" s="14" t="s">
        <v>413</v>
      </c>
      <c r="F16" s="12" t="s">
        <v>1469</v>
      </c>
      <c r="G16" s="14" t="s">
        <v>136</v>
      </c>
      <c r="H16" s="14"/>
      <c r="I16" s="14" t="s">
        <v>2072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</row>
    <row r="17" spans="1:72" s="9" customFormat="1" ht="16.5" customHeight="1" x14ac:dyDescent="0.25">
      <c r="A17" s="14" t="s">
        <v>2082</v>
      </c>
      <c r="B17" s="14" t="s">
        <v>473</v>
      </c>
      <c r="C17" s="19">
        <v>9473</v>
      </c>
      <c r="D17" s="14" t="s">
        <v>474</v>
      </c>
      <c r="E17" s="14" t="s">
        <v>413</v>
      </c>
      <c r="F17" s="12" t="s">
        <v>1100</v>
      </c>
      <c r="G17" s="14" t="s">
        <v>143</v>
      </c>
      <c r="H17" s="14"/>
      <c r="I17" s="14" t="s">
        <v>2032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</row>
    <row r="18" spans="1:72" s="9" customFormat="1" ht="16.5" customHeight="1" x14ac:dyDescent="0.25">
      <c r="A18" s="14" t="s">
        <v>2082</v>
      </c>
      <c r="B18" s="14" t="s">
        <v>501</v>
      </c>
      <c r="C18" s="19">
        <v>9461</v>
      </c>
      <c r="D18" s="14" t="s">
        <v>503</v>
      </c>
      <c r="E18" s="14" t="s">
        <v>413</v>
      </c>
      <c r="F18" s="12" t="s">
        <v>1124</v>
      </c>
      <c r="G18" s="14" t="s">
        <v>251</v>
      </c>
      <c r="H18" s="14"/>
      <c r="I18" s="14" t="s">
        <v>2042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</row>
    <row r="19" spans="1:72" x14ac:dyDescent="0.25">
      <c r="A19" s="21" t="s">
        <v>578</v>
      </c>
      <c r="B19" s="21" t="s">
        <v>613</v>
      </c>
      <c r="C19" s="75">
        <v>9859</v>
      </c>
      <c r="D19" s="14" t="s">
        <v>2048</v>
      </c>
      <c r="E19" s="14" t="s">
        <v>413</v>
      </c>
      <c r="F19" s="14" t="s">
        <v>1196</v>
      </c>
      <c r="G19" s="14" t="s">
        <v>380</v>
      </c>
      <c r="H19" s="14"/>
      <c r="I19" s="14" t="s">
        <v>2047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</row>
    <row r="20" spans="1:72" x14ac:dyDescent="0.25">
      <c r="A20" s="14" t="s">
        <v>520</v>
      </c>
      <c r="B20" s="14" t="s">
        <v>550</v>
      </c>
      <c r="C20" s="24">
        <v>9381</v>
      </c>
      <c r="D20" s="54" t="s">
        <v>551</v>
      </c>
      <c r="E20" s="54" t="s">
        <v>413</v>
      </c>
      <c r="F20" s="54" t="s">
        <v>1154</v>
      </c>
      <c r="G20" s="54" t="s">
        <v>337</v>
      </c>
      <c r="H20" s="54"/>
      <c r="I20" s="14" t="s">
        <v>2073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</row>
    <row r="21" spans="1:72" s="7" customFormat="1" ht="16.5" customHeight="1" x14ac:dyDescent="0.25">
      <c r="A21" s="14" t="s">
        <v>459</v>
      </c>
      <c r="B21" s="14" t="s">
        <v>481</v>
      </c>
      <c r="C21" s="75">
        <v>9479</v>
      </c>
      <c r="D21" s="14" t="s">
        <v>482</v>
      </c>
      <c r="E21" s="14" t="s">
        <v>413</v>
      </c>
      <c r="F21" s="14" t="s">
        <v>1106</v>
      </c>
      <c r="G21" s="14" t="s">
        <v>138</v>
      </c>
      <c r="H21" s="14"/>
      <c r="I21" s="14" t="s">
        <v>2046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</row>
    <row r="22" spans="1:72" s="7" customFormat="1" ht="16.5" customHeight="1" x14ac:dyDescent="0.25">
      <c r="A22" s="14" t="s">
        <v>638</v>
      </c>
      <c r="B22" s="14" t="s">
        <v>679</v>
      </c>
      <c r="C22" s="75">
        <v>9222</v>
      </c>
      <c r="D22" s="54" t="s">
        <v>681</v>
      </c>
      <c r="E22" s="14" t="s">
        <v>413</v>
      </c>
      <c r="F22" s="14" t="s">
        <v>1223</v>
      </c>
      <c r="G22" s="14" t="s">
        <v>288</v>
      </c>
      <c r="H22" s="14"/>
      <c r="I22" s="14" t="s">
        <v>2041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</row>
    <row r="23" spans="1:72" s="7" customFormat="1" ht="16.5" customHeight="1" x14ac:dyDescent="0.25">
      <c r="A23" s="14" t="s">
        <v>638</v>
      </c>
      <c r="B23" s="14" t="s">
        <v>679</v>
      </c>
      <c r="C23" s="65">
        <v>9222</v>
      </c>
      <c r="D23" s="14" t="s">
        <v>682</v>
      </c>
      <c r="E23" s="14" t="s">
        <v>413</v>
      </c>
      <c r="F23" s="14" t="s">
        <v>1224</v>
      </c>
      <c r="G23" s="14" t="s">
        <v>309</v>
      </c>
      <c r="H23" s="14"/>
      <c r="I23" s="14" t="s">
        <v>2035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</row>
    <row r="24" spans="1:72" s="7" customFormat="1" ht="16.5" customHeight="1" x14ac:dyDescent="0.25">
      <c r="A24" s="14" t="s">
        <v>638</v>
      </c>
      <c r="B24" s="14" t="s">
        <v>657</v>
      </c>
      <c r="C24" s="19">
        <v>9914</v>
      </c>
      <c r="D24" s="14" t="s">
        <v>658</v>
      </c>
      <c r="E24" s="14" t="s">
        <v>413</v>
      </c>
      <c r="F24" s="14" t="s">
        <v>1209</v>
      </c>
      <c r="G24" s="14" t="s">
        <v>253</v>
      </c>
      <c r="H24" s="14"/>
      <c r="I24" s="14" t="s">
        <v>2074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</row>
    <row r="26" spans="1:72" s="7" customFormat="1" ht="16.5" customHeight="1" x14ac:dyDescent="0.25">
      <c r="A26" s="14" t="s">
        <v>939</v>
      </c>
      <c r="B26" s="53" t="s">
        <v>1043</v>
      </c>
      <c r="C26" s="19">
        <v>9650</v>
      </c>
      <c r="D26" s="53" t="s">
        <v>1044</v>
      </c>
      <c r="E26" s="53" t="s">
        <v>417</v>
      </c>
      <c r="F26" s="53" t="s">
        <v>1457</v>
      </c>
      <c r="G26" s="53" t="s">
        <v>120</v>
      </c>
      <c r="H26" s="53"/>
      <c r="I26" s="71" t="s">
        <v>2100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</row>
    <row r="27" spans="1:72" s="7" customFormat="1" ht="16.5" customHeight="1" x14ac:dyDescent="0.25">
      <c r="A27" s="14" t="s">
        <v>702</v>
      </c>
      <c r="B27" s="14" t="s">
        <v>852</v>
      </c>
      <c r="C27" s="73">
        <v>9289</v>
      </c>
      <c r="D27" s="14" t="s">
        <v>854</v>
      </c>
      <c r="E27" s="14" t="s">
        <v>413</v>
      </c>
      <c r="F27" s="14" t="s">
        <v>1329</v>
      </c>
      <c r="G27" s="14"/>
      <c r="H27" s="14"/>
      <c r="I27" s="14" t="s">
        <v>2106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</row>
    <row r="28" spans="1:72" s="7" customFormat="1" ht="16.5" customHeight="1" x14ac:dyDescent="0.25">
      <c r="A28" s="14" t="s">
        <v>702</v>
      </c>
      <c r="B28" s="14" t="s">
        <v>803</v>
      </c>
      <c r="C28" s="19">
        <v>9395</v>
      </c>
      <c r="D28" s="14" t="s">
        <v>804</v>
      </c>
      <c r="E28" s="14" t="s">
        <v>413</v>
      </c>
      <c r="F28" s="14" t="s">
        <v>1299</v>
      </c>
      <c r="G28" s="14" t="s">
        <v>339</v>
      </c>
      <c r="H28" s="14"/>
      <c r="I28" s="69" t="s">
        <v>2112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</row>
    <row r="29" spans="1:72" s="7" customFormat="1" ht="16.5" customHeight="1" x14ac:dyDescent="0.25">
      <c r="A29" s="53" t="s">
        <v>702</v>
      </c>
      <c r="B29" s="53" t="s">
        <v>650</v>
      </c>
      <c r="C29" s="19">
        <v>9970</v>
      </c>
      <c r="D29" s="53" t="s">
        <v>652</v>
      </c>
      <c r="E29" s="53" t="s">
        <v>413</v>
      </c>
      <c r="F29" s="53" t="s">
        <v>1207</v>
      </c>
      <c r="G29" s="53" t="s">
        <v>196</v>
      </c>
      <c r="H29" s="53"/>
      <c r="I29" s="74" t="s">
        <v>2114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</row>
    <row r="30" spans="1:72" s="7" customFormat="1" ht="16.5" customHeight="1" x14ac:dyDescent="0.25">
      <c r="A30" s="53" t="s">
        <v>702</v>
      </c>
      <c r="B30" s="14" t="s">
        <v>650</v>
      </c>
      <c r="C30" s="19">
        <v>9970</v>
      </c>
      <c r="D30" s="14" t="s">
        <v>651</v>
      </c>
      <c r="E30" s="14" t="s">
        <v>417</v>
      </c>
      <c r="F30" s="14" t="s">
        <v>1206</v>
      </c>
      <c r="G30" s="14" t="s">
        <v>75</v>
      </c>
      <c r="H30" s="14"/>
      <c r="I30" s="74" t="s">
        <v>2115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</row>
    <row r="31" spans="1:72" s="7" customFormat="1" ht="13.5" customHeight="1" x14ac:dyDescent="0.25">
      <c r="A31" s="14" t="s">
        <v>702</v>
      </c>
      <c r="B31" s="14" t="s">
        <v>836</v>
      </c>
      <c r="C31" s="73">
        <v>9225</v>
      </c>
      <c r="D31" s="14" t="s">
        <v>838</v>
      </c>
      <c r="E31" s="14" t="s">
        <v>413</v>
      </c>
      <c r="F31" s="14" t="s">
        <v>1321</v>
      </c>
      <c r="G31" s="14" t="s">
        <v>144</v>
      </c>
      <c r="H31" s="14"/>
      <c r="I31" s="14" t="s">
        <v>2104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</row>
    <row r="32" spans="1:72" s="7" customFormat="1" ht="13.5" customHeight="1" x14ac:dyDescent="0.25">
      <c r="A32" s="14" t="s">
        <v>2082</v>
      </c>
      <c r="B32" s="21" t="s">
        <v>568</v>
      </c>
      <c r="C32" s="25">
        <v>9390</v>
      </c>
      <c r="D32" s="54" t="s">
        <v>569</v>
      </c>
      <c r="E32" s="16" t="s">
        <v>413</v>
      </c>
      <c r="F32" s="54" t="s">
        <v>1166</v>
      </c>
      <c r="G32" s="16" t="s">
        <v>344</v>
      </c>
      <c r="H32" s="16"/>
      <c r="I32" s="69" t="s">
        <v>2080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</row>
    <row r="33" spans="1:72" s="7" customFormat="1" ht="13.5" customHeight="1" x14ac:dyDescent="0.25">
      <c r="A33" s="14" t="s">
        <v>2082</v>
      </c>
      <c r="B33" s="14" t="s">
        <v>568</v>
      </c>
      <c r="C33" s="24">
        <v>9390</v>
      </c>
      <c r="D33" s="54" t="s">
        <v>574</v>
      </c>
      <c r="E33" s="54" t="s">
        <v>417</v>
      </c>
      <c r="F33" s="54" t="s">
        <v>1169</v>
      </c>
      <c r="G33" s="54" t="s">
        <v>24</v>
      </c>
      <c r="H33" s="54"/>
      <c r="I33" s="69" t="s">
        <v>2080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</row>
    <row r="34" spans="1:72" s="7" customFormat="1" ht="13.5" customHeight="1" x14ac:dyDescent="0.25">
      <c r="A34" s="14" t="s">
        <v>638</v>
      </c>
      <c r="B34" s="14" t="s">
        <v>693</v>
      </c>
      <c r="C34" s="68">
        <v>9216</v>
      </c>
      <c r="D34" s="14" t="s">
        <v>694</v>
      </c>
      <c r="E34" s="14" t="s">
        <v>413</v>
      </c>
      <c r="F34" s="14" t="s">
        <v>1230</v>
      </c>
      <c r="G34" s="14" t="s">
        <v>77</v>
      </c>
      <c r="H34" s="14"/>
      <c r="I34" s="49" t="s">
        <v>2121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</row>
    <row r="35" spans="1:72" s="7" customFormat="1" ht="13.5" customHeight="1" x14ac:dyDescent="0.25">
      <c r="A35" s="14" t="s">
        <v>638</v>
      </c>
      <c r="B35" s="14" t="s">
        <v>693</v>
      </c>
      <c r="C35" s="73">
        <v>9216</v>
      </c>
      <c r="D35" s="14" t="s">
        <v>695</v>
      </c>
      <c r="E35" s="14" t="s">
        <v>417</v>
      </c>
      <c r="F35" s="14" t="s">
        <v>1231</v>
      </c>
      <c r="G35" s="14" t="s">
        <v>155</v>
      </c>
      <c r="H35" s="14"/>
      <c r="I35" s="49" t="s">
        <v>2121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</row>
    <row r="36" spans="1:72" s="7" customFormat="1" ht="13.5" customHeight="1" x14ac:dyDescent="0.25">
      <c r="A36" s="14" t="s">
        <v>702</v>
      </c>
      <c r="B36" s="14" t="s">
        <v>797</v>
      </c>
      <c r="C36" s="19">
        <v>9271</v>
      </c>
      <c r="D36" s="14" t="s">
        <v>2093</v>
      </c>
      <c r="E36" s="14" t="s">
        <v>413</v>
      </c>
      <c r="F36" s="14" t="s">
        <v>802</v>
      </c>
      <c r="G36" s="14"/>
      <c r="H36" s="14"/>
      <c r="I36" s="14" t="s">
        <v>2124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</row>
    <row r="37" spans="1:72" s="7" customFormat="1" ht="13.5" customHeight="1" x14ac:dyDescent="0.25">
      <c r="A37" s="14" t="s">
        <v>939</v>
      </c>
      <c r="B37" s="14" t="s">
        <v>1035</v>
      </c>
      <c r="C37" s="73">
        <v>9510</v>
      </c>
      <c r="D37" s="14" t="s">
        <v>1036</v>
      </c>
      <c r="E37" s="14" t="s">
        <v>413</v>
      </c>
      <c r="F37" s="14" t="s">
        <v>1449</v>
      </c>
      <c r="G37" s="14" t="s">
        <v>43</v>
      </c>
      <c r="H37" s="14"/>
      <c r="I37" s="57" t="s">
        <v>2099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</row>
    <row r="38" spans="1:72" s="7" customFormat="1" ht="13.5" customHeight="1" x14ac:dyDescent="0.25">
      <c r="A38" s="14" t="s">
        <v>702</v>
      </c>
      <c r="B38" s="14" t="s">
        <v>775</v>
      </c>
      <c r="C38" s="19">
        <v>9908</v>
      </c>
      <c r="D38" s="14" t="s">
        <v>776</v>
      </c>
      <c r="E38" s="14" t="s">
        <v>413</v>
      </c>
      <c r="F38" s="14" t="s">
        <v>1280</v>
      </c>
      <c r="G38" s="14" t="s">
        <v>319</v>
      </c>
      <c r="H38" s="14"/>
      <c r="I38" s="14" t="s">
        <v>2131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</row>
    <row r="39" spans="1:72" s="7" customFormat="1" ht="13.5" customHeight="1" x14ac:dyDescent="0.25">
      <c r="A39" s="14" t="s">
        <v>2082</v>
      </c>
      <c r="B39" s="14" t="s">
        <v>635</v>
      </c>
      <c r="C39" s="78">
        <v>9858</v>
      </c>
      <c r="D39" s="14" t="s">
        <v>636</v>
      </c>
      <c r="E39" s="14" t="s">
        <v>413</v>
      </c>
      <c r="F39" s="14" t="s">
        <v>1198</v>
      </c>
      <c r="G39" s="14" t="s">
        <v>332</v>
      </c>
      <c r="H39" s="14"/>
      <c r="I39" s="14" t="s">
        <v>2134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</row>
    <row r="41" spans="1:72" s="7" customFormat="1" ht="13.5" customHeight="1" x14ac:dyDescent="0.25">
      <c r="A41" s="14" t="s">
        <v>868</v>
      </c>
      <c r="B41" s="14" t="s">
        <v>913</v>
      </c>
      <c r="C41" s="73">
        <v>9817</v>
      </c>
      <c r="D41" s="14" t="s">
        <v>916</v>
      </c>
      <c r="E41" s="14" t="s">
        <v>413</v>
      </c>
      <c r="F41" s="14" t="s">
        <v>1374</v>
      </c>
      <c r="G41" s="14" t="s">
        <v>220</v>
      </c>
      <c r="H41" s="14"/>
      <c r="I41" s="14" t="s">
        <v>2135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</row>
    <row r="42" spans="1:72" s="7" customFormat="1" ht="13.5" customHeight="1" x14ac:dyDescent="0.25">
      <c r="A42" s="14" t="s">
        <v>2082</v>
      </c>
      <c r="B42" s="14" t="s">
        <v>498</v>
      </c>
      <c r="C42" s="79">
        <v>9470</v>
      </c>
      <c r="D42" s="14" t="s">
        <v>499</v>
      </c>
      <c r="E42" s="14" t="s">
        <v>413</v>
      </c>
      <c r="F42" s="14" t="s">
        <v>1119</v>
      </c>
      <c r="G42" s="14" t="s">
        <v>46</v>
      </c>
      <c r="H42" s="14"/>
      <c r="I42" s="57" t="s">
        <v>2136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</row>
    <row r="43" spans="1:72" s="6" customFormat="1" ht="13.5" customHeight="1" x14ac:dyDescent="0.25">
      <c r="A43" s="14" t="s">
        <v>868</v>
      </c>
      <c r="B43" s="14" t="s">
        <v>917</v>
      </c>
      <c r="C43" s="81">
        <v>9878</v>
      </c>
      <c r="D43" s="14" t="s">
        <v>919</v>
      </c>
      <c r="E43" s="14" t="s">
        <v>413</v>
      </c>
      <c r="F43" s="14" t="s">
        <v>1376</v>
      </c>
      <c r="G43" s="14" t="s">
        <v>158</v>
      </c>
      <c r="H43" s="14"/>
      <c r="I43" s="57" t="s">
        <v>2137</v>
      </c>
    </row>
    <row r="44" spans="1:72" s="7" customFormat="1" ht="13.5" customHeight="1" x14ac:dyDescent="0.25">
      <c r="A44" s="14" t="s">
        <v>868</v>
      </c>
      <c r="B44" s="14" t="s">
        <v>911</v>
      </c>
      <c r="C44" s="81">
        <v>9813</v>
      </c>
      <c r="D44" s="14" t="s">
        <v>2110</v>
      </c>
      <c r="E44" s="14" t="s">
        <v>413</v>
      </c>
      <c r="F44" s="14" t="s">
        <v>1367</v>
      </c>
      <c r="G44" s="14"/>
      <c r="H44" s="14"/>
      <c r="I44" s="14" t="s">
        <v>2138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</row>
    <row r="45" spans="1:72" s="7" customFormat="1" ht="13.5" customHeight="1" x14ac:dyDescent="0.25">
      <c r="A45" s="14" t="s">
        <v>868</v>
      </c>
      <c r="B45" s="14" t="s">
        <v>872</v>
      </c>
      <c r="C45" s="19">
        <v>9857</v>
      </c>
      <c r="D45" s="14" t="s">
        <v>873</v>
      </c>
      <c r="E45" s="14" t="s">
        <v>413</v>
      </c>
      <c r="F45" s="14" t="s">
        <v>1340</v>
      </c>
      <c r="G45" s="14" t="s">
        <v>170</v>
      </c>
      <c r="H45" s="14"/>
      <c r="I45" s="14" t="s">
        <v>2139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</row>
    <row r="46" spans="1:72" s="7" customFormat="1" ht="13.5" customHeight="1" x14ac:dyDescent="0.25">
      <c r="A46" s="15" t="s">
        <v>868</v>
      </c>
      <c r="B46" s="21" t="s">
        <v>881</v>
      </c>
      <c r="C46" s="19">
        <v>9815</v>
      </c>
      <c r="D46" s="14" t="s">
        <v>884</v>
      </c>
      <c r="E46" s="15" t="s">
        <v>413</v>
      </c>
      <c r="F46" s="14" t="s">
        <v>1348</v>
      </c>
      <c r="G46" s="1" t="s">
        <v>345</v>
      </c>
      <c r="H46" s="1"/>
      <c r="I46" s="57" t="s">
        <v>2140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</row>
    <row r="47" spans="1:72" s="7" customFormat="1" ht="13.5" customHeight="1" x14ac:dyDescent="0.25">
      <c r="A47" s="14" t="s">
        <v>2082</v>
      </c>
      <c r="B47" s="14" t="s">
        <v>594</v>
      </c>
      <c r="C47" s="19">
        <v>9831</v>
      </c>
      <c r="D47" s="14" t="s">
        <v>596</v>
      </c>
      <c r="E47" s="14" t="s">
        <v>413</v>
      </c>
      <c r="F47" s="14" t="s">
        <v>1177</v>
      </c>
      <c r="G47" s="14" t="s">
        <v>2090</v>
      </c>
      <c r="H47" s="14"/>
      <c r="I47" s="15" t="s">
        <v>2141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</row>
    <row r="48" spans="1:72" s="7" customFormat="1" ht="13.5" customHeight="1" x14ac:dyDescent="0.25">
      <c r="A48" s="14" t="s">
        <v>638</v>
      </c>
      <c r="B48" s="14" t="s">
        <v>742</v>
      </c>
      <c r="C48" s="82" t="s">
        <v>744</v>
      </c>
      <c r="D48" s="14" t="s">
        <v>745</v>
      </c>
      <c r="E48" s="14" t="s">
        <v>413</v>
      </c>
      <c r="F48" s="14" t="s">
        <v>1262</v>
      </c>
      <c r="G48" s="14" t="s">
        <v>330</v>
      </c>
      <c r="H48" s="14"/>
      <c r="I48" s="14" t="s">
        <v>2142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</row>
    <row r="49" spans="1:72" s="7" customFormat="1" ht="13.5" customHeight="1" x14ac:dyDescent="0.25">
      <c r="A49" s="14" t="s">
        <v>939</v>
      </c>
      <c r="B49" s="14" t="s">
        <v>949</v>
      </c>
      <c r="C49" s="19">
        <v>9560</v>
      </c>
      <c r="D49" s="10" t="s">
        <v>950</v>
      </c>
      <c r="E49" s="14" t="s">
        <v>413</v>
      </c>
      <c r="F49" s="14" t="s">
        <v>951</v>
      </c>
      <c r="G49" s="15" t="s">
        <v>19</v>
      </c>
      <c r="H49" s="15"/>
      <c r="I49" s="14" t="s">
        <v>2143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</row>
    <row r="50" spans="1:72" s="7" customFormat="1" ht="13.5" customHeight="1" x14ac:dyDescent="0.25">
      <c r="A50" s="14" t="s">
        <v>939</v>
      </c>
      <c r="B50" s="14" t="s">
        <v>949</v>
      </c>
      <c r="C50" s="19">
        <v>9560</v>
      </c>
      <c r="D50" s="14" t="s">
        <v>953</v>
      </c>
      <c r="E50" s="14" t="s">
        <v>417</v>
      </c>
      <c r="F50" s="14" t="s">
        <v>1398</v>
      </c>
      <c r="G50" s="14"/>
      <c r="H50" s="14"/>
      <c r="I50" s="14" t="s">
        <v>2144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</row>
    <row r="51" spans="1:72" s="7" customFormat="1" ht="13.5" customHeight="1" x14ac:dyDescent="0.25">
      <c r="A51" s="14" t="s">
        <v>939</v>
      </c>
      <c r="B51" s="14" t="s">
        <v>992</v>
      </c>
      <c r="C51" s="73">
        <v>9610</v>
      </c>
      <c r="D51" s="14" t="s">
        <v>995</v>
      </c>
      <c r="E51" s="14" t="s">
        <v>413</v>
      </c>
      <c r="F51" s="14" t="s">
        <v>1400</v>
      </c>
      <c r="G51" s="14" t="s">
        <v>241</v>
      </c>
      <c r="H51" s="14"/>
      <c r="I51" s="14" t="s">
        <v>2145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</row>
    <row r="52" spans="1:72" s="7" customFormat="1" ht="13.5" customHeight="1" x14ac:dyDescent="0.25">
      <c r="A52" s="53" t="s">
        <v>868</v>
      </c>
      <c r="B52" s="53" t="s">
        <v>426</v>
      </c>
      <c r="C52" s="19">
        <v>9836</v>
      </c>
      <c r="D52" s="53" t="s">
        <v>448</v>
      </c>
      <c r="E52" s="53" t="s">
        <v>413</v>
      </c>
      <c r="F52" s="53" t="s">
        <v>1085</v>
      </c>
      <c r="G52" s="53" t="s">
        <v>375</v>
      </c>
      <c r="H52" s="53"/>
      <c r="I52" s="57" t="s">
        <v>2146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</row>
    <row r="53" spans="1:72" s="7" customFormat="1" ht="13.5" customHeight="1" x14ac:dyDescent="0.25">
      <c r="A53" s="53" t="s">
        <v>868</v>
      </c>
      <c r="B53" s="21" t="s">
        <v>428</v>
      </c>
      <c r="C53" s="78">
        <v>9837</v>
      </c>
      <c r="D53" s="14" t="s">
        <v>451</v>
      </c>
      <c r="E53" s="14" t="s">
        <v>413</v>
      </c>
      <c r="F53" s="14" t="s">
        <v>1086</v>
      </c>
      <c r="G53" s="14" t="s">
        <v>386</v>
      </c>
      <c r="H53" s="14"/>
      <c r="I53" s="15" t="s">
        <v>2147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</row>
    <row r="54" spans="1:72" s="7" customFormat="1" ht="13.5" customHeight="1" x14ac:dyDescent="0.25">
      <c r="A54" s="15" t="s">
        <v>702</v>
      </c>
      <c r="B54" s="21" t="s">
        <v>664</v>
      </c>
      <c r="C54" s="19">
        <v>9941</v>
      </c>
      <c r="D54" s="54" t="s">
        <v>665</v>
      </c>
      <c r="E54" s="15" t="s">
        <v>666</v>
      </c>
      <c r="F54" s="14" t="s">
        <v>1213</v>
      </c>
      <c r="G54" s="15" t="s">
        <v>370</v>
      </c>
      <c r="H54" s="15"/>
      <c r="I54" s="49" t="s">
        <v>2113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</row>
    <row r="55" spans="1:72" s="7" customFormat="1" ht="13.5" customHeight="1" x14ac:dyDescent="0.25">
      <c r="A55" s="84" t="s">
        <v>702</v>
      </c>
      <c r="B55" s="84" t="s">
        <v>855</v>
      </c>
      <c r="C55" s="85">
        <v>9933</v>
      </c>
      <c r="D55" s="84" t="s">
        <v>856</v>
      </c>
      <c r="E55" s="84" t="s">
        <v>413</v>
      </c>
      <c r="F55" s="84" t="s">
        <v>1330</v>
      </c>
      <c r="G55" s="84" t="s">
        <v>249</v>
      </c>
      <c r="H55" s="84"/>
      <c r="I55" s="86" t="s">
        <v>2113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</row>
    <row r="56" spans="1:72" x14ac:dyDescent="0.25">
      <c r="A56" s="70" t="s">
        <v>459</v>
      </c>
      <c r="B56" s="70" t="s">
        <v>488</v>
      </c>
      <c r="C56" s="70">
        <v>9420</v>
      </c>
      <c r="D56" s="70" t="s">
        <v>1633</v>
      </c>
      <c r="E56" s="70" t="s">
        <v>417</v>
      </c>
      <c r="F56" s="70" t="s">
        <v>1964</v>
      </c>
      <c r="G56" s="70" t="s">
        <v>1634</v>
      </c>
      <c r="H56" s="70"/>
      <c r="I56" s="70" t="s">
        <v>1635</v>
      </c>
      <c r="J56" s="70"/>
      <c r="K56" s="70"/>
      <c r="L56" s="70"/>
      <c r="M56" s="70"/>
      <c r="N56" s="70"/>
      <c r="O56" s="70"/>
      <c r="P56" s="70"/>
      <c r="Q56" s="70"/>
      <c r="R56" s="70"/>
      <c r="S56" s="70"/>
    </row>
    <row r="57" spans="1:72" s="7" customFormat="1" ht="13.5" customHeight="1" x14ac:dyDescent="0.25">
      <c r="A57" s="14" t="s">
        <v>638</v>
      </c>
      <c r="B57" s="14" t="s">
        <v>688</v>
      </c>
      <c r="C57" s="83">
        <v>9217</v>
      </c>
      <c r="D57" s="14" t="s">
        <v>690</v>
      </c>
      <c r="E57" s="14" t="s">
        <v>2128</v>
      </c>
      <c r="F57" s="14" t="s">
        <v>2129</v>
      </c>
      <c r="G57" s="14" t="s">
        <v>100</v>
      </c>
      <c r="H57" s="14"/>
      <c r="I57" s="14" t="s">
        <v>2153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</row>
    <row r="58" spans="1:72" s="6" customFormat="1" ht="13.5" customHeight="1" x14ac:dyDescent="0.25">
      <c r="A58" s="14" t="s">
        <v>638</v>
      </c>
      <c r="B58" s="14" t="s">
        <v>688</v>
      </c>
      <c r="C58" s="83">
        <v>9217</v>
      </c>
      <c r="D58" s="14" t="s">
        <v>689</v>
      </c>
      <c r="E58" s="14" t="s">
        <v>417</v>
      </c>
      <c r="F58" s="14" t="s">
        <v>1228</v>
      </c>
      <c r="G58" s="14" t="s">
        <v>57</v>
      </c>
      <c r="H58" s="14"/>
      <c r="I58" s="14" t="s">
        <v>2173</v>
      </c>
    </row>
    <row r="59" spans="1:72" s="6" customFormat="1" ht="13.5" customHeight="1" x14ac:dyDescent="0.25">
      <c r="A59" s="14" t="s">
        <v>638</v>
      </c>
      <c r="B59" s="14" t="s">
        <v>688</v>
      </c>
      <c r="C59" s="83">
        <v>9217</v>
      </c>
      <c r="D59" s="8" t="s">
        <v>2078</v>
      </c>
      <c r="E59" s="14" t="s">
        <v>413</v>
      </c>
      <c r="F59" s="14" t="s">
        <v>2069</v>
      </c>
      <c r="G59" s="14" t="s">
        <v>2070</v>
      </c>
      <c r="H59" s="14"/>
      <c r="I59" s="93" t="s">
        <v>2174</v>
      </c>
    </row>
    <row r="60" spans="1:72" s="6" customFormat="1" ht="13.5" customHeight="1" x14ac:dyDescent="0.25">
      <c r="A60" s="14"/>
      <c r="B60" s="14"/>
      <c r="C60" s="92"/>
      <c r="D60" s="8"/>
      <c r="E60" s="14"/>
      <c r="F60" s="14"/>
      <c r="G60" s="14"/>
      <c r="H60" s="10"/>
    </row>
    <row r="61" spans="1:72" s="6" customFormat="1" ht="13.5" customHeight="1" x14ac:dyDescent="0.25">
      <c r="A61" s="14"/>
      <c r="B61" s="14"/>
      <c r="C61" s="92"/>
      <c r="D61" s="8"/>
      <c r="E61" s="14"/>
      <c r="F61" s="14"/>
      <c r="G61" s="14"/>
      <c r="H61" s="10"/>
    </row>
    <row r="62" spans="1:72" s="6" customFormat="1" ht="13.5" customHeight="1" x14ac:dyDescent="0.25">
      <c r="A62" s="14" t="s">
        <v>2082</v>
      </c>
      <c r="B62" s="14" t="s">
        <v>533</v>
      </c>
      <c r="C62" s="23">
        <v>9374</v>
      </c>
      <c r="D62" s="54" t="s">
        <v>534</v>
      </c>
      <c r="E62" s="54" t="s">
        <v>413</v>
      </c>
      <c r="F62" s="54" t="s">
        <v>535</v>
      </c>
      <c r="G62" s="54" t="s">
        <v>207</v>
      </c>
      <c r="H62" s="54"/>
      <c r="I62" s="8" t="s">
        <v>2175</v>
      </c>
    </row>
    <row r="63" spans="1:72" s="6" customFormat="1" ht="13.5" customHeight="1" x14ac:dyDescent="0.25">
      <c r="A63" s="14" t="s">
        <v>702</v>
      </c>
      <c r="B63" s="14" t="s">
        <v>813</v>
      </c>
      <c r="C63" s="83">
        <v>9233</v>
      </c>
      <c r="D63" s="14" t="s">
        <v>814</v>
      </c>
      <c r="E63" s="14" t="s">
        <v>417</v>
      </c>
      <c r="F63" s="14" t="s">
        <v>1306</v>
      </c>
      <c r="G63" s="14" t="s">
        <v>94</v>
      </c>
      <c r="H63" s="14"/>
      <c r="I63" s="14" t="s">
        <v>2176</v>
      </c>
    </row>
    <row r="64" spans="1:72" s="60" customFormat="1" ht="13.5" customHeight="1" x14ac:dyDescent="0.25">
      <c r="A64" s="14" t="s">
        <v>2082</v>
      </c>
      <c r="B64" s="14" t="s">
        <v>462</v>
      </c>
      <c r="C64" s="19">
        <v>9471</v>
      </c>
      <c r="D64" s="14" t="s">
        <v>464</v>
      </c>
      <c r="E64" s="14" t="s">
        <v>413</v>
      </c>
      <c r="F64" s="14" t="s">
        <v>1093</v>
      </c>
      <c r="G64" s="14" t="s">
        <v>183</v>
      </c>
      <c r="H64" s="14"/>
      <c r="I64" s="57" t="s">
        <v>2177</v>
      </c>
    </row>
    <row r="65" spans="1:9" s="6" customFormat="1" ht="13.5" customHeight="1" x14ac:dyDescent="0.25">
      <c r="A65" s="14" t="s">
        <v>2082</v>
      </c>
      <c r="B65" s="14" t="s">
        <v>485</v>
      </c>
      <c r="C65" s="91">
        <v>9420</v>
      </c>
      <c r="D65" s="14" t="s">
        <v>486</v>
      </c>
      <c r="E65" s="14" t="s">
        <v>413</v>
      </c>
      <c r="F65" s="14" t="s">
        <v>1108</v>
      </c>
      <c r="G65" s="14" t="s">
        <v>99</v>
      </c>
      <c r="H65" s="14"/>
      <c r="I65" s="14" t="s">
        <v>2178</v>
      </c>
    </row>
    <row r="66" spans="1:9" s="6" customFormat="1" ht="13.5" customHeight="1" x14ac:dyDescent="0.25">
      <c r="A66" s="53" t="s">
        <v>868</v>
      </c>
      <c r="B66" s="14" t="s">
        <v>423</v>
      </c>
      <c r="C66" s="19">
        <v>9855</v>
      </c>
      <c r="D66" s="14" t="s">
        <v>424</v>
      </c>
      <c r="E66" s="14" t="s">
        <v>413</v>
      </c>
      <c r="F66" s="14" t="s">
        <v>1069</v>
      </c>
      <c r="G66" s="14" t="s">
        <v>141</v>
      </c>
      <c r="H66" s="14"/>
      <c r="I66" s="14" t="s">
        <v>2179</v>
      </c>
    </row>
    <row r="67" spans="1:9" s="6" customFormat="1" ht="13.5" customHeight="1" x14ac:dyDescent="0.25">
      <c r="A67" s="14" t="s">
        <v>2082</v>
      </c>
      <c r="B67" s="14" t="s">
        <v>465</v>
      </c>
      <c r="C67" s="19">
        <v>9440</v>
      </c>
      <c r="D67" s="54" t="s">
        <v>467</v>
      </c>
      <c r="E67" s="14" t="s">
        <v>413</v>
      </c>
      <c r="F67" s="14" t="s">
        <v>1096</v>
      </c>
      <c r="G67" s="14" t="s">
        <v>132</v>
      </c>
      <c r="H67" s="14"/>
      <c r="I67" s="14" t="s">
        <v>2180</v>
      </c>
    </row>
    <row r="68" spans="1:9" s="6" customFormat="1" ht="13.5" customHeight="1" x14ac:dyDescent="0.25">
      <c r="A68" s="14" t="s">
        <v>2082</v>
      </c>
      <c r="B68" s="14" t="s">
        <v>506</v>
      </c>
      <c r="C68" s="91">
        <v>9472</v>
      </c>
      <c r="D68" s="14" t="s">
        <v>507</v>
      </c>
      <c r="E68" s="14" t="s">
        <v>413</v>
      </c>
      <c r="F68" s="14" t="s">
        <v>1127</v>
      </c>
      <c r="G68" s="10" t="s">
        <v>125</v>
      </c>
      <c r="H68" s="10"/>
      <c r="I68" s="14" t="s">
        <v>2181</v>
      </c>
    </row>
    <row r="69" spans="1:9" s="6" customFormat="1" ht="13.5" customHeight="1" x14ac:dyDescent="0.25">
      <c r="A69" s="14" t="s">
        <v>2082</v>
      </c>
      <c r="B69" s="21" t="s">
        <v>608</v>
      </c>
      <c r="C69" s="19">
        <v>9408</v>
      </c>
      <c r="D69" s="14" t="s">
        <v>610</v>
      </c>
      <c r="E69" s="15" t="s">
        <v>413</v>
      </c>
      <c r="F69" s="14" t="s">
        <v>1182</v>
      </c>
      <c r="G69" s="15" t="s">
        <v>371</v>
      </c>
      <c r="H69" s="15"/>
      <c r="I69" s="14" t="s">
        <v>2182</v>
      </c>
    </row>
    <row r="70" spans="1:9" s="6" customFormat="1" ht="13.5" customHeight="1" x14ac:dyDescent="0.25">
      <c r="A70" s="14" t="s">
        <v>2082</v>
      </c>
      <c r="B70" s="14" t="s">
        <v>608</v>
      </c>
      <c r="C70" s="19">
        <v>9408</v>
      </c>
      <c r="D70" s="14" t="s">
        <v>609</v>
      </c>
      <c r="E70" s="14" t="s">
        <v>413</v>
      </c>
      <c r="F70" s="14" t="s">
        <v>1181</v>
      </c>
      <c r="G70" s="14" t="s">
        <v>335</v>
      </c>
      <c r="H70" s="14"/>
      <c r="I70" s="14" t="s">
        <v>2180</v>
      </c>
    </row>
    <row r="71" spans="1:9" s="6" customFormat="1" ht="13.5" customHeight="1" x14ac:dyDescent="0.25">
      <c r="A71" s="14" t="s">
        <v>2082</v>
      </c>
      <c r="B71" s="14" t="s">
        <v>600</v>
      </c>
      <c r="C71" s="19">
        <v>9833</v>
      </c>
      <c r="D71" s="14" t="s">
        <v>603</v>
      </c>
      <c r="E71" s="14" t="s">
        <v>417</v>
      </c>
      <c r="F71" s="14" t="s">
        <v>1180</v>
      </c>
      <c r="G71" s="14"/>
      <c r="H71" s="14"/>
      <c r="I71" s="14" t="s">
        <v>2183</v>
      </c>
    </row>
    <row r="72" spans="1:9" s="6" customFormat="1" ht="13.5" customHeight="1" x14ac:dyDescent="0.25">
      <c r="A72" s="15" t="s">
        <v>868</v>
      </c>
      <c r="B72" s="21" t="s">
        <v>925</v>
      </c>
      <c r="C72" s="22">
        <v>9824</v>
      </c>
      <c r="D72" s="14" t="s">
        <v>927</v>
      </c>
      <c r="E72" s="15" t="s">
        <v>413</v>
      </c>
      <c r="F72" s="14" t="s">
        <v>1382</v>
      </c>
      <c r="G72" s="15" t="s">
        <v>360</v>
      </c>
      <c r="H72" s="15"/>
      <c r="I72" s="14" t="s">
        <v>2184</v>
      </c>
    </row>
    <row r="73" spans="1:9" s="6" customFormat="1" ht="13.5" customHeight="1" x14ac:dyDescent="0.25">
      <c r="A73" s="14" t="s">
        <v>939</v>
      </c>
      <c r="B73" s="14" t="s">
        <v>996</v>
      </c>
      <c r="C73" s="83">
        <v>9599</v>
      </c>
      <c r="D73" s="14" t="s">
        <v>997</v>
      </c>
      <c r="E73" s="14" t="s">
        <v>413</v>
      </c>
      <c r="F73" s="14" t="s">
        <v>1429</v>
      </c>
      <c r="G73" s="14" t="s">
        <v>71</v>
      </c>
      <c r="H73" s="14"/>
      <c r="I73" s="69" t="s">
        <v>2185</v>
      </c>
    </row>
    <row r="74" spans="1:9" s="6" customFormat="1" ht="13.5" customHeight="1" x14ac:dyDescent="0.25">
      <c r="A74" s="14" t="s">
        <v>638</v>
      </c>
      <c r="B74" s="14" t="s">
        <v>733</v>
      </c>
      <c r="C74" s="83">
        <v>9297</v>
      </c>
      <c r="D74" s="14" t="s">
        <v>735</v>
      </c>
      <c r="E74" s="14" t="s">
        <v>413</v>
      </c>
      <c r="F74" s="14" t="s">
        <v>1255</v>
      </c>
      <c r="G74" s="14" t="s">
        <v>299</v>
      </c>
      <c r="H74" s="14"/>
      <c r="I74" s="57" t="s">
        <v>2186</v>
      </c>
    </row>
    <row r="75" spans="1:9" s="6" customFormat="1" ht="13.5" customHeight="1" x14ac:dyDescent="0.25">
      <c r="A75" s="14" t="s">
        <v>939</v>
      </c>
      <c r="B75" s="14" t="s">
        <v>980</v>
      </c>
      <c r="C75" s="68">
        <v>9655</v>
      </c>
      <c r="D75" s="54" t="s">
        <v>984</v>
      </c>
      <c r="E75" s="54" t="s">
        <v>413</v>
      </c>
      <c r="F75" s="54" t="s">
        <v>1421</v>
      </c>
      <c r="G75" s="54" t="s">
        <v>284</v>
      </c>
      <c r="H75" s="54"/>
      <c r="I75" s="14" t="s">
        <v>2192</v>
      </c>
    </row>
    <row r="76" spans="1:9" s="6" customFormat="1" ht="13.5" customHeight="1" x14ac:dyDescent="0.25">
      <c r="A76" s="16" t="s">
        <v>939</v>
      </c>
      <c r="B76" s="21" t="s">
        <v>969</v>
      </c>
      <c r="C76" s="24" t="s">
        <v>614</v>
      </c>
      <c r="D76" s="54" t="s">
        <v>970</v>
      </c>
      <c r="E76" s="16" t="s">
        <v>413</v>
      </c>
      <c r="F76" s="54" t="s">
        <v>1410</v>
      </c>
      <c r="G76" s="16" t="s">
        <v>355</v>
      </c>
      <c r="H76" s="16"/>
      <c r="I76" s="14" t="s">
        <v>2193</v>
      </c>
    </row>
    <row r="77" spans="1:9" s="6" customFormat="1" ht="13.5" customHeight="1" x14ac:dyDescent="0.25">
      <c r="A77" s="14" t="s">
        <v>939</v>
      </c>
      <c r="B77" s="53" t="s">
        <v>1043</v>
      </c>
      <c r="C77" s="19">
        <v>9650</v>
      </c>
      <c r="D77" s="53" t="s">
        <v>1045</v>
      </c>
      <c r="E77" s="53" t="s">
        <v>413</v>
      </c>
      <c r="F77" s="53" t="s">
        <v>1458</v>
      </c>
      <c r="G77" s="53" t="s">
        <v>235</v>
      </c>
      <c r="H77" s="53"/>
      <c r="I77" s="57" t="s">
        <v>2194</v>
      </c>
    </row>
    <row r="78" spans="1:9" s="6" customFormat="1" ht="13.5" customHeight="1" x14ac:dyDescent="0.25">
      <c r="A78" s="14" t="s">
        <v>939</v>
      </c>
      <c r="B78" s="21" t="s">
        <v>1035</v>
      </c>
      <c r="C78" s="73">
        <v>9510</v>
      </c>
      <c r="D78" s="14" t="s">
        <v>1038</v>
      </c>
      <c r="E78" s="14" t="s">
        <v>413</v>
      </c>
      <c r="F78" s="14" t="s">
        <v>1451</v>
      </c>
      <c r="G78" s="14" t="s">
        <v>388</v>
      </c>
      <c r="H78" s="53"/>
      <c r="I78" s="14" t="s">
        <v>2195</v>
      </c>
    </row>
    <row r="79" spans="1:9" s="6" customFormat="1" ht="13.5" customHeight="1" x14ac:dyDescent="0.25">
      <c r="A79" s="14" t="s">
        <v>702</v>
      </c>
      <c r="B79" s="21" t="s">
        <v>768</v>
      </c>
      <c r="C79" s="19">
        <v>9221</v>
      </c>
      <c r="D79" s="14" t="s">
        <v>770</v>
      </c>
      <c r="E79" s="14" t="s">
        <v>417</v>
      </c>
      <c r="F79" s="14" t="s">
        <v>1275</v>
      </c>
      <c r="G79" s="14" t="s">
        <v>129</v>
      </c>
      <c r="H79" s="53"/>
      <c r="I79" s="14" t="s">
        <v>2196</v>
      </c>
    </row>
    <row r="80" spans="1:9" s="6" customFormat="1" ht="13.5" customHeight="1" x14ac:dyDescent="0.25">
      <c r="A80" s="14" t="s">
        <v>638</v>
      </c>
      <c r="B80" s="14" t="s">
        <v>2133</v>
      </c>
      <c r="C80" s="94">
        <v>9292</v>
      </c>
      <c r="D80" s="14" t="s">
        <v>736</v>
      </c>
      <c r="E80" s="14" t="s">
        <v>417</v>
      </c>
      <c r="F80" s="14" t="s">
        <v>1256</v>
      </c>
      <c r="G80" s="14" t="s">
        <v>216</v>
      </c>
      <c r="H80" s="53"/>
      <c r="I80" s="14" t="s">
        <v>2197</v>
      </c>
    </row>
    <row r="81" spans="1:21" s="6" customFormat="1" ht="13.5" customHeight="1" x14ac:dyDescent="0.25">
      <c r="A81" s="15" t="s">
        <v>702</v>
      </c>
      <c r="B81" s="14" t="s">
        <v>787</v>
      </c>
      <c r="C81" s="19">
        <v>9441</v>
      </c>
      <c r="D81" s="14" t="s">
        <v>788</v>
      </c>
      <c r="E81" s="14" t="s">
        <v>417</v>
      </c>
      <c r="F81" s="14" t="s">
        <v>1287</v>
      </c>
      <c r="G81" s="14" t="s">
        <v>45</v>
      </c>
      <c r="H81" s="53"/>
      <c r="I81" s="14" t="s">
        <v>2198</v>
      </c>
    </row>
    <row r="82" spans="1:21" s="6" customFormat="1" ht="13.5" customHeight="1" x14ac:dyDescent="0.25">
      <c r="A82" s="14" t="s">
        <v>702</v>
      </c>
      <c r="B82" s="14" t="s">
        <v>797</v>
      </c>
      <c r="C82" s="19">
        <v>9271</v>
      </c>
      <c r="D82" s="14" t="s">
        <v>798</v>
      </c>
      <c r="E82" s="14" t="s">
        <v>417</v>
      </c>
      <c r="F82" s="14" t="s">
        <v>1294</v>
      </c>
      <c r="G82" s="14" t="s">
        <v>202</v>
      </c>
      <c r="H82" s="53"/>
      <c r="I82" s="14" t="s">
        <v>2199</v>
      </c>
    </row>
    <row r="83" spans="1:21" s="6" customFormat="1" ht="13.5" customHeight="1" x14ac:dyDescent="0.25">
      <c r="A83" s="14" t="s">
        <v>702</v>
      </c>
      <c r="B83" s="14" t="s">
        <v>797</v>
      </c>
      <c r="C83" s="19">
        <v>9271</v>
      </c>
      <c r="D83" s="14" t="s">
        <v>2093</v>
      </c>
      <c r="E83" s="14" t="s">
        <v>413</v>
      </c>
      <c r="F83" s="80" t="s">
        <v>2123</v>
      </c>
      <c r="G83" s="14" t="s">
        <v>307</v>
      </c>
      <c r="H83" s="53"/>
      <c r="I83" s="80" t="s">
        <v>2200</v>
      </c>
    </row>
    <row r="84" spans="1:21" s="6" customFormat="1" ht="13.5" customHeight="1" x14ac:dyDescent="0.25">
      <c r="A84" s="14" t="s">
        <v>702</v>
      </c>
      <c r="B84" s="14" t="s">
        <v>797</v>
      </c>
      <c r="C84" s="19">
        <v>9271</v>
      </c>
      <c r="D84" s="14" t="s">
        <v>800</v>
      </c>
      <c r="E84" s="14" t="s">
        <v>413</v>
      </c>
      <c r="F84" s="14" t="s">
        <v>1296</v>
      </c>
      <c r="G84" s="14" t="s">
        <v>399</v>
      </c>
      <c r="H84" s="53"/>
      <c r="I84" s="14" t="s">
        <v>2201</v>
      </c>
    </row>
    <row r="85" spans="1:21" s="6" customFormat="1" ht="13.5" customHeight="1" x14ac:dyDescent="0.25">
      <c r="A85" s="14" t="s">
        <v>702</v>
      </c>
      <c r="B85" s="14" t="s">
        <v>807</v>
      </c>
      <c r="C85" s="19">
        <v>9231</v>
      </c>
      <c r="D85" s="14" t="s">
        <v>809</v>
      </c>
      <c r="E85" s="14" t="s">
        <v>417</v>
      </c>
      <c r="F85" s="14" t="s">
        <v>1302</v>
      </c>
      <c r="G85" s="14" t="s">
        <v>240</v>
      </c>
      <c r="H85" s="53"/>
      <c r="I85" s="14" t="s">
        <v>2202</v>
      </c>
    </row>
    <row r="86" spans="1:21" s="6" customFormat="1" ht="13.5" customHeight="1" x14ac:dyDescent="0.25">
      <c r="A86" s="14" t="s">
        <v>702</v>
      </c>
      <c r="B86" s="14" t="s">
        <v>832</v>
      </c>
      <c r="C86" s="83">
        <v>9284</v>
      </c>
      <c r="D86" s="14" t="s">
        <v>835</v>
      </c>
      <c r="E86" s="14" t="s">
        <v>417</v>
      </c>
      <c r="F86" s="14" t="s">
        <v>1319</v>
      </c>
      <c r="G86" s="14" t="s">
        <v>236</v>
      </c>
      <c r="H86" s="14"/>
      <c r="I86" s="14" t="s">
        <v>2207</v>
      </c>
    </row>
    <row r="87" spans="1:21" s="6" customFormat="1" ht="13.5" customHeight="1" x14ac:dyDescent="0.25">
      <c r="A87" s="54" t="s">
        <v>702</v>
      </c>
      <c r="B87" s="14" t="s">
        <v>817</v>
      </c>
      <c r="C87" s="24">
        <v>9291</v>
      </c>
      <c r="D87" s="54" t="s">
        <v>2094</v>
      </c>
      <c r="E87" s="14" t="s">
        <v>417</v>
      </c>
      <c r="F87" s="14" t="s">
        <v>1309</v>
      </c>
      <c r="G87" s="14" t="s">
        <v>274</v>
      </c>
      <c r="H87" s="14"/>
      <c r="I87" s="14" t="s">
        <v>2208</v>
      </c>
    </row>
    <row r="88" spans="1:21" s="6" customFormat="1" ht="13.5" customHeight="1" x14ac:dyDescent="0.25">
      <c r="A88" s="14" t="s">
        <v>702</v>
      </c>
      <c r="B88" s="14" t="s">
        <v>817</v>
      </c>
      <c r="C88" s="24">
        <v>9291</v>
      </c>
      <c r="D88" s="72" t="s">
        <v>817</v>
      </c>
      <c r="E88" s="14" t="s">
        <v>413</v>
      </c>
      <c r="F88" s="67" t="s">
        <v>1980</v>
      </c>
      <c r="G88" s="14" t="s">
        <v>2087</v>
      </c>
      <c r="H88" s="14"/>
      <c r="I88" s="8" t="s">
        <v>2214</v>
      </c>
    </row>
    <row r="89" spans="1:21" s="6" customFormat="1" ht="13.5" customHeight="1" x14ac:dyDescent="0.25">
      <c r="A89" s="14" t="s">
        <v>702</v>
      </c>
      <c r="B89" s="14" t="s">
        <v>821</v>
      </c>
      <c r="C89" s="94">
        <v>9227</v>
      </c>
      <c r="D89" s="14" t="s">
        <v>822</v>
      </c>
      <c r="E89" s="14" t="s">
        <v>413</v>
      </c>
      <c r="F89" s="14" t="s">
        <v>1310</v>
      </c>
      <c r="G89" s="14" t="s">
        <v>23</v>
      </c>
      <c r="H89" s="14"/>
      <c r="I89" s="13" t="s">
        <v>2215</v>
      </c>
    </row>
    <row r="90" spans="1:21" s="6" customFormat="1" ht="13.5" customHeight="1" x14ac:dyDescent="0.25">
      <c r="A90" s="14" t="s">
        <v>2082</v>
      </c>
      <c r="B90" s="14" t="s">
        <v>591</v>
      </c>
      <c r="C90" s="19">
        <v>9838</v>
      </c>
      <c r="D90" s="14" t="s">
        <v>593</v>
      </c>
      <c r="E90" s="14" t="s">
        <v>413</v>
      </c>
      <c r="F90" s="14" t="s">
        <v>1176</v>
      </c>
      <c r="G90" s="14" t="s">
        <v>341</v>
      </c>
      <c r="H90" s="14"/>
      <c r="I90" s="14" t="s">
        <v>2216</v>
      </c>
    </row>
    <row r="91" spans="1:21" s="6" customFormat="1" ht="13.5" customHeight="1" x14ac:dyDescent="0.25">
      <c r="A91" s="14" t="s">
        <v>868</v>
      </c>
      <c r="B91" s="13" t="s">
        <v>904</v>
      </c>
      <c r="C91" s="94">
        <v>9820</v>
      </c>
      <c r="D91" s="14" t="s">
        <v>906</v>
      </c>
      <c r="E91" s="14" t="s">
        <v>413</v>
      </c>
      <c r="F91" s="14" t="s">
        <v>1362</v>
      </c>
      <c r="G91" s="14" t="s">
        <v>15</v>
      </c>
      <c r="H91" s="14"/>
      <c r="I91" s="14" t="s">
        <v>2217</v>
      </c>
    </row>
    <row r="92" spans="1:21" s="6" customFormat="1" ht="13.5" customHeight="1" x14ac:dyDescent="0.25">
      <c r="A92" s="14" t="s">
        <v>702</v>
      </c>
      <c r="B92" s="14" t="s">
        <v>827</v>
      </c>
      <c r="C92" s="94">
        <v>9249</v>
      </c>
      <c r="D92" s="14" t="s">
        <v>828</v>
      </c>
      <c r="E92" s="14" t="s">
        <v>413</v>
      </c>
      <c r="F92" s="14" t="s">
        <v>1314</v>
      </c>
      <c r="G92" s="14" t="s">
        <v>42</v>
      </c>
      <c r="H92" s="70"/>
      <c r="I92" s="12" t="s">
        <v>2219</v>
      </c>
      <c r="J92"/>
      <c r="K92"/>
      <c r="L92"/>
      <c r="M92"/>
      <c r="N92"/>
      <c r="O92"/>
      <c r="P92"/>
      <c r="Q92"/>
      <c r="R92"/>
      <c r="S92"/>
      <c r="T92"/>
      <c r="U92"/>
    </row>
    <row r="93" spans="1:21" s="6" customFormat="1" ht="13.5" customHeight="1" x14ac:dyDescent="0.25">
      <c r="A93" s="14" t="s">
        <v>702</v>
      </c>
      <c r="B93" s="14" t="s">
        <v>827</v>
      </c>
      <c r="C93" s="94">
        <v>9249</v>
      </c>
      <c r="D93" s="14" t="s">
        <v>829</v>
      </c>
      <c r="E93" s="14" t="s">
        <v>417</v>
      </c>
      <c r="F93" s="14" t="s">
        <v>1315</v>
      </c>
      <c r="G93" s="14" t="s">
        <v>145</v>
      </c>
      <c r="H93" s="3"/>
      <c r="I93" s="12" t="s">
        <v>2219</v>
      </c>
      <c r="J93"/>
      <c r="K93"/>
      <c r="L93"/>
      <c r="M93"/>
      <c r="N93"/>
      <c r="O93"/>
      <c r="P93"/>
      <c r="Q93"/>
      <c r="R93"/>
      <c r="S93"/>
      <c r="T93"/>
      <c r="U93"/>
    </row>
    <row r="94" spans="1:21" s="6" customFormat="1" ht="13.5" customHeight="1" x14ac:dyDescent="0.25">
      <c r="A94" s="15" t="s">
        <v>702</v>
      </c>
      <c r="B94" s="21" t="s">
        <v>860</v>
      </c>
      <c r="C94" s="22">
        <v>9964</v>
      </c>
      <c r="D94" s="14" t="s">
        <v>2095</v>
      </c>
      <c r="E94" s="15" t="s">
        <v>413</v>
      </c>
      <c r="F94" s="14" t="s">
        <v>1333</v>
      </c>
      <c r="G94" s="1" t="s">
        <v>352</v>
      </c>
      <c r="H94" s="1"/>
      <c r="I94" s="14" t="s">
        <v>2220</v>
      </c>
    </row>
    <row r="95" spans="1:21" s="6" customFormat="1" ht="13.5" customHeight="1" x14ac:dyDescent="0.25">
      <c r="A95" s="14" t="s">
        <v>638</v>
      </c>
      <c r="B95" s="14" t="s">
        <v>755</v>
      </c>
      <c r="C95" s="96">
        <v>9937</v>
      </c>
      <c r="D95" s="14" t="s">
        <v>756</v>
      </c>
      <c r="E95" s="14" t="s">
        <v>413</v>
      </c>
      <c r="F95" s="14" t="s">
        <v>1268</v>
      </c>
      <c r="G95" s="14" t="s">
        <v>300</v>
      </c>
      <c r="H95" s="1"/>
      <c r="I95" s="14" t="s">
        <v>2221</v>
      </c>
    </row>
    <row r="96" spans="1:21" s="6" customFormat="1" ht="13.5" customHeight="1" x14ac:dyDescent="0.25">
      <c r="A96" s="14" t="s">
        <v>939</v>
      </c>
      <c r="B96" s="14" t="s">
        <v>980</v>
      </c>
      <c r="C96" s="97">
        <v>9655</v>
      </c>
      <c r="D96" s="109" t="s">
        <v>987</v>
      </c>
      <c r="E96" s="54" t="s">
        <v>413</v>
      </c>
      <c r="F96" s="54" t="s">
        <v>988</v>
      </c>
      <c r="G96" s="54" t="s">
        <v>2038</v>
      </c>
      <c r="H96" s="1"/>
      <c r="I96" s="14" t="s">
        <v>2383</v>
      </c>
      <c r="J96" s="105"/>
      <c r="K96" s="105"/>
    </row>
    <row r="97" spans="1:12" s="6" customFormat="1" ht="13.5" customHeight="1" x14ac:dyDescent="0.25">
      <c r="A97" s="14" t="s">
        <v>939</v>
      </c>
      <c r="B97" s="14" t="s">
        <v>980</v>
      </c>
      <c r="C97" s="97">
        <v>9655</v>
      </c>
      <c r="D97" s="14" t="s">
        <v>981</v>
      </c>
      <c r="E97" s="14" t="s">
        <v>413</v>
      </c>
      <c r="F97" s="14" t="s">
        <v>1418</v>
      </c>
      <c r="G97" s="14" t="s">
        <v>50</v>
      </c>
      <c r="H97" s="1"/>
      <c r="I97" s="14" t="s">
        <v>2384</v>
      </c>
      <c r="J97" s="105"/>
      <c r="K97" s="105"/>
    </row>
    <row r="98" spans="1:12" s="6" customFormat="1" ht="13.5" customHeight="1" x14ac:dyDescent="0.25">
      <c r="A98" s="14" t="s">
        <v>638</v>
      </c>
      <c r="B98" s="14" t="s">
        <v>688</v>
      </c>
      <c r="C98" s="97">
        <v>9217</v>
      </c>
      <c r="D98" s="8" t="s">
        <v>2075</v>
      </c>
      <c r="E98" s="63" t="s">
        <v>413</v>
      </c>
      <c r="F98" s="64" t="s">
        <v>2077</v>
      </c>
      <c r="G98" s="64" t="s">
        <v>2076</v>
      </c>
      <c r="H98" s="1"/>
      <c r="I98" s="8" t="s">
        <v>2385</v>
      </c>
      <c r="J98" s="105"/>
      <c r="K98" s="105"/>
    </row>
    <row r="99" spans="1:12" s="6" customFormat="1" ht="13.5" customHeight="1" x14ac:dyDescent="0.25">
      <c r="A99" s="14" t="s">
        <v>702</v>
      </c>
      <c r="B99" s="14" t="s">
        <v>667</v>
      </c>
      <c r="C99" s="19">
        <v>9224</v>
      </c>
      <c r="D99" s="14" t="s">
        <v>670</v>
      </c>
      <c r="E99" s="14" t="s">
        <v>413</v>
      </c>
      <c r="F99" s="14" t="s">
        <v>1216</v>
      </c>
      <c r="G99" s="14"/>
      <c r="H99" s="1"/>
      <c r="I99" s="14" t="s">
        <v>2386</v>
      </c>
      <c r="J99" s="105"/>
      <c r="K99" s="105"/>
    </row>
    <row r="100" spans="1:12" s="6" customFormat="1" ht="13.5" customHeight="1" x14ac:dyDescent="0.25">
      <c r="A100" s="14" t="s">
        <v>702</v>
      </c>
      <c r="B100" s="14" t="s">
        <v>839</v>
      </c>
      <c r="C100" s="111">
        <v>9229</v>
      </c>
      <c r="D100" s="14" t="s">
        <v>841</v>
      </c>
      <c r="E100" s="14" t="s">
        <v>417</v>
      </c>
      <c r="F100" s="14" t="s">
        <v>1323</v>
      </c>
      <c r="G100" s="14" t="s">
        <v>172</v>
      </c>
      <c r="H100" s="1"/>
      <c r="I100" s="13" t="s">
        <v>2387</v>
      </c>
      <c r="J100" s="107"/>
      <c r="K100" s="105"/>
    </row>
    <row r="101" spans="1:12" s="6" customFormat="1" ht="13.5" customHeight="1" x14ac:dyDescent="0.25">
      <c r="A101" s="14" t="s">
        <v>702</v>
      </c>
      <c r="B101" s="14" t="s">
        <v>830</v>
      </c>
      <c r="C101" s="97">
        <v>9228</v>
      </c>
      <c r="D101" s="14" t="s">
        <v>831</v>
      </c>
      <c r="E101" s="14" t="s">
        <v>2210</v>
      </c>
      <c r="F101" s="14" t="s">
        <v>2211</v>
      </c>
      <c r="G101" s="14" t="s">
        <v>160</v>
      </c>
      <c r="H101" s="1"/>
      <c r="I101" s="84" t="s">
        <v>2388</v>
      </c>
      <c r="J101" s="115"/>
      <c r="K101" s="115"/>
    </row>
    <row r="102" spans="1:12" s="6" customFormat="1" ht="13.5" customHeight="1" x14ac:dyDescent="0.25">
      <c r="A102" s="53" t="s">
        <v>2082</v>
      </c>
      <c r="B102" s="53" t="s">
        <v>576</v>
      </c>
      <c r="C102" s="19">
        <v>9389</v>
      </c>
      <c r="D102" s="53" t="s">
        <v>577</v>
      </c>
      <c r="E102" s="53" t="s">
        <v>417</v>
      </c>
      <c r="F102" s="53" t="s">
        <v>1171</v>
      </c>
      <c r="G102" s="53" t="s">
        <v>123</v>
      </c>
      <c r="H102" s="1"/>
      <c r="I102" s="10" t="s">
        <v>2398</v>
      </c>
      <c r="J102" s="114"/>
      <c r="K102" s="114"/>
      <c r="L102" s="109"/>
    </row>
    <row r="103" spans="1:12" s="6" customFormat="1" ht="13.5" customHeight="1" x14ac:dyDescent="0.25">
      <c r="A103" s="14" t="s">
        <v>939</v>
      </c>
      <c r="B103" s="14" t="s">
        <v>1012</v>
      </c>
      <c r="C103" s="19">
        <v>9520</v>
      </c>
      <c r="D103" s="14" t="s">
        <v>1013</v>
      </c>
      <c r="E103" s="14" t="s">
        <v>417</v>
      </c>
      <c r="F103" s="14" t="s">
        <v>1433</v>
      </c>
      <c r="G103" s="14" t="s">
        <v>385</v>
      </c>
      <c r="H103" s="1"/>
      <c r="I103" s="14" t="s">
        <v>2399</v>
      </c>
      <c r="J103" s="105"/>
      <c r="K103" s="105"/>
    </row>
    <row r="104" spans="1:12" s="6" customFormat="1" ht="13.5" customHeight="1" x14ac:dyDescent="0.25">
      <c r="A104" s="14" t="s">
        <v>2082</v>
      </c>
      <c r="B104" s="14" t="s">
        <v>552</v>
      </c>
      <c r="C104" s="24">
        <v>9310</v>
      </c>
      <c r="D104" s="54" t="s">
        <v>553</v>
      </c>
      <c r="E104" s="54" t="s">
        <v>417</v>
      </c>
      <c r="F104" s="54" t="s">
        <v>1155</v>
      </c>
      <c r="G104" s="54" t="s">
        <v>122</v>
      </c>
      <c r="H104" s="54"/>
      <c r="I104" s="14" t="s">
        <v>2148</v>
      </c>
      <c r="J104" s="105"/>
      <c r="K104" s="105"/>
    </row>
    <row r="106" spans="1:12" s="6" customFormat="1" ht="13.5" customHeight="1" x14ac:dyDescent="0.25">
      <c r="A106" s="53" t="s">
        <v>2082</v>
      </c>
      <c r="B106" s="53" t="s">
        <v>552</v>
      </c>
      <c r="C106" s="61">
        <v>9310</v>
      </c>
      <c r="D106" s="62" t="s">
        <v>554</v>
      </c>
      <c r="E106" s="62" t="s">
        <v>413</v>
      </c>
      <c r="F106" s="62" t="s">
        <v>1156</v>
      </c>
      <c r="G106" s="62" t="s">
        <v>328</v>
      </c>
      <c r="H106" s="62"/>
      <c r="I106" s="14" t="s">
        <v>2130</v>
      </c>
      <c r="J106" s="105"/>
      <c r="K106" s="105"/>
    </row>
    <row r="107" spans="1:12" s="6" customFormat="1" ht="13.5" customHeight="1" x14ac:dyDescent="0.25">
      <c r="A107" s="14" t="s">
        <v>2082</v>
      </c>
      <c r="B107" s="14" t="s">
        <v>470</v>
      </c>
      <c r="C107" s="19">
        <v>9484</v>
      </c>
      <c r="D107" s="14" t="s">
        <v>471</v>
      </c>
      <c r="E107" s="14" t="s">
        <v>417</v>
      </c>
      <c r="F107" s="14" t="s">
        <v>1098</v>
      </c>
      <c r="G107" s="14" t="s">
        <v>69</v>
      </c>
      <c r="H107" s="62"/>
      <c r="I107" s="116" t="s">
        <v>2405</v>
      </c>
      <c r="J107" s="105"/>
    </row>
    <row r="108" spans="1:12" s="6" customFormat="1" ht="13.5" customHeight="1" x14ac:dyDescent="0.25">
      <c r="A108" s="14" t="s">
        <v>2082</v>
      </c>
      <c r="B108" s="14" t="s">
        <v>470</v>
      </c>
      <c r="C108" s="19">
        <v>9484</v>
      </c>
      <c r="D108" s="14" t="s">
        <v>472</v>
      </c>
      <c r="E108" s="14" t="s">
        <v>413</v>
      </c>
      <c r="F108" s="14" t="s">
        <v>1099</v>
      </c>
      <c r="G108" s="14" t="s">
        <v>286</v>
      </c>
      <c r="H108" s="62"/>
      <c r="I108" s="116" t="s">
        <v>2405</v>
      </c>
      <c r="J108" s="105"/>
    </row>
    <row r="109" spans="1:12" s="6" customFormat="1" ht="13.5" customHeight="1" x14ac:dyDescent="0.25">
      <c r="A109" s="14" t="s">
        <v>2082</v>
      </c>
      <c r="B109" s="14" t="s">
        <v>496</v>
      </c>
      <c r="C109" s="97">
        <v>9417</v>
      </c>
      <c r="D109" s="14" t="s">
        <v>497</v>
      </c>
      <c r="E109" s="14" t="s">
        <v>413</v>
      </c>
      <c r="F109" s="14" t="s">
        <v>1118</v>
      </c>
      <c r="G109" s="14" t="s">
        <v>7</v>
      </c>
      <c r="H109" s="62"/>
      <c r="I109" s="116" t="s">
        <v>2405</v>
      </c>
    </row>
    <row r="110" spans="1:12" s="6" customFormat="1" ht="13.5" customHeight="1" x14ac:dyDescent="0.25">
      <c r="A110" s="14" t="s">
        <v>2082</v>
      </c>
      <c r="B110" s="14" t="s">
        <v>529</v>
      </c>
      <c r="C110" s="23">
        <v>9399</v>
      </c>
      <c r="D110" s="54" t="s">
        <v>530</v>
      </c>
      <c r="E110" s="54" t="s">
        <v>413</v>
      </c>
      <c r="F110" s="54" t="s">
        <v>1142</v>
      </c>
      <c r="G110" s="54" t="s">
        <v>269</v>
      </c>
      <c r="H110" s="62"/>
      <c r="I110" s="14" t="s">
        <v>2406</v>
      </c>
      <c r="J110" s="105" t="s">
        <v>2238</v>
      </c>
    </row>
    <row r="111" spans="1:12" s="6" customFormat="1" ht="13.5" customHeight="1" x14ac:dyDescent="0.25">
      <c r="A111" s="14" t="s">
        <v>638</v>
      </c>
      <c r="B111" s="14" t="s">
        <v>763</v>
      </c>
      <c r="C111" s="97">
        <v>9253</v>
      </c>
      <c r="D111" s="14" t="s">
        <v>764</v>
      </c>
      <c r="E111" s="14" t="s">
        <v>417</v>
      </c>
      <c r="F111" s="14" t="s">
        <v>1272</v>
      </c>
      <c r="G111" s="14" t="s">
        <v>55</v>
      </c>
      <c r="H111" s="62"/>
      <c r="I111" s="116" t="s">
        <v>2407</v>
      </c>
    </row>
    <row r="112" spans="1:12" s="6" customFormat="1" ht="13.5" customHeight="1" x14ac:dyDescent="0.25">
      <c r="A112" s="15" t="s">
        <v>638</v>
      </c>
      <c r="B112" s="15" t="s">
        <v>648</v>
      </c>
      <c r="C112" s="19">
        <v>9955</v>
      </c>
      <c r="D112" s="14" t="s">
        <v>649</v>
      </c>
      <c r="E112" s="15" t="s">
        <v>417</v>
      </c>
      <c r="F112" s="14" t="s">
        <v>1205</v>
      </c>
      <c r="G112" s="15" t="s">
        <v>351</v>
      </c>
      <c r="H112" s="62"/>
      <c r="I112" s="14" t="s">
        <v>2422</v>
      </c>
      <c r="J112" s="105" t="s">
        <v>2238</v>
      </c>
      <c r="K112" s="105" t="str">
        <f>VLOOKUP(C112,'Status oficina'!$A$2:$C$208,3,FALSE)</f>
        <v>Cierre definitivo</v>
      </c>
    </row>
    <row r="113" spans="1:9" x14ac:dyDescent="0.25">
      <c r="A113" s="15" t="s">
        <v>638</v>
      </c>
      <c r="B113" s="15" t="s">
        <v>686</v>
      </c>
      <c r="C113" s="19">
        <v>9304</v>
      </c>
      <c r="D113" s="14" t="s">
        <v>687</v>
      </c>
      <c r="E113" s="15" t="s">
        <v>413</v>
      </c>
      <c r="F113" s="14" t="s">
        <v>1227</v>
      </c>
      <c r="G113" s="15" t="s">
        <v>134</v>
      </c>
      <c r="H113" s="62"/>
      <c r="I113" s="14" t="s">
        <v>2421</v>
      </c>
    </row>
    <row r="114" spans="1:9" x14ac:dyDescent="0.25">
      <c r="A114" s="14" t="s">
        <v>638</v>
      </c>
      <c r="B114" s="14" t="s">
        <v>727</v>
      </c>
      <c r="C114" s="119">
        <v>9246</v>
      </c>
      <c r="D114" s="14" t="s">
        <v>729</v>
      </c>
      <c r="E114" s="14" t="s">
        <v>413</v>
      </c>
      <c r="F114" s="14" t="s">
        <v>1251</v>
      </c>
      <c r="G114" s="14" t="s">
        <v>292</v>
      </c>
      <c r="H114" s="70"/>
      <c r="I114" s="70" t="s">
        <v>2423</v>
      </c>
    </row>
    <row r="115" spans="1:9" x14ac:dyDescent="0.25">
      <c r="A115" s="14" t="s">
        <v>638</v>
      </c>
      <c r="B115" s="14" t="s">
        <v>722</v>
      </c>
      <c r="C115" s="19">
        <v>9298</v>
      </c>
      <c r="D115" s="14" t="s">
        <v>723</v>
      </c>
      <c r="E115" s="14" t="s">
        <v>417</v>
      </c>
      <c r="F115" s="14" t="s">
        <v>1247</v>
      </c>
      <c r="G115" s="14" t="s">
        <v>152</v>
      </c>
      <c r="H115" s="70"/>
      <c r="I115" s="70" t="s">
        <v>2424</v>
      </c>
    </row>
    <row r="116" spans="1:9" x14ac:dyDescent="0.25">
      <c r="A116" s="14" t="s">
        <v>638</v>
      </c>
      <c r="B116" s="14" t="s">
        <v>722</v>
      </c>
      <c r="C116" s="19">
        <v>9298</v>
      </c>
      <c r="D116" s="14" t="s">
        <v>724</v>
      </c>
      <c r="E116" s="14" t="s">
        <v>413</v>
      </c>
      <c r="F116" s="14" t="s">
        <v>1248</v>
      </c>
      <c r="G116" s="14" t="s">
        <v>329</v>
      </c>
      <c r="H116" s="70"/>
      <c r="I116" s="70" t="s">
        <v>2424</v>
      </c>
    </row>
    <row r="117" spans="1:9" x14ac:dyDescent="0.25">
      <c r="A117" s="14" t="s">
        <v>2082</v>
      </c>
      <c r="B117" s="14" t="s">
        <v>579</v>
      </c>
      <c r="C117" s="19">
        <v>9845</v>
      </c>
      <c r="D117" s="14" t="s">
        <v>582</v>
      </c>
      <c r="E117" s="15" t="s">
        <v>413</v>
      </c>
      <c r="F117" s="14" t="s">
        <v>1172</v>
      </c>
      <c r="G117" s="15" t="s">
        <v>364</v>
      </c>
      <c r="H117" s="70"/>
      <c r="I117" s="70" t="s">
        <v>2425</v>
      </c>
    </row>
    <row r="118" spans="1:9" x14ac:dyDescent="0.25">
      <c r="A118" s="14" t="s">
        <v>702</v>
      </c>
      <c r="B118" s="14" t="s">
        <v>797</v>
      </c>
      <c r="C118" s="19">
        <v>9271</v>
      </c>
      <c r="D118" s="14" t="s">
        <v>2105</v>
      </c>
      <c r="E118" s="14" t="s">
        <v>417</v>
      </c>
      <c r="F118" s="14" t="s">
        <v>1293</v>
      </c>
      <c r="G118" s="14" t="s">
        <v>147</v>
      </c>
      <c r="H118" s="70"/>
      <c r="I118" s="70" t="s">
        <v>2425</v>
      </c>
    </row>
    <row r="119" spans="1:9" x14ac:dyDescent="0.25">
      <c r="A119" s="53" t="s">
        <v>868</v>
      </c>
      <c r="B119" s="53" t="s">
        <v>446</v>
      </c>
      <c r="C119" s="22">
        <v>9821</v>
      </c>
      <c r="D119" s="14" t="s">
        <v>456</v>
      </c>
      <c r="E119" s="15" t="s">
        <v>413</v>
      </c>
      <c r="F119" s="14" t="s">
        <v>457</v>
      </c>
      <c r="G119" s="15" t="s">
        <v>377</v>
      </c>
      <c r="H119" s="70"/>
      <c r="I119" s="70" t="s">
        <v>2425</v>
      </c>
    </row>
    <row r="120" spans="1:9" x14ac:dyDescent="0.25">
      <c r="A120" s="14" t="s">
        <v>702</v>
      </c>
      <c r="B120" s="14" t="s">
        <v>839</v>
      </c>
      <c r="C120" s="119">
        <v>9229</v>
      </c>
      <c r="D120" s="14" t="s">
        <v>840</v>
      </c>
      <c r="E120" s="14" t="s">
        <v>417</v>
      </c>
      <c r="F120" s="14" t="s">
        <v>1322</v>
      </c>
      <c r="G120" s="14" t="s">
        <v>38</v>
      </c>
      <c r="H120" s="70"/>
      <c r="I120" s="70" t="s">
        <v>2425</v>
      </c>
    </row>
    <row r="121" spans="1:9" x14ac:dyDescent="0.25">
      <c r="A121" s="14" t="s">
        <v>939</v>
      </c>
      <c r="B121" s="14" t="s">
        <v>1040</v>
      </c>
      <c r="C121" s="119">
        <v>9647</v>
      </c>
      <c r="D121" s="14" t="s">
        <v>1042</v>
      </c>
      <c r="E121" s="14" t="s">
        <v>413</v>
      </c>
      <c r="F121" s="14" t="s">
        <v>1456</v>
      </c>
      <c r="G121" s="14" t="s">
        <v>201</v>
      </c>
      <c r="H121" s="70"/>
      <c r="I121" s="70" t="s">
        <v>2425</v>
      </c>
    </row>
    <row r="122" spans="1:9" x14ac:dyDescent="0.25">
      <c r="A122" s="53" t="s">
        <v>868</v>
      </c>
      <c r="B122" s="53" t="s">
        <v>446</v>
      </c>
      <c r="C122" s="119">
        <v>9821</v>
      </c>
      <c r="D122" s="14" t="s">
        <v>447</v>
      </c>
      <c r="E122" s="14" t="s">
        <v>417</v>
      </c>
      <c r="F122" s="14" t="s">
        <v>1084</v>
      </c>
      <c r="G122" s="14" t="s">
        <v>2</v>
      </c>
      <c r="H122" s="70"/>
      <c r="I122" s="70" t="s">
        <v>2425</v>
      </c>
    </row>
    <row r="123" spans="1:9" x14ac:dyDescent="0.25">
      <c r="A123" s="53" t="s">
        <v>868</v>
      </c>
      <c r="B123" s="53" t="s">
        <v>441</v>
      </c>
      <c r="C123" s="119">
        <v>9869</v>
      </c>
      <c r="D123" s="14" t="s">
        <v>442</v>
      </c>
      <c r="E123" s="14" t="s">
        <v>413</v>
      </c>
      <c r="F123" s="14" t="s">
        <v>1081</v>
      </c>
      <c r="G123" s="14" t="s">
        <v>285</v>
      </c>
      <c r="H123" s="70"/>
      <c r="I123" s="70" t="s">
        <v>2425</v>
      </c>
    </row>
    <row r="124" spans="1:9" x14ac:dyDescent="0.25">
      <c r="A124" s="15" t="s">
        <v>702</v>
      </c>
      <c r="B124" s="15" t="s">
        <v>790</v>
      </c>
      <c r="C124" s="19">
        <v>9270</v>
      </c>
      <c r="D124" s="14" t="s">
        <v>792</v>
      </c>
      <c r="E124" s="15" t="s">
        <v>413</v>
      </c>
      <c r="F124" s="14" t="s">
        <v>1290</v>
      </c>
      <c r="G124" s="70"/>
      <c r="H124" s="70"/>
      <c r="I124" s="70" t="s">
        <v>2426</v>
      </c>
    </row>
    <row r="125" spans="1:9" x14ac:dyDescent="0.25">
      <c r="A125" s="14" t="s">
        <v>2082</v>
      </c>
      <c r="B125" s="14" t="s">
        <v>563</v>
      </c>
      <c r="C125" s="24">
        <v>9341</v>
      </c>
      <c r="D125" s="54" t="s">
        <v>564</v>
      </c>
      <c r="E125" s="54" t="s">
        <v>413</v>
      </c>
      <c r="F125" s="54" t="s">
        <v>1163</v>
      </c>
      <c r="G125" s="54" t="s">
        <v>320</v>
      </c>
      <c r="H125" s="70"/>
      <c r="I125" s="70" t="s">
        <v>2448</v>
      </c>
    </row>
    <row r="126" spans="1:9" x14ac:dyDescent="0.25">
      <c r="A126" s="53" t="s">
        <v>868</v>
      </c>
      <c r="B126" s="53" t="s">
        <v>454</v>
      </c>
      <c r="C126" s="120">
        <v>9873</v>
      </c>
      <c r="D126" s="14" t="s">
        <v>455</v>
      </c>
      <c r="E126" s="14" t="s">
        <v>417</v>
      </c>
      <c r="F126" s="14" t="s">
        <v>1088</v>
      </c>
      <c r="G126" s="14" t="s">
        <v>161</v>
      </c>
      <c r="H126" s="70"/>
      <c r="I126" s="70" t="s">
        <v>2450</v>
      </c>
    </row>
    <row r="127" spans="1:9" x14ac:dyDescent="0.25">
      <c r="A127" s="14" t="s">
        <v>2442</v>
      </c>
      <c r="B127" s="14" t="s">
        <v>836</v>
      </c>
      <c r="C127" s="121">
        <v>9225</v>
      </c>
      <c r="D127" s="14" t="s">
        <v>837</v>
      </c>
      <c r="E127" s="14" t="s">
        <v>417</v>
      </c>
      <c r="F127" s="14" t="s">
        <v>1320</v>
      </c>
      <c r="G127" s="14" t="s">
        <v>64</v>
      </c>
      <c r="H127" s="70"/>
      <c r="I127" s="70" t="s">
        <v>2450</v>
      </c>
    </row>
    <row r="128" spans="1:9" x14ac:dyDescent="0.25">
      <c r="A128" s="14" t="s">
        <v>2442</v>
      </c>
      <c r="B128" s="15" t="s">
        <v>790</v>
      </c>
      <c r="C128" s="19">
        <v>9270</v>
      </c>
      <c r="D128" s="14" t="s">
        <v>791</v>
      </c>
      <c r="E128" s="15" t="s">
        <v>413</v>
      </c>
      <c r="F128" s="14" t="s">
        <v>1268</v>
      </c>
      <c r="G128" s="70"/>
      <c r="H128" s="70"/>
      <c r="I128" s="70" t="s">
        <v>2450</v>
      </c>
    </row>
    <row r="129" spans="1:23" x14ac:dyDescent="0.25">
      <c r="A129" s="53" t="s">
        <v>2441</v>
      </c>
      <c r="B129" s="14" t="s">
        <v>747</v>
      </c>
      <c r="C129" s="124">
        <v>9212</v>
      </c>
      <c r="D129" s="14" t="s">
        <v>748</v>
      </c>
      <c r="E129" s="14" t="s">
        <v>417</v>
      </c>
      <c r="F129" s="14" t="s">
        <v>1264</v>
      </c>
      <c r="G129" s="14"/>
      <c r="H129" s="70"/>
      <c r="I129" s="70" t="s">
        <v>2450</v>
      </c>
    </row>
    <row r="130" spans="1:23" x14ac:dyDescent="0.25">
      <c r="A130" s="53" t="s">
        <v>2441</v>
      </c>
      <c r="B130" s="14" t="s">
        <v>747</v>
      </c>
      <c r="C130" s="124">
        <v>9212</v>
      </c>
      <c r="D130" s="14" t="s">
        <v>749</v>
      </c>
      <c r="E130" s="14" t="s">
        <v>413</v>
      </c>
      <c r="F130" s="14" t="s">
        <v>1265</v>
      </c>
      <c r="G130" s="70"/>
      <c r="H130" s="70"/>
      <c r="I130" s="70" t="s">
        <v>2450</v>
      </c>
    </row>
    <row r="131" spans="1:23" x14ac:dyDescent="0.25">
      <c r="A131" s="14" t="s">
        <v>2082</v>
      </c>
      <c r="B131" s="14" t="s">
        <v>2085</v>
      </c>
      <c r="C131" s="22">
        <v>9414</v>
      </c>
      <c r="D131" s="14" t="s">
        <v>491</v>
      </c>
      <c r="E131" s="14" t="s">
        <v>417</v>
      </c>
      <c r="F131" s="14" t="s">
        <v>1112</v>
      </c>
      <c r="G131" s="14" t="s">
        <v>156</v>
      </c>
      <c r="H131" s="70"/>
      <c r="I131" s="70" t="s">
        <v>2472</v>
      </c>
    </row>
    <row r="132" spans="1:23" x14ac:dyDescent="0.25">
      <c r="A132" s="14" t="s">
        <v>2082</v>
      </c>
      <c r="B132" s="14" t="s">
        <v>2085</v>
      </c>
      <c r="C132" s="22">
        <v>9414</v>
      </c>
      <c r="D132" s="14" t="s">
        <v>2204</v>
      </c>
      <c r="E132" s="14" t="s">
        <v>413</v>
      </c>
      <c r="F132" s="14" t="s">
        <v>1113</v>
      </c>
      <c r="G132" s="14" t="s">
        <v>219</v>
      </c>
      <c r="H132" s="70"/>
      <c r="I132" s="70" t="s">
        <v>2472</v>
      </c>
    </row>
    <row r="133" spans="1:23" s="7" customFormat="1" ht="13.5" customHeight="1" x14ac:dyDescent="0.25">
      <c r="A133" s="53" t="s">
        <v>2441</v>
      </c>
      <c r="B133" s="14" t="s">
        <v>2394</v>
      </c>
      <c r="C133" s="126">
        <v>9217</v>
      </c>
      <c r="D133" s="14" t="s">
        <v>2075</v>
      </c>
      <c r="E133" s="14" t="s">
        <v>413</v>
      </c>
      <c r="F133" s="14" t="s">
        <v>1340</v>
      </c>
      <c r="G133" s="14" t="s">
        <v>2172</v>
      </c>
      <c r="H133" s="70"/>
      <c r="I133" s="130" t="s">
        <v>2479</v>
      </c>
      <c r="J133" s="127">
        <v>0</v>
      </c>
      <c r="K133" s="127">
        <v>241261</v>
      </c>
      <c r="L133" s="127">
        <v>0</v>
      </c>
      <c r="M133" s="127">
        <v>241261</v>
      </c>
      <c r="N133" s="127">
        <v>0</v>
      </c>
      <c r="O133" s="127">
        <v>241261</v>
      </c>
      <c r="P133" s="127">
        <v>0</v>
      </c>
      <c r="Q133" s="127">
        <v>241261</v>
      </c>
      <c r="R133" s="127">
        <v>0</v>
      </c>
      <c r="S133" s="128">
        <v>0</v>
      </c>
      <c r="T133" s="129">
        <v>46024</v>
      </c>
      <c r="U133" s="14" t="s">
        <v>2395</v>
      </c>
      <c r="V133" s="105" t="s">
        <v>2374</v>
      </c>
      <c r="W133" s="105" t="str">
        <f>VLOOKUP(C133,'Status oficina'!$A$2:$C$208,3,FALSE)</f>
        <v>Activa</v>
      </c>
    </row>
    <row r="134" spans="1:23" x14ac:dyDescent="0.25">
      <c r="A134" s="70" t="s">
        <v>2082</v>
      </c>
      <c r="B134" s="70" t="s">
        <v>591</v>
      </c>
      <c r="C134" s="131">
        <v>9838</v>
      </c>
      <c r="D134" s="70" t="s">
        <v>592</v>
      </c>
      <c r="E134" s="70" t="s">
        <v>417</v>
      </c>
      <c r="F134" s="70" t="s">
        <v>1175</v>
      </c>
      <c r="G134" s="70" t="s">
        <v>66</v>
      </c>
      <c r="H134" s="70"/>
      <c r="I134" s="70" t="s">
        <v>2480</v>
      </c>
    </row>
    <row r="135" spans="1:23" x14ac:dyDescent="0.25">
      <c r="A135" s="70" t="s">
        <v>2082</v>
      </c>
      <c r="B135" s="70" t="s">
        <v>517</v>
      </c>
      <c r="C135" s="131">
        <v>9415</v>
      </c>
      <c r="D135" s="70" t="s">
        <v>518</v>
      </c>
      <c r="E135" s="70" t="s">
        <v>413</v>
      </c>
      <c r="F135" s="70" t="s">
        <v>1136</v>
      </c>
      <c r="G135" s="70" t="s">
        <v>157</v>
      </c>
      <c r="H135" s="70"/>
      <c r="I135" s="70" t="s">
        <v>2481</v>
      </c>
    </row>
    <row r="136" spans="1:23" x14ac:dyDescent="0.25">
      <c r="A136" s="70" t="s">
        <v>2082</v>
      </c>
      <c r="B136" s="70" t="s">
        <v>517</v>
      </c>
      <c r="C136" s="131">
        <v>9415</v>
      </c>
      <c r="D136" s="70" t="s">
        <v>519</v>
      </c>
      <c r="E136" s="70" t="s">
        <v>417</v>
      </c>
      <c r="F136" s="70" t="s">
        <v>1137</v>
      </c>
      <c r="G136" s="70" t="s">
        <v>190</v>
      </c>
      <c r="H136" s="70"/>
      <c r="I136" s="70" t="s">
        <v>2481</v>
      </c>
    </row>
    <row r="137" spans="1:23" x14ac:dyDescent="0.25">
      <c r="A137" s="14" t="s">
        <v>2442</v>
      </c>
      <c r="B137" s="14" t="s">
        <v>797</v>
      </c>
      <c r="C137" s="19">
        <v>9271</v>
      </c>
      <c r="D137" s="14" t="s">
        <v>799</v>
      </c>
      <c r="E137" s="14" t="s">
        <v>417</v>
      </c>
      <c r="F137" s="14" t="s">
        <v>1295</v>
      </c>
      <c r="G137" s="14" t="s">
        <v>228</v>
      </c>
      <c r="H137" s="70"/>
      <c r="I137" s="70" t="s">
        <v>2485</v>
      </c>
    </row>
  </sheetData>
  <autoFilter ref="A1:CG24"/>
  <conditionalFormatting sqref="F2">
    <cfRule type="duplicateValues" dxfId="473" priority="757"/>
  </conditionalFormatting>
  <conditionalFormatting sqref="F2">
    <cfRule type="duplicateValues" dxfId="472" priority="758"/>
    <cfRule type="duplicateValues" dxfId="471" priority="759"/>
  </conditionalFormatting>
  <conditionalFormatting sqref="F2">
    <cfRule type="duplicateValues" dxfId="470" priority="760"/>
  </conditionalFormatting>
  <conditionalFormatting sqref="F3">
    <cfRule type="duplicateValues" dxfId="469" priority="749"/>
  </conditionalFormatting>
  <conditionalFormatting sqref="F3">
    <cfRule type="duplicateValues" dxfId="468" priority="750"/>
    <cfRule type="duplicateValues" dxfId="467" priority="751"/>
  </conditionalFormatting>
  <conditionalFormatting sqref="F3">
    <cfRule type="duplicateValues" dxfId="466" priority="752"/>
  </conditionalFormatting>
  <conditionalFormatting sqref="F4:F6">
    <cfRule type="duplicateValues" dxfId="465" priority="741"/>
  </conditionalFormatting>
  <conditionalFormatting sqref="F4:F6">
    <cfRule type="duplicateValues" dxfId="464" priority="742"/>
    <cfRule type="duplicateValues" dxfId="463" priority="743"/>
  </conditionalFormatting>
  <conditionalFormatting sqref="F4:F6">
    <cfRule type="duplicateValues" dxfId="462" priority="744"/>
  </conditionalFormatting>
  <conditionalFormatting sqref="F7">
    <cfRule type="duplicateValues" dxfId="461" priority="733"/>
  </conditionalFormatting>
  <conditionalFormatting sqref="F7">
    <cfRule type="duplicateValues" dxfId="460" priority="734"/>
    <cfRule type="duplicateValues" dxfId="459" priority="735"/>
  </conditionalFormatting>
  <conditionalFormatting sqref="F7">
    <cfRule type="duplicateValues" dxfId="458" priority="736"/>
  </conditionalFormatting>
  <conditionalFormatting sqref="F8">
    <cfRule type="duplicateValues" dxfId="457" priority="725"/>
  </conditionalFormatting>
  <conditionalFormatting sqref="F8">
    <cfRule type="duplicateValues" dxfId="456" priority="726"/>
    <cfRule type="duplicateValues" dxfId="455" priority="727"/>
  </conditionalFormatting>
  <conditionalFormatting sqref="F8">
    <cfRule type="duplicateValues" dxfId="454" priority="728"/>
  </conditionalFormatting>
  <conditionalFormatting sqref="F9">
    <cfRule type="duplicateValues" dxfId="453" priority="717"/>
  </conditionalFormatting>
  <conditionalFormatting sqref="F9">
    <cfRule type="duplicateValues" dxfId="452" priority="718"/>
    <cfRule type="duplicateValues" dxfId="451" priority="719"/>
  </conditionalFormatting>
  <conditionalFormatting sqref="F9">
    <cfRule type="duplicateValues" dxfId="450" priority="720"/>
  </conditionalFormatting>
  <conditionalFormatting sqref="F10">
    <cfRule type="duplicateValues" dxfId="449" priority="709"/>
  </conditionalFormatting>
  <conditionalFormatting sqref="F10">
    <cfRule type="duplicateValues" dxfId="448" priority="710"/>
    <cfRule type="duplicateValues" dxfId="447" priority="711"/>
  </conditionalFormatting>
  <conditionalFormatting sqref="F10">
    <cfRule type="duplicateValues" dxfId="446" priority="712"/>
  </conditionalFormatting>
  <conditionalFormatting sqref="F11">
    <cfRule type="duplicateValues" dxfId="445" priority="701"/>
  </conditionalFormatting>
  <conditionalFormatting sqref="F11">
    <cfRule type="duplicateValues" dxfId="444" priority="702"/>
    <cfRule type="duplicateValues" dxfId="443" priority="703"/>
  </conditionalFormatting>
  <conditionalFormatting sqref="F11">
    <cfRule type="duplicateValues" dxfId="442" priority="704"/>
  </conditionalFormatting>
  <conditionalFormatting sqref="F12">
    <cfRule type="duplicateValues" dxfId="441" priority="693"/>
  </conditionalFormatting>
  <conditionalFormatting sqref="F12">
    <cfRule type="duplicateValues" dxfId="440" priority="694"/>
    <cfRule type="duplicateValues" dxfId="439" priority="695"/>
  </conditionalFormatting>
  <conditionalFormatting sqref="F12">
    <cfRule type="duplicateValues" dxfId="438" priority="696"/>
  </conditionalFormatting>
  <conditionalFormatting sqref="F13">
    <cfRule type="duplicateValues" dxfId="437" priority="685"/>
  </conditionalFormatting>
  <conditionalFormatting sqref="F13">
    <cfRule type="duplicateValues" dxfId="436" priority="686"/>
    <cfRule type="duplicateValues" dxfId="435" priority="687"/>
  </conditionalFormatting>
  <conditionalFormatting sqref="F13">
    <cfRule type="duplicateValues" dxfId="434" priority="688"/>
  </conditionalFormatting>
  <conditionalFormatting sqref="F14">
    <cfRule type="duplicateValues" dxfId="433" priority="677"/>
  </conditionalFormatting>
  <conditionalFormatting sqref="F14">
    <cfRule type="duplicateValues" dxfId="432" priority="678"/>
    <cfRule type="duplicateValues" dxfId="431" priority="679"/>
  </conditionalFormatting>
  <conditionalFormatting sqref="F14">
    <cfRule type="duplicateValues" dxfId="430" priority="680"/>
  </conditionalFormatting>
  <conditionalFormatting sqref="F15">
    <cfRule type="duplicateValues" dxfId="429" priority="669"/>
  </conditionalFormatting>
  <conditionalFormatting sqref="F15">
    <cfRule type="duplicateValues" dxfId="428" priority="670"/>
    <cfRule type="duplicateValues" dxfId="427" priority="671"/>
  </conditionalFormatting>
  <conditionalFormatting sqref="F15">
    <cfRule type="duplicateValues" dxfId="426" priority="672"/>
  </conditionalFormatting>
  <conditionalFormatting sqref="F16">
    <cfRule type="duplicateValues" dxfId="425" priority="661"/>
  </conditionalFormatting>
  <conditionalFormatting sqref="F16">
    <cfRule type="duplicateValues" dxfId="424" priority="662"/>
    <cfRule type="duplicateValues" dxfId="423" priority="663"/>
  </conditionalFormatting>
  <conditionalFormatting sqref="F16">
    <cfRule type="duplicateValues" dxfId="422" priority="664"/>
  </conditionalFormatting>
  <conditionalFormatting sqref="F17">
    <cfRule type="duplicateValues" dxfId="421" priority="653"/>
  </conditionalFormatting>
  <conditionalFormatting sqref="F17">
    <cfRule type="duplicateValues" dxfId="420" priority="654"/>
    <cfRule type="duplicateValues" dxfId="419" priority="655"/>
  </conditionalFormatting>
  <conditionalFormatting sqref="F17">
    <cfRule type="duplicateValues" dxfId="418" priority="656"/>
  </conditionalFormatting>
  <conditionalFormatting sqref="F18">
    <cfRule type="duplicateValues" dxfId="417" priority="645"/>
  </conditionalFormatting>
  <conditionalFormatting sqref="F18">
    <cfRule type="duplicateValues" dxfId="416" priority="646"/>
    <cfRule type="duplicateValues" dxfId="415" priority="647"/>
  </conditionalFormatting>
  <conditionalFormatting sqref="F18">
    <cfRule type="duplicateValues" dxfId="414" priority="648"/>
  </conditionalFormatting>
  <conditionalFormatting sqref="F19">
    <cfRule type="duplicateValues" dxfId="413" priority="637"/>
  </conditionalFormatting>
  <conditionalFormatting sqref="F19">
    <cfRule type="duplicateValues" dxfId="412" priority="638"/>
    <cfRule type="duplicateValues" dxfId="411" priority="639"/>
  </conditionalFormatting>
  <conditionalFormatting sqref="F19">
    <cfRule type="duplicateValues" dxfId="410" priority="640"/>
  </conditionalFormatting>
  <conditionalFormatting sqref="F20">
    <cfRule type="duplicateValues" dxfId="409" priority="629"/>
  </conditionalFormatting>
  <conditionalFormatting sqref="F20">
    <cfRule type="duplicateValues" dxfId="408" priority="630"/>
    <cfRule type="duplicateValues" dxfId="407" priority="631"/>
  </conditionalFormatting>
  <conditionalFormatting sqref="F20">
    <cfRule type="duplicateValues" dxfId="406" priority="632"/>
  </conditionalFormatting>
  <conditionalFormatting sqref="F21">
    <cfRule type="duplicateValues" dxfId="405" priority="621"/>
  </conditionalFormatting>
  <conditionalFormatting sqref="F21">
    <cfRule type="duplicateValues" dxfId="404" priority="622"/>
    <cfRule type="duplicateValues" dxfId="403" priority="623"/>
  </conditionalFormatting>
  <conditionalFormatting sqref="F21">
    <cfRule type="duplicateValues" dxfId="402" priority="624"/>
  </conditionalFormatting>
  <conditionalFormatting sqref="F22:F23">
    <cfRule type="duplicateValues" dxfId="401" priority="613"/>
  </conditionalFormatting>
  <conditionalFormatting sqref="F22:F23">
    <cfRule type="duplicateValues" dxfId="400" priority="614"/>
    <cfRule type="duplicateValues" dxfId="399" priority="615"/>
  </conditionalFormatting>
  <conditionalFormatting sqref="F22:F23">
    <cfRule type="duplicateValues" dxfId="398" priority="616"/>
  </conditionalFormatting>
  <conditionalFormatting sqref="F24">
    <cfRule type="duplicateValues" dxfId="397" priority="605"/>
  </conditionalFormatting>
  <conditionalFormatting sqref="F24">
    <cfRule type="duplicateValues" dxfId="396" priority="606"/>
    <cfRule type="duplicateValues" dxfId="395" priority="607"/>
  </conditionalFormatting>
  <conditionalFormatting sqref="F24">
    <cfRule type="duplicateValues" dxfId="394" priority="608"/>
  </conditionalFormatting>
  <conditionalFormatting sqref="F26">
    <cfRule type="duplicateValues" dxfId="393" priority="597"/>
  </conditionalFormatting>
  <conditionalFormatting sqref="F26">
    <cfRule type="duplicateValues" dxfId="392" priority="598"/>
    <cfRule type="duplicateValues" dxfId="391" priority="599"/>
  </conditionalFormatting>
  <conditionalFormatting sqref="F26">
    <cfRule type="duplicateValues" dxfId="390" priority="600"/>
  </conditionalFormatting>
  <conditionalFormatting sqref="F27">
    <cfRule type="duplicateValues" dxfId="389" priority="592"/>
  </conditionalFormatting>
  <conditionalFormatting sqref="F27">
    <cfRule type="duplicateValues" dxfId="388" priority="593"/>
    <cfRule type="duplicateValues" dxfId="387" priority="594"/>
  </conditionalFormatting>
  <conditionalFormatting sqref="F27">
    <cfRule type="duplicateValues" dxfId="386" priority="595"/>
  </conditionalFormatting>
  <conditionalFormatting sqref="F28">
    <cfRule type="duplicateValues" dxfId="385" priority="586"/>
  </conditionalFormatting>
  <conditionalFormatting sqref="F28">
    <cfRule type="duplicateValues" dxfId="384" priority="587"/>
    <cfRule type="duplicateValues" dxfId="383" priority="588"/>
  </conditionalFormatting>
  <conditionalFormatting sqref="F28">
    <cfRule type="duplicateValues" dxfId="382" priority="589"/>
  </conditionalFormatting>
  <conditionalFormatting sqref="F29:F30">
    <cfRule type="duplicateValues" dxfId="381" priority="580"/>
  </conditionalFormatting>
  <conditionalFormatting sqref="F29:F30">
    <cfRule type="duplicateValues" dxfId="380" priority="581"/>
    <cfRule type="duplicateValues" dxfId="379" priority="582"/>
  </conditionalFormatting>
  <conditionalFormatting sqref="F29:F30">
    <cfRule type="duplicateValues" dxfId="378" priority="583"/>
  </conditionalFormatting>
  <conditionalFormatting sqref="F31">
    <cfRule type="duplicateValues" dxfId="377" priority="574"/>
  </conditionalFormatting>
  <conditionalFormatting sqref="F31">
    <cfRule type="duplicateValues" dxfId="376" priority="575"/>
    <cfRule type="duplicateValues" dxfId="375" priority="576"/>
  </conditionalFormatting>
  <conditionalFormatting sqref="F31">
    <cfRule type="duplicateValues" dxfId="374" priority="577"/>
  </conditionalFormatting>
  <conditionalFormatting sqref="F32:F33">
    <cfRule type="duplicateValues" dxfId="373" priority="568"/>
  </conditionalFormatting>
  <conditionalFormatting sqref="F32:F33">
    <cfRule type="duplicateValues" dxfId="372" priority="569"/>
    <cfRule type="duplicateValues" dxfId="371" priority="570"/>
  </conditionalFormatting>
  <conditionalFormatting sqref="F32:F33">
    <cfRule type="duplicateValues" dxfId="370" priority="571"/>
  </conditionalFormatting>
  <conditionalFormatting sqref="F34">
    <cfRule type="duplicateValues" dxfId="369" priority="562"/>
  </conditionalFormatting>
  <conditionalFormatting sqref="F34">
    <cfRule type="duplicateValues" dxfId="368" priority="563"/>
    <cfRule type="duplicateValues" dxfId="367" priority="564"/>
  </conditionalFormatting>
  <conditionalFormatting sqref="F34">
    <cfRule type="duplicateValues" dxfId="366" priority="565"/>
  </conditionalFormatting>
  <conditionalFormatting sqref="F35">
    <cfRule type="duplicateValues" dxfId="365" priority="556"/>
  </conditionalFormatting>
  <conditionalFormatting sqref="F35">
    <cfRule type="duplicateValues" dxfId="364" priority="557"/>
    <cfRule type="duplicateValues" dxfId="363" priority="558"/>
  </conditionalFormatting>
  <conditionalFormatting sqref="F35">
    <cfRule type="duplicateValues" dxfId="362" priority="559"/>
  </conditionalFormatting>
  <conditionalFormatting sqref="F36">
    <cfRule type="duplicateValues" dxfId="361" priority="550"/>
  </conditionalFormatting>
  <conditionalFormatting sqref="F36">
    <cfRule type="duplicateValues" dxfId="360" priority="551"/>
    <cfRule type="duplicateValues" dxfId="359" priority="552"/>
  </conditionalFormatting>
  <conditionalFormatting sqref="F36">
    <cfRule type="duplicateValues" dxfId="358" priority="553"/>
  </conditionalFormatting>
  <conditionalFormatting sqref="F37">
    <cfRule type="duplicateValues" dxfId="357" priority="543"/>
  </conditionalFormatting>
  <conditionalFormatting sqref="F37">
    <cfRule type="duplicateValues" dxfId="356" priority="544"/>
    <cfRule type="duplicateValues" dxfId="355" priority="545"/>
  </conditionalFormatting>
  <conditionalFormatting sqref="F37">
    <cfRule type="duplicateValues" dxfId="354" priority="546"/>
  </conditionalFormatting>
  <conditionalFormatting sqref="F38">
    <cfRule type="duplicateValues" dxfId="353" priority="537"/>
  </conditionalFormatting>
  <conditionalFormatting sqref="F38">
    <cfRule type="duplicateValues" dxfId="352" priority="538"/>
    <cfRule type="duplicateValues" dxfId="351" priority="539"/>
  </conditionalFormatting>
  <conditionalFormatting sqref="F38">
    <cfRule type="duplicateValues" dxfId="350" priority="540"/>
  </conditionalFormatting>
  <conditionalFormatting sqref="F39">
    <cfRule type="duplicateValues" dxfId="349" priority="531"/>
  </conditionalFormatting>
  <conditionalFormatting sqref="F39">
    <cfRule type="duplicateValues" dxfId="348" priority="532"/>
    <cfRule type="duplicateValues" dxfId="347" priority="533"/>
  </conditionalFormatting>
  <conditionalFormatting sqref="F39">
    <cfRule type="duplicateValues" dxfId="346" priority="534"/>
  </conditionalFormatting>
  <conditionalFormatting sqref="F41">
    <cfRule type="duplicateValues" dxfId="345" priority="525"/>
  </conditionalFormatting>
  <conditionalFormatting sqref="F41">
    <cfRule type="duplicateValues" dxfId="344" priority="526"/>
    <cfRule type="duplicateValues" dxfId="343" priority="527"/>
  </conditionalFormatting>
  <conditionalFormatting sqref="F41">
    <cfRule type="duplicateValues" dxfId="342" priority="528"/>
  </conditionalFormatting>
  <conditionalFormatting sqref="F42">
    <cfRule type="duplicateValues" dxfId="341" priority="519"/>
  </conditionalFormatting>
  <conditionalFormatting sqref="F42">
    <cfRule type="duplicateValues" dxfId="340" priority="520"/>
    <cfRule type="duplicateValues" dxfId="339" priority="521"/>
  </conditionalFormatting>
  <conditionalFormatting sqref="F42">
    <cfRule type="duplicateValues" dxfId="338" priority="522"/>
  </conditionalFormatting>
  <conditionalFormatting sqref="F43">
    <cfRule type="duplicateValues" dxfId="337" priority="513"/>
  </conditionalFormatting>
  <conditionalFormatting sqref="F43">
    <cfRule type="duplicateValues" dxfId="336" priority="514"/>
    <cfRule type="duplicateValues" dxfId="335" priority="515"/>
  </conditionalFormatting>
  <conditionalFormatting sqref="F43">
    <cfRule type="duplicateValues" dxfId="334" priority="516"/>
  </conditionalFormatting>
  <conditionalFormatting sqref="F44">
    <cfRule type="duplicateValues" dxfId="333" priority="507"/>
  </conditionalFormatting>
  <conditionalFormatting sqref="F44">
    <cfRule type="duplicateValues" dxfId="332" priority="508"/>
    <cfRule type="duplicateValues" dxfId="331" priority="509"/>
  </conditionalFormatting>
  <conditionalFormatting sqref="F44">
    <cfRule type="duplicateValues" dxfId="330" priority="510"/>
  </conditionalFormatting>
  <conditionalFormatting sqref="F45">
    <cfRule type="duplicateValues" dxfId="329" priority="499"/>
  </conditionalFormatting>
  <conditionalFormatting sqref="F45">
    <cfRule type="duplicateValues" dxfId="328" priority="500"/>
    <cfRule type="duplicateValues" dxfId="327" priority="501"/>
  </conditionalFormatting>
  <conditionalFormatting sqref="F45">
    <cfRule type="duplicateValues" dxfId="326" priority="502"/>
  </conditionalFormatting>
  <conditionalFormatting sqref="F46">
    <cfRule type="duplicateValues" dxfId="325" priority="493"/>
  </conditionalFormatting>
  <conditionalFormatting sqref="F46">
    <cfRule type="duplicateValues" dxfId="324" priority="494"/>
    <cfRule type="duplicateValues" dxfId="323" priority="495"/>
  </conditionalFormatting>
  <conditionalFormatting sqref="F46">
    <cfRule type="duplicateValues" dxfId="322" priority="496"/>
  </conditionalFormatting>
  <conditionalFormatting sqref="F47">
    <cfRule type="duplicateValues" dxfId="321" priority="487"/>
  </conditionalFormatting>
  <conditionalFormatting sqref="F47">
    <cfRule type="duplicateValues" dxfId="320" priority="488"/>
    <cfRule type="duplicateValues" dxfId="319" priority="489"/>
  </conditionalFormatting>
  <conditionalFormatting sqref="F47">
    <cfRule type="duplicateValues" dxfId="318" priority="490"/>
  </conditionalFormatting>
  <conditionalFormatting sqref="F48">
    <cfRule type="duplicateValues" dxfId="317" priority="481"/>
  </conditionalFormatting>
  <conditionalFormatting sqref="F48">
    <cfRule type="duplicateValues" dxfId="316" priority="482"/>
    <cfRule type="duplicateValues" dxfId="315" priority="483"/>
  </conditionalFormatting>
  <conditionalFormatting sqref="F48">
    <cfRule type="duplicateValues" dxfId="314" priority="484"/>
  </conditionalFormatting>
  <conditionalFormatting sqref="F49">
    <cfRule type="duplicateValues" dxfId="313" priority="475"/>
  </conditionalFormatting>
  <conditionalFormatting sqref="F49">
    <cfRule type="duplicateValues" dxfId="312" priority="476"/>
    <cfRule type="duplicateValues" dxfId="311" priority="477"/>
  </conditionalFormatting>
  <conditionalFormatting sqref="F49">
    <cfRule type="duplicateValues" dxfId="310" priority="478"/>
  </conditionalFormatting>
  <conditionalFormatting sqref="F50">
    <cfRule type="duplicateValues" dxfId="309" priority="469"/>
  </conditionalFormatting>
  <conditionalFormatting sqref="F50">
    <cfRule type="duplicateValues" dxfId="308" priority="470"/>
    <cfRule type="duplicateValues" dxfId="307" priority="471"/>
  </conditionalFormatting>
  <conditionalFormatting sqref="F50">
    <cfRule type="duplicateValues" dxfId="306" priority="472"/>
  </conditionalFormatting>
  <conditionalFormatting sqref="F51">
    <cfRule type="duplicateValues" dxfId="305" priority="461"/>
  </conditionalFormatting>
  <conditionalFormatting sqref="F51">
    <cfRule type="duplicateValues" dxfId="304" priority="462"/>
    <cfRule type="duplicateValues" dxfId="303" priority="463"/>
  </conditionalFormatting>
  <conditionalFormatting sqref="F51">
    <cfRule type="duplicateValues" dxfId="302" priority="464"/>
  </conditionalFormatting>
  <conditionalFormatting sqref="F52">
    <cfRule type="duplicateValues" dxfId="301" priority="455"/>
  </conditionalFormatting>
  <conditionalFormatting sqref="F52">
    <cfRule type="duplicateValues" dxfId="300" priority="456"/>
    <cfRule type="duplicateValues" dxfId="299" priority="457"/>
  </conditionalFormatting>
  <conditionalFormatting sqref="F52">
    <cfRule type="duplicateValues" dxfId="298" priority="458"/>
  </conditionalFormatting>
  <conditionalFormatting sqref="F53">
    <cfRule type="duplicateValues" dxfId="297" priority="449"/>
  </conditionalFormatting>
  <conditionalFormatting sqref="F53">
    <cfRule type="duplicateValues" dxfId="296" priority="450"/>
    <cfRule type="duplicateValues" dxfId="295" priority="451"/>
  </conditionalFormatting>
  <conditionalFormatting sqref="F53">
    <cfRule type="duplicateValues" dxfId="294" priority="452"/>
  </conditionalFormatting>
  <conditionalFormatting sqref="F54">
    <cfRule type="duplicateValues" dxfId="293" priority="443"/>
  </conditionalFormatting>
  <conditionalFormatting sqref="F54">
    <cfRule type="duplicateValues" dxfId="292" priority="444"/>
    <cfRule type="duplicateValues" dxfId="291" priority="445"/>
  </conditionalFormatting>
  <conditionalFormatting sqref="F55">
    <cfRule type="duplicateValues" dxfId="290" priority="438"/>
  </conditionalFormatting>
  <conditionalFormatting sqref="F55">
    <cfRule type="duplicateValues" dxfId="289" priority="439"/>
    <cfRule type="duplicateValues" dxfId="288" priority="440"/>
  </conditionalFormatting>
  <conditionalFormatting sqref="F55">
    <cfRule type="duplicateValues" dxfId="287" priority="441"/>
  </conditionalFormatting>
  <conditionalFormatting sqref="F57">
    <cfRule type="duplicateValues" dxfId="286" priority="432"/>
  </conditionalFormatting>
  <conditionalFormatting sqref="F57">
    <cfRule type="duplicateValues" dxfId="285" priority="433"/>
    <cfRule type="duplicateValues" dxfId="284" priority="434"/>
  </conditionalFormatting>
  <conditionalFormatting sqref="F57">
    <cfRule type="duplicateValues" dxfId="283" priority="435"/>
  </conditionalFormatting>
  <conditionalFormatting sqref="F58">
    <cfRule type="duplicateValues" dxfId="282" priority="426"/>
  </conditionalFormatting>
  <conditionalFormatting sqref="F58">
    <cfRule type="duplicateValues" dxfId="281" priority="427"/>
    <cfRule type="duplicateValues" dxfId="280" priority="428"/>
  </conditionalFormatting>
  <conditionalFormatting sqref="F58">
    <cfRule type="duplicateValues" dxfId="279" priority="429"/>
  </conditionalFormatting>
  <conditionalFormatting sqref="F59:F61">
    <cfRule type="duplicateValues" dxfId="278" priority="419"/>
  </conditionalFormatting>
  <conditionalFormatting sqref="F59:F61">
    <cfRule type="duplicateValues" dxfId="277" priority="420"/>
    <cfRule type="duplicateValues" dxfId="276" priority="421"/>
  </conditionalFormatting>
  <conditionalFormatting sqref="F59:F61">
    <cfRule type="duplicateValues" dxfId="275" priority="422"/>
  </conditionalFormatting>
  <conditionalFormatting sqref="F62">
    <cfRule type="duplicateValues" dxfId="274" priority="412"/>
  </conditionalFormatting>
  <conditionalFormatting sqref="F62">
    <cfRule type="duplicateValues" dxfId="273" priority="413"/>
    <cfRule type="duplicateValues" dxfId="272" priority="414"/>
  </conditionalFormatting>
  <conditionalFormatting sqref="F62">
    <cfRule type="duplicateValues" dxfId="271" priority="415"/>
  </conditionalFormatting>
  <conditionalFormatting sqref="F63">
    <cfRule type="duplicateValues" dxfId="270" priority="405"/>
  </conditionalFormatting>
  <conditionalFormatting sqref="F63">
    <cfRule type="duplicateValues" dxfId="269" priority="406"/>
    <cfRule type="duplicateValues" dxfId="268" priority="407"/>
  </conditionalFormatting>
  <conditionalFormatting sqref="F63">
    <cfRule type="duplicateValues" dxfId="267" priority="408"/>
  </conditionalFormatting>
  <conditionalFormatting sqref="F64">
    <cfRule type="duplicateValues" dxfId="266" priority="398"/>
  </conditionalFormatting>
  <conditionalFormatting sqref="F64">
    <cfRule type="duplicateValues" dxfId="265" priority="399"/>
    <cfRule type="duplicateValues" dxfId="264" priority="400"/>
  </conditionalFormatting>
  <conditionalFormatting sqref="F64">
    <cfRule type="duplicateValues" dxfId="263" priority="401"/>
  </conditionalFormatting>
  <conditionalFormatting sqref="F65">
    <cfRule type="duplicateValues" dxfId="262" priority="391"/>
  </conditionalFormatting>
  <conditionalFormatting sqref="F65">
    <cfRule type="duplicateValues" dxfId="261" priority="392"/>
    <cfRule type="duplicateValues" dxfId="260" priority="393"/>
  </conditionalFormatting>
  <conditionalFormatting sqref="F65">
    <cfRule type="duplicateValues" dxfId="259" priority="394"/>
  </conditionalFormatting>
  <conditionalFormatting sqref="F66">
    <cfRule type="duplicateValues" dxfId="258" priority="384"/>
  </conditionalFormatting>
  <conditionalFormatting sqref="F66">
    <cfRule type="duplicateValues" dxfId="257" priority="385"/>
    <cfRule type="duplicateValues" dxfId="256" priority="386"/>
  </conditionalFormatting>
  <conditionalFormatting sqref="F66">
    <cfRule type="duplicateValues" dxfId="255" priority="387"/>
  </conditionalFormatting>
  <conditionalFormatting sqref="F67">
    <cfRule type="duplicateValues" dxfId="254" priority="377"/>
  </conditionalFormatting>
  <conditionalFormatting sqref="F67">
    <cfRule type="duplicateValues" dxfId="253" priority="378"/>
    <cfRule type="duplicateValues" dxfId="252" priority="379"/>
  </conditionalFormatting>
  <conditionalFormatting sqref="F67">
    <cfRule type="duplicateValues" dxfId="251" priority="380"/>
  </conditionalFormatting>
  <conditionalFormatting sqref="F68">
    <cfRule type="duplicateValues" dxfId="250" priority="370"/>
  </conditionalFormatting>
  <conditionalFormatting sqref="F68">
    <cfRule type="duplicateValues" dxfId="249" priority="371"/>
    <cfRule type="duplicateValues" dxfId="248" priority="372"/>
  </conditionalFormatting>
  <conditionalFormatting sqref="F68">
    <cfRule type="duplicateValues" dxfId="247" priority="373"/>
  </conditionalFormatting>
  <conditionalFormatting sqref="F69">
    <cfRule type="duplicateValues" dxfId="246" priority="363"/>
  </conditionalFormatting>
  <conditionalFormatting sqref="F69">
    <cfRule type="duplicateValues" dxfId="245" priority="364"/>
    <cfRule type="duplicateValues" dxfId="244" priority="365"/>
  </conditionalFormatting>
  <conditionalFormatting sqref="F69">
    <cfRule type="duplicateValues" dxfId="243" priority="366"/>
  </conditionalFormatting>
  <conditionalFormatting sqref="F70">
    <cfRule type="duplicateValues" dxfId="242" priority="356"/>
  </conditionalFormatting>
  <conditionalFormatting sqref="F70">
    <cfRule type="duplicateValues" dxfId="241" priority="357"/>
    <cfRule type="duplicateValues" dxfId="240" priority="358"/>
  </conditionalFormatting>
  <conditionalFormatting sqref="F70">
    <cfRule type="duplicateValues" dxfId="239" priority="359"/>
  </conditionalFormatting>
  <conditionalFormatting sqref="F71">
    <cfRule type="duplicateValues" dxfId="238" priority="349"/>
  </conditionalFormatting>
  <conditionalFormatting sqref="F71">
    <cfRule type="duplicateValues" dxfId="237" priority="350"/>
    <cfRule type="duplicateValues" dxfId="236" priority="351"/>
  </conditionalFormatting>
  <conditionalFormatting sqref="F71">
    <cfRule type="duplicateValues" dxfId="235" priority="352"/>
  </conditionalFormatting>
  <conditionalFormatting sqref="F72">
    <cfRule type="duplicateValues" dxfId="234" priority="337"/>
  </conditionalFormatting>
  <conditionalFormatting sqref="F72">
    <cfRule type="duplicateValues" dxfId="233" priority="338"/>
    <cfRule type="duplicateValues" dxfId="232" priority="339"/>
  </conditionalFormatting>
  <conditionalFormatting sqref="F72">
    <cfRule type="duplicateValues" dxfId="231" priority="340"/>
  </conditionalFormatting>
  <conditionalFormatting sqref="F73">
    <cfRule type="duplicateValues" dxfId="230" priority="330"/>
  </conditionalFormatting>
  <conditionalFormatting sqref="F73">
    <cfRule type="duplicateValues" dxfId="229" priority="331"/>
    <cfRule type="duplicateValues" dxfId="228" priority="332"/>
  </conditionalFormatting>
  <conditionalFormatting sqref="F73">
    <cfRule type="duplicateValues" dxfId="227" priority="333"/>
  </conditionalFormatting>
  <conditionalFormatting sqref="F74">
    <cfRule type="duplicateValues" dxfId="226" priority="323"/>
  </conditionalFormatting>
  <conditionalFormatting sqref="F74">
    <cfRule type="duplicateValues" dxfId="225" priority="324"/>
    <cfRule type="duplicateValues" dxfId="224" priority="325"/>
  </conditionalFormatting>
  <conditionalFormatting sqref="F74">
    <cfRule type="duplicateValues" dxfId="223" priority="326"/>
  </conditionalFormatting>
  <conditionalFormatting sqref="F75">
    <cfRule type="duplicateValues" dxfId="222" priority="316"/>
  </conditionalFormatting>
  <conditionalFormatting sqref="F75">
    <cfRule type="duplicateValues" dxfId="221" priority="317"/>
    <cfRule type="duplicateValues" dxfId="220" priority="318"/>
  </conditionalFormatting>
  <conditionalFormatting sqref="F75">
    <cfRule type="duplicateValues" dxfId="219" priority="319"/>
  </conditionalFormatting>
  <conditionalFormatting sqref="F76">
    <cfRule type="duplicateValues" dxfId="218" priority="309"/>
  </conditionalFormatting>
  <conditionalFormatting sqref="F76">
    <cfRule type="duplicateValues" dxfId="217" priority="310"/>
    <cfRule type="duplicateValues" dxfId="216" priority="311"/>
  </conditionalFormatting>
  <conditionalFormatting sqref="F76">
    <cfRule type="duplicateValues" dxfId="215" priority="312"/>
  </conditionalFormatting>
  <conditionalFormatting sqref="F77">
    <cfRule type="duplicateValues" dxfId="214" priority="302"/>
  </conditionalFormatting>
  <conditionalFormatting sqref="F77">
    <cfRule type="duplicateValues" dxfId="213" priority="303"/>
    <cfRule type="duplicateValues" dxfId="212" priority="304"/>
  </conditionalFormatting>
  <conditionalFormatting sqref="F77">
    <cfRule type="duplicateValues" dxfId="211" priority="305"/>
  </conditionalFormatting>
  <conditionalFormatting sqref="F78">
    <cfRule type="duplicateValues" dxfId="210" priority="295"/>
  </conditionalFormatting>
  <conditionalFormatting sqref="F78">
    <cfRule type="duplicateValues" dxfId="209" priority="296"/>
    <cfRule type="duplicateValues" dxfId="208" priority="297"/>
  </conditionalFormatting>
  <conditionalFormatting sqref="F78">
    <cfRule type="duplicateValues" dxfId="207" priority="298"/>
  </conditionalFormatting>
  <conditionalFormatting sqref="F79">
    <cfRule type="duplicateValues" dxfId="206" priority="288"/>
  </conditionalFormatting>
  <conditionalFormatting sqref="F79">
    <cfRule type="duplicateValues" dxfId="205" priority="289"/>
    <cfRule type="duplicateValues" dxfId="204" priority="290"/>
  </conditionalFormatting>
  <conditionalFormatting sqref="F79">
    <cfRule type="duplicateValues" dxfId="203" priority="291"/>
  </conditionalFormatting>
  <conditionalFormatting sqref="F80">
    <cfRule type="duplicateValues" dxfId="202" priority="281"/>
  </conditionalFormatting>
  <conditionalFormatting sqref="F80">
    <cfRule type="duplicateValues" dxfId="201" priority="282"/>
    <cfRule type="duplicateValues" dxfId="200" priority="283"/>
  </conditionalFormatting>
  <conditionalFormatting sqref="F80">
    <cfRule type="duplicateValues" dxfId="199" priority="284"/>
  </conditionalFormatting>
  <conditionalFormatting sqref="F81">
    <cfRule type="duplicateValues" dxfId="198" priority="267"/>
  </conditionalFormatting>
  <conditionalFormatting sqref="F81">
    <cfRule type="duplicateValues" dxfId="197" priority="268"/>
    <cfRule type="duplicateValues" dxfId="196" priority="269"/>
  </conditionalFormatting>
  <conditionalFormatting sqref="F81">
    <cfRule type="duplicateValues" dxfId="195" priority="270"/>
  </conditionalFormatting>
  <conditionalFormatting sqref="F82">
    <cfRule type="duplicateValues" dxfId="194" priority="260"/>
  </conditionalFormatting>
  <conditionalFormatting sqref="F82">
    <cfRule type="duplicateValues" dxfId="193" priority="261"/>
    <cfRule type="duplicateValues" dxfId="192" priority="262"/>
  </conditionalFormatting>
  <conditionalFormatting sqref="F82">
    <cfRule type="duplicateValues" dxfId="191" priority="263"/>
  </conditionalFormatting>
  <conditionalFormatting sqref="F83">
    <cfRule type="duplicateValues" dxfId="190" priority="253"/>
  </conditionalFormatting>
  <conditionalFormatting sqref="F83">
    <cfRule type="duplicateValues" dxfId="189" priority="254"/>
    <cfRule type="duplicateValues" dxfId="188" priority="255"/>
  </conditionalFormatting>
  <conditionalFormatting sqref="F83">
    <cfRule type="duplicateValues" dxfId="187" priority="256"/>
  </conditionalFormatting>
  <conditionalFormatting sqref="F84">
    <cfRule type="duplicateValues" dxfId="186" priority="246"/>
  </conditionalFormatting>
  <conditionalFormatting sqref="F84">
    <cfRule type="duplicateValues" dxfId="185" priority="247"/>
    <cfRule type="duplicateValues" dxfId="184" priority="248"/>
  </conditionalFormatting>
  <conditionalFormatting sqref="F84">
    <cfRule type="duplicateValues" dxfId="183" priority="249"/>
  </conditionalFormatting>
  <conditionalFormatting sqref="F86">
    <cfRule type="duplicateValues" dxfId="182" priority="236"/>
  </conditionalFormatting>
  <conditionalFormatting sqref="F86">
    <cfRule type="duplicateValues" dxfId="181" priority="237"/>
    <cfRule type="duplicateValues" dxfId="180" priority="238"/>
  </conditionalFormatting>
  <conditionalFormatting sqref="F86">
    <cfRule type="duplicateValues" dxfId="179" priority="239"/>
  </conditionalFormatting>
  <conditionalFormatting sqref="F87">
    <cfRule type="duplicateValues" dxfId="178" priority="229"/>
  </conditionalFormatting>
  <conditionalFormatting sqref="F87">
    <cfRule type="duplicateValues" dxfId="177" priority="230"/>
    <cfRule type="duplicateValues" dxfId="176" priority="231"/>
  </conditionalFormatting>
  <conditionalFormatting sqref="F87">
    <cfRule type="duplicateValues" dxfId="175" priority="232"/>
  </conditionalFormatting>
  <conditionalFormatting sqref="F88">
    <cfRule type="duplicateValues" dxfId="174" priority="222"/>
  </conditionalFormatting>
  <conditionalFormatting sqref="F88">
    <cfRule type="duplicateValues" dxfId="173" priority="223"/>
    <cfRule type="duplicateValues" dxfId="172" priority="224"/>
  </conditionalFormatting>
  <conditionalFormatting sqref="F88">
    <cfRule type="duplicateValues" dxfId="171" priority="225"/>
  </conditionalFormatting>
  <conditionalFormatting sqref="F89">
    <cfRule type="duplicateValues" dxfId="170" priority="215"/>
  </conditionalFormatting>
  <conditionalFormatting sqref="F89">
    <cfRule type="duplicateValues" dxfId="169" priority="216"/>
    <cfRule type="duplicateValues" dxfId="168" priority="217"/>
  </conditionalFormatting>
  <conditionalFormatting sqref="F89">
    <cfRule type="duplicateValues" dxfId="167" priority="218"/>
  </conditionalFormatting>
  <conditionalFormatting sqref="F90">
    <cfRule type="duplicateValues" dxfId="166" priority="208"/>
  </conditionalFormatting>
  <conditionalFormatting sqref="F90">
    <cfRule type="duplicateValues" dxfId="165" priority="209"/>
    <cfRule type="duplicateValues" dxfId="164" priority="210"/>
  </conditionalFormatting>
  <conditionalFormatting sqref="F90">
    <cfRule type="duplicateValues" dxfId="163" priority="211"/>
  </conditionalFormatting>
  <conditionalFormatting sqref="F91">
    <cfRule type="duplicateValues" dxfId="162" priority="201"/>
  </conditionalFormatting>
  <conditionalFormatting sqref="F91">
    <cfRule type="duplicateValues" dxfId="161" priority="202"/>
    <cfRule type="duplicateValues" dxfId="160" priority="203"/>
  </conditionalFormatting>
  <conditionalFormatting sqref="F91">
    <cfRule type="duplicateValues" dxfId="159" priority="204"/>
  </conditionalFormatting>
  <conditionalFormatting sqref="F92">
    <cfRule type="duplicateValues" dxfId="158" priority="194"/>
  </conditionalFormatting>
  <conditionalFormatting sqref="F92">
    <cfRule type="duplicateValues" dxfId="157" priority="195"/>
    <cfRule type="duplicateValues" dxfId="156" priority="196"/>
  </conditionalFormatting>
  <conditionalFormatting sqref="F92">
    <cfRule type="duplicateValues" dxfId="155" priority="197"/>
  </conditionalFormatting>
  <conditionalFormatting sqref="F93">
    <cfRule type="duplicateValues" dxfId="154" priority="187"/>
  </conditionalFormatting>
  <conditionalFormatting sqref="F93">
    <cfRule type="duplicateValues" dxfId="153" priority="188"/>
    <cfRule type="duplicateValues" dxfId="152" priority="189"/>
  </conditionalFormatting>
  <conditionalFormatting sqref="F93">
    <cfRule type="duplicateValues" dxfId="151" priority="190"/>
  </conditionalFormatting>
  <conditionalFormatting sqref="F94">
    <cfRule type="duplicateValues" dxfId="150" priority="180"/>
  </conditionalFormatting>
  <conditionalFormatting sqref="F94">
    <cfRule type="duplicateValues" dxfId="149" priority="181"/>
    <cfRule type="duplicateValues" dxfId="148" priority="182"/>
  </conditionalFormatting>
  <conditionalFormatting sqref="F94">
    <cfRule type="duplicateValues" dxfId="147" priority="183"/>
  </conditionalFormatting>
  <conditionalFormatting sqref="F95">
    <cfRule type="duplicateValues" dxfId="146" priority="173"/>
  </conditionalFormatting>
  <conditionalFormatting sqref="F95">
    <cfRule type="duplicateValues" dxfId="145" priority="174"/>
    <cfRule type="duplicateValues" dxfId="144" priority="175"/>
  </conditionalFormatting>
  <conditionalFormatting sqref="F95">
    <cfRule type="duplicateValues" dxfId="143" priority="176"/>
  </conditionalFormatting>
  <conditionalFormatting sqref="F96">
    <cfRule type="duplicateValues" dxfId="142" priority="166"/>
    <cfRule type="duplicateValues" dxfId="141" priority="167"/>
  </conditionalFormatting>
  <conditionalFormatting sqref="F96">
    <cfRule type="duplicateValues" dxfId="140" priority="168"/>
  </conditionalFormatting>
  <conditionalFormatting sqref="F96">
    <cfRule type="duplicateValues" dxfId="139" priority="169"/>
  </conditionalFormatting>
  <conditionalFormatting sqref="F97">
    <cfRule type="duplicateValues" dxfId="138" priority="161"/>
    <cfRule type="duplicateValues" dxfId="137" priority="162"/>
  </conditionalFormatting>
  <conditionalFormatting sqref="F97">
    <cfRule type="duplicateValues" dxfId="136" priority="163"/>
  </conditionalFormatting>
  <conditionalFormatting sqref="F97">
    <cfRule type="duplicateValues" dxfId="135" priority="164"/>
  </conditionalFormatting>
  <conditionalFormatting sqref="F98">
    <cfRule type="duplicateValues" dxfId="134" priority="156"/>
    <cfRule type="duplicateValues" dxfId="133" priority="157"/>
  </conditionalFormatting>
  <conditionalFormatting sqref="F98">
    <cfRule type="duplicateValues" dxfId="132" priority="158"/>
  </conditionalFormatting>
  <conditionalFormatting sqref="F98">
    <cfRule type="duplicateValues" dxfId="131" priority="159"/>
  </conditionalFormatting>
  <conditionalFormatting sqref="F99">
    <cfRule type="duplicateValues" dxfId="130" priority="151"/>
    <cfRule type="duplicateValues" dxfId="129" priority="152"/>
  </conditionalFormatting>
  <conditionalFormatting sqref="F99">
    <cfRule type="duplicateValues" dxfId="128" priority="153"/>
  </conditionalFormatting>
  <conditionalFormatting sqref="F99">
    <cfRule type="duplicateValues" dxfId="127" priority="154"/>
  </conditionalFormatting>
  <conditionalFormatting sqref="F100">
    <cfRule type="duplicateValues" dxfId="126" priority="146"/>
    <cfRule type="duplicateValues" dxfId="125" priority="147"/>
  </conditionalFormatting>
  <conditionalFormatting sqref="F100">
    <cfRule type="duplicateValues" dxfId="124" priority="148"/>
  </conditionalFormatting>
  <conditionalFormatting sqref="F100">
    <cfRule type="duplicateValues" dxfId="123" priority="149"/>
  </conditionalFormatting>
  <conditionalFormatting sqref="F101">
    <cfRule type="duplicateValues" dxfId="122" priority="141"/>
    <cfRule type="duplicateValues" dxfId="121" priority="142"/>
  </conditionalFormatting>
  <conditionalFormatting sqref="F101">
    <cfRule type="duplicateValues" dxfId="120" priority="143"/>
  </conditionalFormatting>
  <conditionalFormatting sqref="F101">
    <cfRule type="duplicateValues" dxfId="119" priority="144"/>
  </conditionalFormatting>
  <conditionalFormatting sqref="F102">
    <cfRule type="duplicateValues" dxfId="118" priority="136"/>
    <cfRule type="duplicateValues" dxfId="117" priority="137"/>
  </conditionalFormatting>
  <conditionalFormatting sqref="F102">
    <cfRule type="duplicateValues" dxfId="116" priority="138"/>
  </conditionalFormatting>
  <conditionalFormatting sqref="F102">
    <cfRule type="duplicateValues" dxfId="115" priority="139"/>
  </conditionalFormatting>
  <conditionalFormatting sqref="F103">
    <cfRule type="duplicateValues" dxfId="114" priority="130"/>
    <cfRule type="duplicateValues" dxfId="113" priority="131"/>
  </conditionalFormatting>
  <conditionalFormatting sqref="F103">
    <cfRule type="duplicateValues" dxfId="112" priority="132"/>
  </conditionalFormatting>
  <conditionalFormatting sqref="F103">
    <cfRule type="duplicateValues" dxfId="111" priority="133"/>
  </conditionalFormatting>
  <conditionalFormatting sqref="F104 F106">
    <cfRule type="duplicateValues" dxfId="110" priority="124"/>
    <cfRule type="duplicateValues" dxfId="109" priority="125"/>
  </conditionalFormatting>
  <conditionalFormatting sqref="F104 F106">
    <cfRule type="duplicateValues" dxfId="108" priority="126"/>
  </conditionalFormatting>
  <conditionalFormatting sqref="F107:F108">
    <cfRule type="duplicateValues" dxfId="107" priority="118"/>
    <cfRule type="duplicateValues" dxfId="106" priority="119"/>
  </conditionalFormatting>
  <conditionalFormatting sqref="F107:F108">
    <cfRule type="duplicateValues" dxfId="105" priority="120"/>
  </conditionalFormatting>
  <conditionalFormatting sqref="F107:F108">
    <cfRule type="duplicateValues" dxfId="104" priority="121"/>
  </conditionalFormatting>
  <conditionalFormatting sqref="F109">
    <cfRule type="duplicateValues" dxfId="103" priority="112"/>
    <cfRule type="duplicateValues" dxfId="102" priority="113"/>
  </conditionalFormatting>
  <conditionalFormatting sqref="F109">
    <cfRule type="duplicateValues" dxfId="101" priority="114"/>
  </conditionalFormatting>
  <conditionalFormatting sqref="F109">
    <cfRule type="duplicateValues" dxfId="100" priority="115"/>
  </conditionalFormatting>
  <conditionalFormatting sqref="F110">
    <cfRule type="duplicateValues" dxfId="99" priority="106"/>
    <cfRule type="duplicateValues" dxfId="98" priority="107"/>
  </conditionalFormatting>
  <conditionalFormatting sqref="F110">
    <cfRule type="duplicateValues" dxfId="97" priority="108"/>
  </conditionalFormatting>
  <conditionalFormatting sqref="F110">
    <cfRule type="duplicateValues" dxfId="96" priority="109"/>
  </conditionalFormatting>
  <conditionalFormatting sqref="F111">
    <cfRule type="duplicateValues" dxfId="95" priority="100"/>
    <cfRule type="duplicateValues" dxfId="94" priority="101"/>
  </conditionalFormatting>
  <conditionalFormatting sqref="F111">
    <cfRule type="duplicateValues" dxfId="93" priority="102"/>
  </conditionalFormatting>
  <conditionalFormatting sqref="F111">
    <cfRule type="duplicateValues" dxfId="92" priority="103"/>
  </conditionalFormatting>
  <conditionalFormatting sqref="F112">
    <cfRule type="duplicateValues" dxfId="91" priority="96"/>
  </conditionalFormatting>
  <conditionalFormatting sqref="F112">
    <cfRule type="duplicateValues" dxfId="90" priority="93"/>
  </conditionalFormatting>
  <conditionalFormatting sqref="F112">
    <cfRule type="duplicateValues" dxfId="89" priority="94"/>
    <cfRule type="duplicateValues" dxfId="88" priority="95"/>
  </conditionalFormatting>
  <conditionalFormatting sqref="F113">
    <cfRule type="duplicateValues" dxfId="87" priority="91"/>
  </conditionalFormatting>
  <conditionalFormatting sqref="F113">
    <cfRule type="duplicateValues" dxfId="86" priority="88"/>
  </conditionalFormatting>
  <conditionalFormatting sqref="F113">
    <cfRule type="duplicateValues" dxfId="85" priority="89"/>
    <cfRule type="duplicateValues" dxfId="84" priority="90"/>
  </conditionalFormatting>
  <conditionalFormatting sqref="F114">
    <cfRule type="duplicateValues" dxfId="83" priority="84"/>
    <cfRule type="duplicateValues" dxfId="82" priority="85"/>
  </conditionalFormatting>
  <conditionalFormatting sqref="F114">
    <cfRule type="duplicateValues" dxfId="81" priority="86"/>
  </conditionalFormatting>
  <conditionalFormatting sqref="F114">
    <cfRule type="duplicateValues" dxfId="80" priority="87"/>
  </conditionalFormatting>
  <conditionalFormatting sqref="F115">
    <cfRule type="duplicateValues" dxfId="79" priority="80"/>
    <cfRule type="duplicateValues" dxfId="78" priority="81"/>
  </conditionalFormatting>
  <conditionalFormatting sqref="F115">
    <cfRule type="duplicateValues" dxfId="77" priority="82"/>
  </conditionalFormatting>
  <conditionalFormatting sqref="F115">
    <cfRule type="duplicateValues" dxfId="76" priority="83"/>
  </conditionalFormatting>
  <conditionalFormatting sqref="F116">
    <cfRule type="duplicateValues" dxfId="75" priority="76"/>
    <cfRule type="duplicateValues" dxfId="74" priority="77"/>
  </conditionalFormatting>
  <conditionalFormatting sqref="F116">
    <cfRule type="duplicateValues" dxfId="73" priority="78"/>
  </conditionalFormatting>
  <conditionalFormatting sqref="F116">
    <cfRule type="duplicateValues" dxfId="72" priority="79"/>
  </conditionalFormatting>
  <conditionalFormatting sqref="F117">
    <cfRule type="duplicateValues" dxfId="71" priority="72"/>
    <cfRule type="duplicateValues" dxfId="70" priority="73"/>
  </conditionalFormatting>
  <conditionalFormatting sqref="F117">
    <cfRule type="duplicateValues" dxfId="69" priority="74"/>
  </conditionalFormatting>
  <conditionalFormatting sqref="F117">
    <cfRule type="duplicateValues" dxfId="68" priority="75"/>
  </conditionalFormatting>
  <conditionalFormatting sqref="F118">
    <cfRule type="duplicateValues" dxfId="67" priority="68"/>
    <cfRule type="duplicateValues" dxfId="66" priority="69"/>
  </conditionalFormatting>
  <conditionalFormatting sqref="F118">
    <cfRule type="duplicateValues" dxfId="65" priority="70"/>
  </conditionalFormatting>
  <conditionalFormatting sqref="F118">
    <cfRule type="duplicateValues" dxfId="64" priority="71"/>
  </conditionalFormatting>
  <conditionalFormatting sqref="F119">
    <cfRule type="duplicateValues" dxfId="63" priority="64"/>
    <cfRule type="duplicateValues" dxfId="62" priority="65"/>
  </conditionalFormatting>
  <conditionalFormatting sqref="F119">
    <cfRule type="duplicateValues" dxfId="61" priority="66"/>
  </conditionalFormatting>
  <conditionalFormatting sqref="F119">
    <cfRule type="duplicateValues" dxfId="60" priority="67"/>
  </conditionalFormatting>
  <conditionalFormatting sqref="F120">
    <cfRule type="duplicateValues" dxfId="59" priority="60"/>
    <cfRule type="duplicateValues" dxfId="58" priority="61"/>
  </conditionalFormatting>
  <conditionalFormatting sqref="F120">
    <cfRule type="duplicateValues" dxfId="57" priority="62"/>
  </conditionalFormatting>
  <conditionalFormatting sqref="F120">
    <cfRule type="duplicateValues" dxfId="56" priority="63"/>
  </conditionalFormatting>
  <conditionalFormatting sqref="F121">
    <cfRule type="duplicateValues" dxfId="55" priority="52"/>
    <cfRule type="duplicateValues" dxfId="54" priority="53"/>
  </conditionalFormatting>
  <conditionalFormatting sqref="F121">
    <cfRule type="duplicateValues" dxfId="53" priority="54"/>
  </conditionalFormatting>
  <conditionalFormatting sqref="F121">
    <cfRule type="duplicateValues" dxfId="52" priority="55"/>
  </conditionalFormatting>
  <conditionalFormatting sqref="F122">
    <cfRule type="duplicateValues" dxfId="51" priority="48"/>
    <cfRule type="duplicateValues" dxfId="50" priority="49"/>
  </conditionalFormatting>
  <conditionalFormatting sqref="F122">
    <cfRule type="duplicateValues" dxfId="49" priority="50"/>
  </conditionalFormatting>
  <conditionalFormatting sqref="F122">
    <cfRule type="duplicateValues" dxfId="48" priority="51"/>
  </conditionalFormatting>
  <conditionalFormatting sqref="F123">
    <cfRule type="duplicateValues" dxfId="47" priority="44"/>
    <cfRule type="duplicateValues" dxfId="46" priority="45"/>
  </conditionalFormatting>
  <conditionalFormatting sqref="F123">
    <cfRule type="duplicateValues" dxfId="45" priority="46"/>
  </conditionalFormatting>
  <conditionalFormatting sqref="F123">
    <cfRule type="duplicateValues" dxfId="44" priority="47"/>
  </conditionalFormatting>
  <conditionalFormatting sqref="F124">
    <cfRule type="duplicateValues" dxfId="43" priority="40"/>
    <cfRule type="duplicateValues" dxfId="42" priority="41"/>
  </conditionalFormatting>
  <conditionalFormatting sqref="F124">
    <cfRule type="duplicateValues" dxfId="41" priority="42"/>
  </conditionalFormatting>
  <conditionalFormatting sqref="F124">
    <cfRule type="duplicateValues" dxfId="40" priority="43"/>
  </conditionalFormatting>
  <conditionalFormatting sqref="F125">
    <cfRule type="duplicateValues" dxfId="39" priority="36"/>
    <cfRule type="duplicateValues" dxfId="38" priority="37"/>
  </conditionalFormatting>
  <conditionalFormatting sqref="F125">
    <cfRule type="duplicateValues" dxfId="37" priority="38"/>
  </conditionalFormatting>
  <conditionalFormatting sqref="F125">
    <cfRule type="duplicateValues" dxfId="36" priority="39"/>
  </conditionalFormatting>
  <conditionalFormatting sqref="F126">
    <cfRule type="duplicateValues" dxfId="35" priority="32"/>
    <cfRule type="duplicateValues" dxfId="34" priority="33"/>
  </conditionalFormatting>
  <conditionalFormatting sqref="F126">
    <cfRule type="duplicateValues" dxfId="33" priority="34"/>
  </conditionalFormatting>
  <conditionalFormatting sqref="F126">
    <cfRule type="duplicateValues" dxfId="32" priority="35"/>
  </conditionalFormatting>
  <conditionalFormatting sqref="F127">
    <cfRule type="duplicateValues" dxfId="31" priority="28"/>
    <cfRule type="duplicateValues" dxfId="30" priority="29"/>
  </conditionalFormatting>
  <conditionalFormatting sqref="F127">
    <cfRule type="duplicateValues" dxfId="29" priority="30"/>
  </conditionalFormatting>
  <conditionalFormatting sqref="F127">
    <cfRule type="duplicateValues" dxfId="28" priority="31"/>
  </conditionalFormatting>
  <conditionalFormatting sqref="F128">
    <cfRule type="duplicateValues" dxfId="27" priority="24"/>
    <cfRule type="duplicateValues" dxfId="26" priority="25"/>
  </conditionalFormatting>
  <conditionalFormatting sqref="F128">
    <cfRule type="duplicateValues" dxfId="25" priority="26"/>
  </conditionalFormatting>
  <conditionalFormatting sqref="F128">
    <cfRule type="duplicateValues" dxfId="24" priority="27"/>
  </conditionalFormatting>
  <conditionalFormatting sqref="F129">
    <cfRule type="duplicateValues" dxfId="23" priority="21"/>
  </conditionalFormatting>
  <conditionalFormatting sqref="F129">
    <cfRule type="duplicateValues" dxfId="22" priority="22"/>
    <cfRule type="duplicateValues" dxfId="21" priority="23"/>
  </conditionalFormatting>
  <conditionalFormatting sqref="F130">
    <cfRule type="duplicateValues" dxfId="20" priority="18"/>
  </conditionalFormatting>
  <conditionalFormatting sqref="F130">
    <cfRule type="duplicateValues" dxfId="19" priority="19"/>
    <cfRule type="duplicateValues" dxfId="18" priority="20"/>
  </conditionalFormatting>
  <conditionalFormatting sqref="F131">
    <cfRule type="duplicateValues" dxfId="17" priority="14"/>
    <cfRule type="duplicateValues" dxfId="16" priority="15"/>
  </conditionalFormatting>
  <conditionalFormatting sqref="F131">
    <cfRule type="duplicateValues" dxfId="15" priority="16"/>
  </conditionalFormatting>
  <conditionalFormatting sqref="F131">
    <cfRule type="duplicateValues" dxfId="14" priority="17"/>
  </conditionalFormatting>
  <conditionalFormatting sqref="F132">
    <cfRule type="duplicateValues" dxfId="13" priority="10"/>
    <cfRule type="duplicateValues" dxfId="12" priority="11"/>
  </conditionalFormatting>
  <conditionalFormatting sqref="F132">
    <cfRule type="duplicateValues" dxfId="11" priority="12"/>
  </conditionalFormatting>
  <conditionalFormatting sqref="F132">
    <cfRule type="duplicateValues" dxfId="10" priority="13"/>
  </conditionalFormatting>
  <conditionalFormatting sqref="I133:T133">
    <cfRule type="cellIs" dxfId="9" priority="5" operator="equal">
      <formula>0</formula>
    </cfRule>
  </conditionalFormatting>
  <conditionalFormatting sqref="F133">
    <cfRule type="duplicateValues" dxfId="8" priority="6"/>
    <cfRule type="duplicateValues" dxfId="7" priority="7"/>
  </conditionalFormatting>
  <conditionalFormatting sqref="F133">
    <cfRule type="duplicateValues" dxfId="6" priority="8"/>
  </conditionalFormatting>
  <conditionalFormatting sqref="F133">
    <cfRule type="duplicateValues" dxfId="5" priority="9"/>
  </conditionalFormatting>
  <conditionalFormatting sqref="F137">
    <cfRule type="duplicateValues" dxfId="4" priority="1"/>
    <cfRule type="duplicateValues" dxfId="3" priority="2"/>
  </conditionalFormatting>
  <conditionalFormatting sqref="F137">
    <cfRule type="duplicateValues" dxfId="2" priority="3"/>
  </conditionalFormatting>
  <conditionalFormatting sqref="F137">
    <cfRule type="duplicateValues" dxfId="1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Contadores_Ofic</vt:lpstr>
      <vt:lpstr>Hoja3</vt:lpstr>
      <vt:lpstr>Status oficina</vt:lpstr>
      <vt:lpstr>Hoja2</vt:lpstr>
      <vt:lpstr>Calidad de Prestamo y Retiro</vt:lpstr>
      <vt:lpstr>Hoja1</vt:lpstr>
      <vt:lpstr>Eliminadas 2021-2022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Admin-C616187</dc:creator>
  <cp:lastModifiedBy>RAMIRO DIAZ</cp:lastModifiedBy>
  <cp:lastPrinted>2024-03-05T16:02:24Z</cp:lastPrinted>
  <dcterms:created xsi:type="dcterms:W3CDTF">2014-06-17T16:05:10Z</dcterms:created>
  <dcterms:modified xsi:type="dcterms:W3CDTF">2026-08-10T15:31:26Z</dcterms:modified>
</cp:coreProperties>
</file>