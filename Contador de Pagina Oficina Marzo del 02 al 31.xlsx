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3.-Marz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3" i="1"/>
  <c r="Q54" i="1"/>
  <c r="Q55" i="1"/>
  <c r="Q56" i="1"/>
  <c r="Q57" i="1"/>
  <c r="Q59" i="1"/>
  <c r="Q60" i="1"/>
  <c r="Q62" i="1"/>
  <c r="Q63" i="1"/>
  <c r="Q64" i="1"/>
  <c r="Q67" i="1"/>
  <c r="Q68" i="1"/>
  <c r="Q69" i="1"/>
  <c r="Q70" i="1"/>
  <c r="Q71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5" i="1"/>
  <c r="Q116" i="1"/>
  <c r="Q118" i="1"/>
  <c r="Q119" i="1"/>
  <c r="Q120" i="1"/>
  <c r="Q121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7" i="1"/>
  <c r="Q168" i="1"/>
  <c r="Q169" i="1"/>
  <c r="Q170" i="1"/>
  <c r="Q171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90" i="1"/>
  <c r="Q191" i="1"/>
  <c r="Q193" i="1"/>
  <c r="Q194" i="1"/>
  <c r="Q195" i="1"/>
  <c r="Q196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3" i="1"/>
  <c r="Q214" i="1"/>
  <c r="Q215" i="1"/>
  <c r="Q216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9" i="1"/>
  <c r="Q240" i="1"/>
  <c r="Q243" i="1"/>
  <c r="Q244" i="1"/>
  <c r="Q245" i="1"/>
  <c r="Q246" i="1"/>
  <c r="Q247" i="1"/>
  <c r="Q248" i="1"/>
  <c r="Q249" i="1"/>
  <c r="Q250" i="1"/>
  <c r="Q251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2" i="1"/>
  <c r="P216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3" i="1"/>
  <c r="O54" i="1"/>
  <c r="O55" i="1"/>
  <c r="O56" i="1"/>
  <c r="O57" i="1"/>
  <c r="O59" i="1"/>
  <c r="O60" i="1"/>
  <c r="O62" i="1"/>
  <c r="O63" i="1"/>
  <c r="O64" i="1"/>
  <c r="O67" i="1"/>
  <c r="O68" i="1"/>
  <c r="O69" i="1"/>
  <c r="O70" i="1"/>
  <c r="O71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5" i="1"/>
  <c r="O116" i="1"/>
  <c r="O118" i="1"/>
  <c r="O119" i="1"/>
  <c r="O120" i="1"/>
  <c r="O121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7" i="1"/>
  <c r="O168" i="1"/>
  <c r="O169" i="1"/>
  <c r="O170" i="1"/>
  <c r="O171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90" i="1"/>
  <c r="O191" i="1"/>
  <c r="O193" i="1"/>
  <c r="O194" i="1"/>
  <c r="O195" i="1"/>
  <c r="O196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3" i="1"/>
  <c r="O214" i="1"/>
  <c r="O215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9" i="1"/>
  <c r="O240" i="1"/>
  <c r="O243" i="1"/>
  <c r="O244" i="1"/>
  <c r="O245" i="1"/>
  <c r="O246" i="1"/>
  <c r="O247" i="1"/>
  <c r="O248" i="1"/>
  <c r="O249" i="1"/>
  <c r="O250" i="1"/>
  <c r="O251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2" i="1"/>
  <c r="N52" i="1" l="1"/>
  <c r="N58" i="1"/>
  <c r="N61" i="1"/>
  <c r="N65" i="1"/>
  <c r="N66" i="1"/>
  <c r="N72" i="1"/>
  <c r="N87" i="1"/>
  <c r="N114" i="1"/>
  <c r="N117" i="1"/>
  <c r="N122" i="1"/>
  <c r="N166" i="1"/>
  <c r="N172" i="1"/>
  <c r="N189" i="1"/>
  <c r="N192" i="1"/>
  <c r="N197" i="1"/>
  <c r="N212" i="1"/>
  <c r="N217" i="1"/>
  <c r="N238" i="1"/>
  <c r="N241" i="1"/>
  <c r="N242" i="1"/>
  <c r="N252" i="1"/>
  <c r="N30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3" i="1"/>
  <c r="M54" i="1"/>
  <c r="M55" i="1"/>
  <c r="M56" i="1"/>
  <c r="M57" i="1"/>
  <c r="M59" i="1"/>
  <c r="M60" i="1"/>
  <c r="M62" i="1"/>
  <c r="M63" i="1"/>
  <c r="M64" i="1"/>
  <c r="M67" i="1"/>
  <c r="M68" i="1"/>
  <c r="M69" i="1"/>
  <c r="M70" i="1"/>
  <c r="M71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5" i="1"/>
  <c r="M116" i="1"/>
  <c r="M118" i="1"/>
  <c r="M119" i="1"/>
  <c r="M120" i="1"/>
  <c r="M121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8" i="1"/>
  <c r="M169" i="1"/>
  <c r="M170" i="1"/>
  <c r="M171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90" i="1"/>
  <c r="M191" i="1"/>
  <c r="M193" i="1"/>
  <c r="M194" i="1"/>
  <c r="M195" i="1"/>
  <c r="M196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3" i="1"/>
  <c r="M214" i="1"/>
  <c r="M215" i="1"/>
  <c r="M216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9" i="1"/>
  <c r="M240" i="1"/>
  <c r="M243" i="1"/>
  <c r="M244" i="1"/>
  <c r="M245" i="1"/>
  <c r="M246" i="1"/>
  <c r="M247" i="1"/>
  <c r="M248" i="1"/>
  <c r="M249" i="1"/>
  <c r="M250" i="1"/>
  <c r="M251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2" i="1"/>
  <c r="N44" i="1" l="1"/>
  <c r="L52" i="1"/>
  <c r="L58" i="1"/>
  <c r="L61" i="1"/>
  <c r="L65" i="1"/>
  <c r="L66" i="1"/>
  <c r="L72" i="1"/>
  <c r="L87" i="1"/>
  <c r="L114" i="1"/>
  <c r="L117" i="1"/>
  <c r="L122" i="1"/>
  <c r="L166" i="1"/>
  <c r="L172" i="1"/>
  <c r="L189" i="1"/>
  <c r="L192" i="1"/>
  <c r="L197" i="1"/>
  <c r="L212" i="1"/>
  <c r="L217" i="1"/>
  <c r="L238" i="1"/>
  <c r="L241" i="1"/>
  <c r="L242" i="1"/>
  <c r="L252" i="1"/>
  <c r="L303" i="1"/>
  <c r="K3" i="1"/>
  <c r="N3" i="1" s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35" i="1"/>
  <c r="N35" i="1" s="1"/>
  <c r="K36" i="1"/>
  <c r="N36" i="1" s="1"/>
  <c r="K37" i="1"/>
  <c r="N37" i="1" s="1"/>
  <c r="K38" i="1"/>
  <c r="N38" i="1" s="1"/>
  <c r="K39" i="1"/>
  <c r="N39" i="1" s="1"/>
  <c r="K40" i="1"/>
  <c r="N40" i="1" s="1"/>
  <c r="K41" i="1"/>
  <c r="N41" i="1" s="1"/>
  <c r="K42" i="1"/>
  <c r="N42" i="1" s="1"/>
  <c r="K43" i="1"/>
  <c r="N43" i="1" s="1"/>
  <c r="K44" i="1"/>
  <c r="K45" i="1"/>
  <c r="N45" i="1" s="1"/>
  <c r="K46" i="1"/>
  <c r="N46" i="1" s="1"/>
  <c r="K47" i="1"/>
  <c r="N47" i="1" s="1"/>
  <c r="K48" i="1"/>
  <c r="N48" i="1" s="1"/>
  <c r="K49" i="1"/>
  <c r="N49" i="1" s="1"/>
  <c r="K50" i="1"/>
  <c r="N50" i="1" s="1"/>
  <c r="K51" i="1"/>
  <c r="N51" i="1" s="1"/>
  <c r="K53" i="1"/>
  <c r="N53" i="1" s="1"/>
  <c r="K54" i="1"/>
  <c r="N54" i="1" s="1"/>
  <c r="K55" i="1"/>
  <c r="N55" i="1" s="1"/>
  <c r="K56" i="1"/>
  <c r="N56" i="1" s="1"/>
  <c r="K57" i="1"/>
  <c r="N57" i="1" s="1"/>
  <c r="K59" i="1"/>
  <c r="N59" i="1" s="1"/>
  <c r="K60" i="1"/>
  <c r="N60" i="1" s="1"/>
  <c r="K62" i="1"/>
  <c r="N62" i="1" s="1"/>
  <c r="K63" i="1"/>
  <c r="N63" i="1" s="1"/>
  <c r="K64" i="1"/>
  <c r="N64" i="1" s="1"/>
  <c r="K67" i="1"/>
  <c r="N67" i="1" s="1"/>
  <c r="K68" i="1"/>
  <c r="N68" i="1" s="1"/>
  <c r="K69" i="1"/>
  <c r="N69" i="1" s="1"/>
  <c r="K70" i="1"/>
  <c r="N70" i="1" s="1"/>
  <c r="K71" i="1"/>
  <c r="N71" i="1" s="1"/>
  <c r="K73" i="1"/>
  <c r="N73" i="1" s="1"/>
  <c r="K74" i="1"/>
  <c r="N74" i="1" s="1"/>
  <c r="K75" i="1"/>
  <c r="N75" i="1" s="1"/>
  <c r="K76" i="1"/>
  <c r="N76" i="1" s="1"/>
  <c r="K77" i="1"/>
  <c r="N77" i="1" s="1"/>
  <c r="K78" i="1"/>
  <c r="N78" i="1" s="1"/>
  <c r="K79" i="1"/>
  <c r="N79" i="1" s="1"/>
  <c r="K80" i="1"/>
  <c r="N80" i="1" s="1"/>
  <c r="K81" i="1"/>
  <c r="N81" i="1" s="1"/>
  <c r="K82" i="1"/>
  <c r="N82" i="1" s="1"/>
  <c r="K83" i="1"/>
  <c r="N83" i="1" s="1"/>
  <c r="K84" i="1"/>
  <c r="N84" i="1" s="1"/>
  <c r="K85" i="1"/>
  <c r="N85" i="1" s="1"/>
  <c r="K86" i="1"/>
  <c r="N86" i="1" s="1"/>
  <c r="K88" i="1"/>
  <c r="N88" i="1" s="1"/>
  <c r="K89" i="1"/>
  <c r="N89" i="1" s="1"/>
  <c r="K90" i="1"/>
  <c r="N90" i="1" s="1"/>
  <c r="K91" i="1"/>
  <c r="N91" i="1" s="1"/>
  <c r="K92" i="1"/>
  <c r="N92" i="1" s="1"/>
  <c r="K93" i="1"/>
  <c r="N93" i="1" s="1"/>
  <c r="K94" i="1"/>
  <c r="N94" i="1" s="1"/>
  <c r="K95" i="1"/>
  <c r="N95" i="1" s="1"/>
  <c r="K96" i="1"/>
  <c r="N96" i="1" s="1"/>
  <c r="K97" i="1"/>
  <c r="N97" i="1" s="1"/>
  <c r="K98" i="1"/>
  <c r="N98" i="1" s="1"/>
  <c r="K99" i="1"/>
  <c r="N99" i="1" s="1"/>
  <c r="K100" i="1"/>
  <c r="N100" i="1" s="1"/>
  <c r="K101" i="1"/>
  <c r="N101" i="1" s="1"/>
  <c r="K102" i="1"/>
  <c r="N102" i="1" s="1"/>
  <c r="K103" i="1"/>
  <c r="N103" i="1" s="1"/>
  <c r="K104" i="1"/>
  <c r="N104" i="1" s="1"/>
  <c r="K105" i="1"/>
  <c r="N105" i="1" s="1"/>
  <c r="K106" i="1"/>
  <c r="N106" i="1" s="1"/>
  <c r="K107" i="1"/>
  <c r="N107" i="1" s="1"/>
  <c r="K108" i="1"/>
  <c r="N108" i="1" s="1"/>
  <c r="K109" i="1"/>
  <c r="N109" i="1" s="1"/>
  <c r="K110" i="1"/>
  <c r="N110" i="1" s="1"/>
  <c r="K111" i="1"/>
  <c r="N111" i="1" s="1"/>
  <c r="K112" i="1"/>
  <c r="N112" i="1" s="1"/>
  <c r="K113" i="1"/>
  <c r="N113" i="1" s="1"/>
  <c r="K115" i="1"/>
  <c r="N115" i="1" s="1"/>
  <c r="K116" i="1"/>
  <c r="N116" i="1" s="1"/>
  <c r="K118" i="1"/>
  <c r="N118" i="1" s="1"/>
  <c r="K119" i="1"/>
  <c r="N119" i="1" s="1"/>
  <c r="K120" i="1"/>
  <c r="N120" i="1" s="1"/>
  <c r="K121" i="1"/>
  <c r="N121" i="1" s="1"/>
  <c r="K123" i="1"/>
  <c r="N123" i="1" s="1"/>
  <c r="K124" i="1"/>
  <c r="N124" i="1" s="1"/>
  <c r="K125" i="1"/>
  <c r="N125" i="1" s="1"/>
  <c r="K126" i="1"/>
  <c r="N126" i="1" s="1"/>
  <c r="K127" i="1"/>
  <c r="N127" i="1" s="1"/>
  <c r="K128" i="1"/>
  <c r="N128" i="1" s="1"/>
  <c r="K129" i="1"/>
  <c r="N129" i="1" s="1"/>
  <c r="K130" i="1"/>
  <c r="N130" i="1" s="1"/>
  <c r="K131" i="1"/>
  <c r="N131" i="1" s="1"/>
  <c r="K132" i="1"/>
  <c r="N132" i="1" s="1"/>
  <c r="K133" i="1"/>
  <c r="N133" i="1" s="1"/>
  <c r="K134" i="1"/>
  <c r="N134" i="1" s="1"/>
  <c r="K135" i="1"/>
  <c r="N135" i="1" s="1"/>
  <c r="K136" i="1"/>
  <c r="N136" i="1" s="1"/>
  <c r="K137" i="1"/>
  <c r="N137" i="1" s="1"/>
  <c r="K138" i="1"/>
  <c r="N138" i="1" s="1"/>
  <c r="K139" i="1"/>
  <c r="N139" i="1" s="1"/>
  <c r="K140" i="1"/>
  <c r="N140" i="1" s="1"/>
  <c r="K141" i="1"/>
  <c r="N141" i="1" s="1"/>
  <c r="K142" i="1"/>
  <c r="N142" i="1" s="1"/>
  <c r="K143" i="1"/>
  <c r="N143" i="1" s="1"/>
  <c r="K144" i="1"/>
  <c r="N144" i="1" s="1"/>
  <c r="K145" i="1"/>
  <c r="N145" i="1" s="1"/>
  <c r="K146" i="1"/>
  <c r="N146" i="1" s="1"/>
  <c r="K147" i="1"/>
  <c r="N147" i="1" s="1"/>
  <c r="K148" i="1"/>
  <c r="N148" i="1" s="1"/>
  <c r="K149" i="1"/>
  <c r="N149" i="1" s="1"/>
  <c r="K150" i="1"/>
  <c r="N150" i="1" s="1"/>
  <c r="K151" i="1"/>
  <c r="N151" i="1" s="1"/>
  <c r="K152" i="1"/>
  <c r="N152" i="1" s="1"/>
  <c r="K153" i="1"/>
  <c r="N153" i="1" s="1"/>
  <c r="K154" i="1"/>
  <c r="N154" i="1" s="1"/>
  <c r="K155" i="1"/>
  <c r="N155" i="1" s="1"/>
  <c r="K156" i="1"/>
  <c r="N156" i="1" s="1"/>
  <c r="K157" i="1"/>
  <c r="N157" i="1" s="1"/>
  <c r="K158" i="1"/>
  <c r="N158" i="1" s="1"/>
  <c r="K159" i="1"/>
  <c r="N159" i="1" s="1"/>
  <c r="K160" i="1"/>
  <c r="N160" i="1" s="1"/>
  <c r="K161" i="1"/>
  <c r="N161" i="1" s="1"/>
  <c r="K162" i="1"/>
  <c r="N162" i="1" s="1"/>
  <c r="K163" i="1"/>
  <c r="N163" i="1" s="1"/>
  <c r="K164" i="1"/>
  <c r="N164" i="1" s="1"/>
  <c r="K165" i="1"/>
  <c r="N165" i="1" s="1"/>
  <c r="K167" i="1"/>
  <c r="N167" i="1" s="1"/>
  <c r="K168" i="1"/>
  <c r="N168" i="1" s="1"/>
  <c r="K169" i="1"/>
  <c r="N169" i="1" s="1"/>
  <c r="K170" i="1"/>
  <c r="N170" i="1" s="1"/>
  <c r="K171" i="1"/>
  <c r="N171" i="1" s="1"/>
  <c r="K173" i="1"/>
  <c r="N173" i="1" s="1"/>
  <c r="K174" i="1"/>
  <c r="N174" i="1" s="1"/>
  <c r="K175" i="1"/>
  <c r="N175" i="1" s="1"/>
  <c r="K176" i="1"/>
  <c r="N176" i="1" s="1"/>
  <c r="K177" i="1"/>
  <c r="N177" i="1" s="1"/>
  <c r="K178" i="1"/>
  <c r="N178" i="1" s="1"/>
  <c r="K179" i="1"/>
  <c r="N179" i="1" s="1"/>
  <c r="K180" i="1"/>
  <c r="N180" i="1" s="1"/>
  <c r="K181" i="1"/>
  <c r="N181" i="1" s="1"/>
  <c r="K182" i="1"/>
  <c r="N182" i="1" s="1"/>
  <c r="K183" i="1"/>
  <c r="N183" i="1" s="1"/>
  <c r="K184" i="1"/>
  <c r="N184" i="1" s="1"/>
  <c r="K185" i="1"/>
  <c r="N185" i="1" s="1"/>
  <c r="K186" i="1"/>
  <c r="N186" i="1" s="1"/>
  <c r="K187" i="1"/>
  <c r="N187" i="1" s="1"/>
  <c r="K188" i="1"/>
  <c r="N188" i="1" s="1"/>
  <c r="K190" i="1"/>
  <c r="N190" i="1" s="1"/>
  <c r="K191" i="1"/>
  <c r="N191" i="1" s="1"/>
  <c r="K193" i="1"/>
  <c r="N193" i="1" s="1"/>
  <c r="K194" i="1"/>
  <c r="N194" i="1" s="1"/>
  <c r="K195" i="1"/>
  <c r="N195" i="1" s="1"/>
  <c r="K196" i="1"/>
  <c r="N196" i="1" s="1"/>
  <c r="K198" i="1"/>
  <c r="N198" i="1" s="1"/>
  <c r="K199" i="1"/>
  <c r="N199" i="1" s="1"/>
  <c r="K200" i="1"/>
  <c r="N200" i="1" s="1"/>
  <c r="K201" i="1"/>
  <c r="N201" i="1" s="1"/>
  <c r="K202" i="1"/>
  <c r="N202" i="1" s="1"/>
  <c r="K203" i="1"/>
  <c r="N203" i="1" s="1"/>
  <c r="K204" i="1"/>
  <c r="N204" i="1" s="1"/>
  <c r="K205" i="1"/>
  <c r="N205" i="1" s="1"/>
  <c r="K206" i="1"/>
  <c r="N206" i="1" s="1"/>
  <c r="K207" i="1"/>
  <c r="N207" i="1" s="1"/>
  <c r="K208" i="1"/>
  <c r="N208" i="1" s="1"/>
  <c r="K209" i="1"/>
  <c r="N209" i="1" s="1"/>
  <c r="K210" i="1"/>
  <c r="N210" i="1" s="1"/>
  <c r="K211" i="1"/>
  <c r="N211" i="1" s="1"/>
  <c r="K213" i="1"/>
  <c r="N213" i="1" s="1"/>
  <c r="K214" i="1"/>
  <c r="N214" i="1" s="1"/>
  <c r="K215" i="1"/>
  <c r="N215" i="1" s="1"/>
  <c r="K216" i="1"/>
  <c r="N216" i="1" s="1"/>
  <c r="K218" i="1"/>
  <c r="N218" i="1" s="1"/>
  <c r="K219" i="1"/>
  <c r="N219" i="1" s="1"/>
  <c r="K220" i="1"/>
  <c r="N220" i="1" s="1"/>
  <c r="K221" i="1"/>
  <c r="N221" i="1" s="1"/>
  <c r="K222" i="1"/>
  <c r="N222" i="1" s="1"/>
  <c r="K223" i="1"/>
  <c r="N223" i="1" s="1"/>
  <c r="K224" i="1"/>
  <c r="N224" i="1" s="1"/>
  <c r="K225" i="1"/>
  <c r="N225" i="1" s="1"/>
  <c r="K226" i="1"/>
  <c r="N226" i="1" s="1"/>
  <c r="K227" i="1"/>
  <c r="N227" i="1" s="1"/>
  <c r="K228" i="1"/>
  <c r="N228" i="1" s="1"/>
  <c r="K229" i="1"/>
  <c r="N229" i="1" s="1"/>
  <c r="K230" i="1"/>
  <c r="N230" i="1" s="1"/>
  <c r="K231" i="1"/>
  <c r="N231" i="1" s="1"/>
  <c r="K232" i="1"/>
  <c r="N232" i="1" s="1"/>
  <c r="K233" i="1"/>
  <c r="N233" i="1" s="1"/>
  <c r="K234" i="1"/>
  <c r="N234" i="1" s="1"/>
  <c r="K235" i="1"/>
  <c r="N235" i="1" s="1"/>
  <c r="K236" i="1"/>
  <c r="N236" i="1" s="1"/>
  <c r="K237" i="1"/>
  <c r="N237" i="1" s="1"/>
  <c r="K239" i="1"/>
  <c r="N239" i="1" s="1"/>
  <c r="K240" i="1"/>
  <c r="N240" i="1" s="1"/>
  <c r="K243" i="1"/>
  <c r="N243" i="1" s="1"/>
  <c r="K244" i="1"/>
  <c r="N244" i="1" s="1"/>
  <c r="K245" i="1"/>
  <c r="N245" i="1" s="1"/>
  <c r="K246" i="1"/>
  <c r="N246" i="1" s="1"/>
  <c r="K247" i="1"/>
  <c r="N247" i="1" s="1"/>
  <c r="K248" i="1"/>
  <c r="N248" i="1" s="1"/>
  <c r="K249" i="1"/>
  <c r="N249" i="1" s="1"/>
  <c r="K250" i="1"/>
  <c r="N250" i="1" s="1"/>
  <c r="K251" i="1"/>
  <c r="N251" i="1" s="1"/>
  <c r="K253" i="1"/>
  <c r="N253" i="1" s="1"/>
  <c r="K254" i="1"/>
  <c r="N254" i="1" s="1"/>
  <c r="K255" i="1"/>
  <c r="N255" i="1" s="1"/>
  <c r="K256" i="1"/>
  <c r="N256" i="1" s="1"/>
  <c r="K257" i="1"/>
  <c r="N257" i="1" s="1"/>
  <c r="K258" i="1"/>
  <c r="N258" i="1" s="1"/>
  <c r="K259" i="1"/>
  <c r="N259" i="1" s="1"/>
  <c r="K260" i="1"/>
  <c r="N260" i="1" s="1"/>
  <c r="K261" i="1"/>
  <c r="N261" i="1" s="1"/>
  <c r="K262" i="1"/>
  <c r="N262" i="1" s="1"/>
  <c r="K263" i="1"/>
  <c r="N263" i="1" s="1"/>
  <c r="K264" i="1"/>
  <c r="N264" i="1" s="1"/>
  <c r="K265" i="1"/>
  <c r="N265" i="1" s="1"/>
  <c r="K266" i="1"/>
  <c r="N266" i="1" s="1"/>
  <c r="K267" i="1"/>
  <c r="N267" i="1" s="1"/>
  <c r="K268" i="1"/>
  <c r="N268" i="1" s="1"/>
  <c r="K269" i="1"/>
  <c r="N269" i="1" s="1"/>
  <c r="K270" i="1"/>
  <c r="N270" i="1" s="1"/>
  <c r="K271" i="1"/>
  <c r="N271" i="1" s="1"/>
  <c r="K272" i="1"/>
  <c r="N272" i="1" s="1"/>
  <c r="K273" i="1"/>
  <c r="N273" i="1" s="1"/>
  <c r="K274" i="1"/>
  <c r="N274" i="1" s="1"/>
  <c r="K275" i="1"/>
  <c r="N275" i="1" s="1"/>
  <c r="K276" i="1"/>
  <c r="N276" i="1" s="1"/>
  <c r="K277" i="1"/>
  <c r="N277" i="1" s="1"/>
  <c r="K278" i="1"/>
  <c r="N278" i="1" s="1"/>
  <c r="K279" i="1"/>
  <c r="N279" i="1" s="1"/>
  <c r="K280" i="1"/>
  <c r="N280" i="1" s="1"/>
  <c r="K281" i="1"/>
  <c r="N281" i="1" s="1"/>
  <c r="K282" i="1"/>
  <c r="N282" i="1" s="1"/>
  <c r="K283" i="1"/>
  <c r="N283" i="1" s="1"/>
  <c r="K284" i="1"/>
  <c r="N284" i="1" s="1"/>
  <c r="K285" i="1"/>
  <c r="N285" i="1" s="1"/>
  <c r="K286" i="1"/>
  <c r="N286" i="1" s="1"/>
  <c r="K287" i="1"/>
  <c r="N287" i="1" s="1"/>
  <c r="K288" i="1"/>
  <c r="N288" i="1" s="1"/>
  <c r="K289" i="1"/>
  <c r="N289" i="1" s="1"/>
  <c r="K290" i="1"/>
  <c r="N290" i="1" s="1"/>
  <c r="K291" i="1"/>
  <c r="N291" i="1" s="1"/>
  <c r="K292" i="1"/>
  <c r="N292" i="1" s="1"/>
  <c r="K293" i="1"/>
  <c r="N293" i="1" s="1"/>
  <c r="K294" i="1"/>
  <c r="N294" i="1" s="1"/>
  <c r="K295" i="1"/>
  <c r="N295" i="1" s="1"/>
  <c r="K296" i="1"/>
  <c r="N296" i="1" s="1"/>
  <c r="K297" i="1"/>
  <c r="N297" i="1" s="1"/>
  <c r="K298" i="1"/>
  <c r="N298" i="1" s="1"/>
  <c r="K299" i="1"/>
  <c r="N299" i="1" s="1"/>
  <c r="K300" i="1"/>
  <c r="N300" i="1" s="1"/>
  <c r="K301" i="1"/>
  <c r="N301" i="1" s="1"/>
  <c r="K302" i="1"/>
  <c r="N302" i="1" s="1"/>
  <c r="K304" i="1"/>
  <c r="N304" i="1" s="1"/>
  <c r="K305" i="1"/>
  <c r="N305" i="1" s="1"/>
  <c r="K306" i="1"/>
  <c r="N306" i="1" s="1"/>
  <c r="K307" i="1"/>
  <c r="N307" i="1" s="1"/>
  <c r="K308" i="1"/>
  <c r="N308" i="1" s="1"/>
  <c r="K309" i="1"/>
  <c r="N309" i="1" s="1"/>
  <c r="K310" i="1"/>
  <c r="N310" i="1" s="1"/>
  <c r="K311" i="1"/>
  <c r="N311" i="1" s="1"/>
  <c r="K312" i="1"/>
  <c r="N312" i="1" s="1"/>
  <c r="K313" i="1"/>
  <c r="N313" i="1" s="1"/>
  <c r="K314" i="1"/>
  <c r="N314" i="1" s="1"/>
  <c r="K315" i="1"/>
  <c r="N315" i="1" s="1"/>
  <c r="K316" i="1"/>
  <c r="N316" i="1" s="1"/>
  <c r="K317" i="1"/>
  <c r="N317" i="1" s="1"/>
  <c r="K318" i="1"/>
  <c r="N318" i="1" s="1"/>
  <c r="K319" i="1"/>
  <c r="N319" i="1" s="1"/>
  <c r="K320" i="1"/>
  <c r="N320" i="1" s="1"/>
  <c r="K321" i="1"/>
  <c r="N321" i="1" s="1"/>
  <c r="K322" i="1"/>
  <c r="N322" i="1" s="1"/>
  <c r="K323" i="1"/>
  <c r="N323" i="1" s="1"/>
  <c r="K324" i="1"/>
  <c r="N324" i="1" s="1"/>
  <c r="K325" i="1"/>
  <c r="N325" i="1" s="1"/>
  <c r="K326" i="1"/>
  <c r="N326" i="1" s="1"/>
  <c r="K2" i="1"/>
  <c r="N2" i="1" s="1"/>
  <c r="J52" i="1" l="1"/>
  <c r="S52" i="1" s="1"/>
  <c r="J58" i="1"/>
  <c r="S58" i="1" s="1"/>
  <c r="J61" i="1"/>
  <c r="S61" i="1" s="1"/>
  <c r="J65" i="1"/>
  <c r="S65" i="1" s="1"/>
  <c r="J66" i="1"/>
  <c r="S66" i="1" s="1"/>
  <c r="J72" i="1"/>
  <c r="S72" i="1" s="1"/>
  <c r="J87" i="1"/>
  <c r="S87" i="1" s="1"/>
  <c r="J114" i="1"/>
  <c r="S114" i="1" s="1"/>
  <c r="J117" i="1"/>
  <c r="S117" i="1" s="1"/>
  <c r="J122" i="1"/>
  <c r="S122" i="1" s="1"/>
  <c r="J166" i="1"/>
  <c r="S166" i="1" s="1"/>
  <c r="J172" i="1"/>
  <c r="S172" i="1" s="1"/>
  <c r="J189" i="1"/>
  <c r="S189" i="1" s="1"/>
  <c r="J192" i="1"/>
  <c r="S192" i="1" s="1"/>
  <c r="J197" i="1"/>
  <c r="S197" i="1" s="1"/>
  <c r="J212" i="1"/>
  <c r="S212" i="1" s="1"/>
  <c r="J217" i="1"/>
  <c r="S217" i="1" s="1"/>
  <c r="J238" i="1"/>
  <c r="S238" i="1" s="1"/>
  <c r="J241" i="1"/>
  <c r="S241" i="1" s="1"/>
  <c r="J242" i="1"/>
  <c r="S242" i="1" s="1"/>
  <c r="J252" i="1"/>
  <c r="S252" i="1" s="1"/>
  <c r="J303" i="1"/>
  <c r="S303" i="1" s="1"/>
  <c r="I3" i="1"/>
  <c r="J3" i="1" s="1"/>
  <c r="I4" i="1"/>
  <c r="I5" i="1"/>
  <c r="J5" i="1" s="1"/>
  <c r="I6" i="1"/>
  <c r="I7" i="1"/>
  <c r="J7" i="1" s="1"/>
  <c r="I8" i="1"/>
  <c r="I9" i="1"/>
  <c r="J9" i="1" s="1"/>
  <c r="I10" i="1"/>
  <c r="I11" i="1"/>
  <c r="J11" i="1" s="1"/>
  <c r="I12" i="1"/>
  <c r="J12" i="1" s="1"/>
  <c r="I13" i="1"/>
  <c r="J13" i="1" s="1"/>
  <c r="I14" i="1"/>
  <c r="I15" i="1"/>
  <c r="J15" i="1" s="1"/>
  <c r="I16" i="1"/>
  <c r="I17" i="1"/>
  <c r="J17" i="1" s="1"/>
  <c r="I18" i="1"/>
  <c r="I19" i="1"/>
  <c r="J19" i="1" s="1"/>
  <c r="I20" i="1"/>
  <c r="I21" i="1"/>
  <c r="J21" i="1" s="1"/>
  <c r="I22" i="1"/>
  <c r="I23" i="1"/>
  <c r="I24" i="1"/>
  <c r="I25" i="1"/>
  <c r="J25" i="1" s="1"/>
  <c r="I26" i="1"/>
  <c r="I27" i="1"/>
  <c r="I28" i="1"/>
  <c r="I29" i="1"/>
  <c r="J29" i="1" s="1"/>
  <c r="I30" i="1"/>
  <c r="I31" i="1"/>
  <c r="J31" i="1" s="1"/>
  <c r="I32" i="1"/>
  <c r="J32" i="1" s="1"/>
  <c r="I33" i="1"/>
  <c r="J33" i="1" s="1"/>
  <c r="I34" i="1"/>
  <c r="I35" i="1"/>
  <c r="I36" i="1"/>
  <c r="I37" i="1"/>
  <c r="J37" i="1" s="1"/>
  <c r="I38" i="1"/>
  <c r="I39" i="1"/>
  <c r="I40" i="1"/>
  <c r="I41" i="1"/>
  <c r="J41" i="1" s="1"/>
  <c r="I42" i="1"/>
  <c r="I43" i="1"/>
  <c r="I44" i="1"/>
  <c r="I45" i="1"/>
  <c r="J45" i="1" s="1"/>
  <c r="I46" i="1"/>
  <c r="I47" i="1"/>
  <c r="J47" i="1" s="1"/>
  <c r="I48" i="1"/>
  <c r="I49" i="1"/>
  <c r="J49" i="1" s="1"/>
  <c r="I50" i="1"/>
  <c r="I51" i="1"/>
  <c r="I53" i="1"/>
  <c r="J53" i="1" s="1"/>
  <c r="I54" i="1"/>
  <c r="J54" i="1" s="1"/>
  <c r="I55" i="1"/>
  <c r="J55" i="1" s="1"/>
  <c r="I56" i="1"/>
  <c r="I57" i="1"/>
  <c r="J57" i="1" s="1"/>
  <c r="I59" i="1"/>
  <c r="I60" i="1"/>
  <c r="J60" i="1" s="1"/>
  <c r="I62" i="1"/>
  <c r="I63" i="1"/>
  <c r="I64" i="1"/>
  <c r="I67" i="1"/>
  <c r="J67" i="1" s="1"/>
  <c r="I68" i="1"/>
  <c r="I69" i="1"/>
  <c r="I70" i="1"/>
  <c r="I71" i="1"/>
  <c r="J71" i="1" s="1"/>
  <c r="I73" i="1"/>
  <c r="J73" i="1" s="1"/>
  <c r="I74" i="1"/>
  <c r="I75" i="1"/>
  <c r="J75" i="1" s="1"/>
  <c r="I76" i="1"/>
  <c r="J76" i="1" s="1"/>
  <c r="I77" i="1"/>
  <c r="I78" i="1"/>
  <c r="I79" i="1"/>
  <c r="I80" i="1"/>
  <c r="J80" i="1" s="1"/>
  <c r="I81" i="1"/>
  <c r="I82" i="1"/>
  <c r="I83" i="1"/>
  <c r="I84" i="1"/>
  <c r="J84" i="1" s="1"/>
  <c r="I85" i="1"/>
  <c r="I86" i="1"/>
  <c r="I88" i="1"/>
  <c r="I89" i="1"/>
  <c r="J89" i="1" s="1"/>
  <c r="I90" i="1"/>
  <c r="I91" i="1"/>
  <c r="I92" i="1"/>
  <c r="J92" i="1" s="1"/>
  <c r="I93" i="1"/>
  <c r="J93" i="1" s="1"/>
  <c r="I94" i="1"/>
  <c r="I95" i="1"/>
  <c r="I96" i="1"/>
  <c r="I97" i="1"/>
  <c r="J97" i="1" s="1"/>
  <c r="I98" i="1"/>
  <c r="I99" i="1"/>
  <c r="I100" i="1"/>
  <c r="I101" i="1"/>
  <c r="J101" i="1" s="1"/>
  <c r="I102" i="1"/>
  <c r="I103" i="1"/>
  <c r="I104" i="1"/>
  <c r="I105" i="1"/>
  <c r="J105" i="1" s="1"/>
  <c r="I106" i="1"/>
  <c r="I107" i="1"/>
  <c r="J107" i="1" s="1"/>
  <c r="I108" i="1"/>
  <c r="J108" i="1" s="1"/>
  <c r="I109" i="1"/>
  <c r="J109" i="1" s="1"/>
  <c r="I110" i="1"/>
  <c r="I111" i="1"/>
  <c r="J111" i="1" s="1"/>
  <c r="I112" i="1"/>
  <c r="I113" i="1"/>
  <c r="J113" i="1" s="1"/>
  <c r="I115" i="1"/>
  <c r="J115" i="1" s="1"/>
  <c r="I116" i="1"/>
  <c r="J116" i="1" s="1"/>
  <c r="I118" i="1"/>
  <c r="I119" i="1"/>
  <c r="J119" i="1" s="1"/>
  <c r="I120" i="1"/>
  <c r="I121" i="1"/>
  <c r="I123" i="1"/>
  <c r="I124" i="1"/>
  <c r="J124" i="1" s="1"/>
  <c r="I125" i="1"/>
  <c r="I126" i="1"/>
  <c r="I127" i="1"/>
  <c r="J127" i="1" s="1"/>
  <c r="I128" i="1"/>
  <c r="J128" i="1" s="1"/>
  <c r="I129" i="1"/>
  <c r="I130" i="1"/>
  <c r="I131" i="1"/>
  <c r="L131" i="1" s="1"/>
  <c r="I132" i="1"/>
  <c r="J132" i="1" s="1"/>
  <c r="I133" i="1"/>
  <c r="J133" i="1" s="1"/>
  <c r="I134" i="1"/>
  <c r="I135" i="1"/>
  <c r="I136" i="1"/>
  <c r="J136" i="1" s="1"/>
  <c r="I137" i="1"/>
  <c r="I138" i="1"/>
  <c r="I139" i="1"/>
  <c r="L139" i="1" s="1"/>
  <c r="I140" i="1"/>
  <c r="J140" i="1" s="1"/>
  <c r="I141" i="1"/>
  <c r="I142" i="1"/>
  <c r="I143" i="1"/>
  <c r="J143" i="1" s="1"/>
  <c r="I144" i="1"/>
  <c r="J144" i="1" s="1"/>
  <c r="I145" i="1"/>
  <c r="I146" i="1"/>
  <c r="I147" i="1"/>
  <c r="L147" i="1" s="1"/>
  <c r="I148" i="1"/>
  <c r="J148" i="1" s="1"/>
  <c r="I149" i="1"/>
  <c r="J149" i="1" s="1"/>
  <c r="I150" i="1"/>
  <c r="I151" i="1"/>
  <c r="I152" i="1"/>
  <c r="J152" i="1" s="1"/>
  <c r="I153" i="1"/>
  <c r="I154" i="1"/>
  <c r="I155" i="1"/>
  <c r="I156" i="1"/>
  <c r="J156" i="1" s="1"/>
  <c r="I157" i="1"/>
  <c r="I158" i="1"/>
  <c r="I159" i="1"/>
  <c r="L159" i="1" s="1"/>
  <c r="I160" i="1"/>
  <c r="J160" i="1" s="1"/>
  <c r="I161" i="1"/>
  <c r="I162" i="1"/>
  <c r="I163" i="1"/>
  <c r="I164" i="1"/>
  <c r="J164" i="1" s="1"/>
  <c r="I165" i="1"/>
  <c r="J165" i="1" s="1"/>
  <c r="I167" i="1"/>
  <c r="I168" i="1"/>
  <c r="L168" i="1" s="1"/>
  <c r="I169" i="1"/>
  <c r="J169" i="1" s="1"/>
  <c r="I170" i="1"/>
  <c r="I171" i="1"/>
  <c r="I173" i="1"/>
  <c r="L173" i="1" s="1"/>
  <c r="I174" i="1"/>
  <c r="I175" i="1"/>
  <c r="I176" i="1"/>
  <c r="I177" i="1"/>
  <c r="L177" i="1" s="1"/>
  <c r="I178" i="1"/>
  <c r="I179" i="1"/>
  <c r="I180" i="1"/>
  <c r="I181" i="1"/>
  <c r="I182" i="1"/>
  <c r="J182" i="1" s="1"/>
  <c r="I183" i="1"/>
  <c r="J183" i="1" s="1"/>
  <c r="I184" i="1"/>
  <c r="J184" i="1" s="1"/>
  <c r="I185" i="1"/>
  <c r="L185" i="1" s="1"/>
  <c r="I186" i="1"/>
  <c r="J186" i="1" s="1"/>
  <c r="I187" i="1"/>
  <c r="L187" i="1" s="1"/>
  <c r="I188" i="1"/>
  <c r="I190" i="1"/>
  <c r="I191" i="1"/>
  <c r="J191" i="1" s="1"/>
  <c r="I193" i="1"/>
  <c r="L193" i="1" s="1"/>
  <c r="I194" i="1"/>
  <c r="J194" i="1" s="1"/>
  <c r="I195" i="1"/>
  <c r="L195" i="1" s="1"/>
  <c r="I196" i="1"/>
  <c r="L196" i="1" s="1"/>
  <c r="I198" i="1"/>
  <c r="L198" i="1" s="1"/>
  <c r="I199" i="1"/>
  <c r="I200" i="1"/>
  <c r="L200" i="1" s="1"/>
  <c r="I201" i="1"/>
  <c r="L201" i="1" s="1"/>
  <c r="I202" i="1"/>
  <c r="L202" i="1" s="1"/>
  <c r="I203" i="1"/>
  <c r="I204" i="1"/>
  <c r="I205" i="1"/>
  <c r="L205" i="1" s="1"/>
  <c r="I206" i="1"/>
  <c r="L206" i="1" s="1"/>
  <c r="I207" i="1"/>
  <c r="L207" i="1" s="1"/>
  <c r="I208" i="1"/>
  <c r="I209" i="1"/>
  <c r="L209" i="1" s="1"/>
  <c r="I210" i="1"/>
  <c r="L210" i="1" s="1"/>
  <c r="I211" i="1"/>
  <c r="J211" i="1" s="1"/>
  <c r="I213" i="1"/>
  <c r="L213" i="1" s="1"/>
  <c r="I214" i="1"/>
  <c r="L214" i="1" s="1"/>
  <c r="I215" i="1"/>
  <c r="I216" i="1"/>
  <c r="L216" i="1" s="1"/>
  <c r="I218" i="1"/>
  <c r="L218" i="1" s="1"/>
  <c r="I219" i="1"/>
  <c r="J219" i="1" s="1"/>
  <c r="I220" i="1"/>
  <c r="J220" i="1" s="1"/>
  <c r="I221" i="1"/>
  <c r="I222" i="1"/>
  <c r="I223" i="1"/>
  <c r="J223" i="1" s="1"/>
  <c r="I224" i="1"/>
  <c r="I225" i="1"/>
  <c r="L225" i="1" s="1"/>
  <c r="I226" i="1"/>
  <c r="I227" i="1"/>
  <c r="J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L236" i="1" s="1"/>
  <c r="I237" i="1"/>
  <c r="L237" i="1" s="1"/>
  <c r="I239" i="1"/>
  <c r="L239" i="1" s="1"/>
  <c r="I240" i="1"/>
  <c r="L240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J263" i="1" s="1"/>
  <c r="I264" i="1"/>
  <c r="L264" i="1" s="1"/>
  <c r="I265" i="1"/>
  <c r="L265" i="1" s="1"/>
  <c r="I266" i="1"/>
  <c r="J266" i="1" s="1"/>
  <c r="I267" i="1"/>
  <c r="I268" i="1"/>
  <c r="I269" i="1"/>
  <c r="I270" i="1"/>
  <c r="I271" i="1"/>
  <c r="J271" i="1" s="1"/>
  <c r="I272" i="1"/>
  <c r="J272" i="1" s="1"/>
  <c r="I273" i="1"/>
  <c r="J273" i="1" s="1"/>
  <c r="I274" i="1"/>
  <c r="I275" i="1"/>
  <c r="I276" i="1"/>
  <c r="I277" i="1"/>
  <c r="L277" i="1" s="1"/>
  <c r="I278" i="1"/>
  <c r="L278" i="1" s="1"/>
  <c r="I279" i="1"/>
  <c r="I280" i="1"/>
  <c r="L280" i="1" s="1"/>
  <c r="I281" i="1"/>
  <c r="L281" i="1" s="1"/>
  <c r="I282" i="1"/>
  <c r="L282" i="1" s="1"/>
  <c r="I283" i="1"/>
  <c r="L283" i="1" s="1"/>
  <c r="I284" i="1"/>
  <c r="I285" i="1"/>
  <c r="I286" i="1"/>
  <c r="L286" i="1" s="1"/>
  <c r="I287" i="1"/>
  <c r="L287" i="1" s="1"/>
  <c r="I288" i="1"/>
  <c r="L288" i="1" s="1"/>
  <c r="I289" i="1"/>
  <c r="L289" i="1" s="1"/>
  <c r="I290" i="1"/>
  <c r="I291" i="1"/>
  <c r="I292" i="1"/>
  <c r="I293" i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I300" i="1"/>
  <c r="I301" i="1"/>
  <c r="L301" i="1" s="1"/>
  <c r="I302" i="1"/>
  <c r="L302" i="1" s="1"/>
  <c r="I304" i="1"/>
  <c r="L304" i="1" s="1"/>
  <c r="I305" i="1"/>
  <c r="J305" i="1" s="1"/>
  <c r="I306" i="1"/>
  <c r="L306" i="1" s="1"/>
  <c r="I307" i="1"/>
  <c r="L307" i="1" s="1"/>
  <c r="I308" i="1"/>
  <c r="I309" i="1"/>
  <c r="L309" i="1" s="1"/>
  <c r="I310" i="1"/>
  <c r="I311" i="1"/>
  <c r="L311" i="1" s="1"/>
  <c r="I312" i="1"/>
  <c r="I313" i="1"/>
  <c r="I314" i="1"/>
  <c r="L314" i="1" s="1"/>
  <c r="I315" i="1"/>
  <c r="J315" i="1" s="1"/>
  <c r="I316" i="1"/>
  <c r="L316" i="1" s="1"/>
  <c r="I317" i="1"/>
  <c r="I318" i="1"/>
  <c r="I319" i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2" i="1"/>
  <c r="L2" i="1" s="1"/>
  <c r="L37" i="1" l="1"/>
  <c r="S37" i="1" s="1"/>
  <c r="L108" i="1"/>
  <c r="S108" i="1" s="1"/>
  <c r="L105" i="1"/>
  <c r="S105" i="1" s="1"/>
  <c r="L182" i="1"/>
  <c r="S182" i="1" s="1"/>
  <c r="L73" i="1"/>
  <c r="S73" i="1" s="1"/>
  <c r="L54" i="1"/>
  <c r="S54" i="1" s="1"/>
  <c r="L143" i="1"/>
  <c r="S143" i="1" s="1"/>
  <c r="L315" i="1"/>
  <c r="S315" i="1" s="1"/>
  <c r="L124" i="1"/>
  <c r="S124" i="1" s="1"/>
  <c r="L165" i="1"/>
  <c r="S165" i="1" s="1"/>
  <c r="L5" i="1"/>
  <c r="S5" i="1" s="1"/>
  <c r="L75" i="1"/>
  <c r="S75" i="1" s="1"/>
  <c r="L71" i="1"/>
  <c r="S71" i="1" s="1"/>
  <c r="L140" i="1"/>
  <c r="S140" i="1" s="1"/>
  <c r="L219" i="1"/>
  <c r="S219" i="1" s="1"/>
  <c r="L21" i="1"/>
  <c r="S21" i="1" s="1"/>
  <c r="L92" i="1"/>
  <c r="S92" i="1" s="1"/>
  <c r="L89" i="1"/>
  <c r="S89" i="1" s="1"/>
  <c r="L156" i="1"/>
  <c r="S156" i="1" s="1"/>
  <c r="L15" i="1"/>
  <c r="S15" i="1" s="1"/>
  <c r="L305" i="1"/>
  <c r="S305" i="1" s="1"/>
  <c r="J285" i="1"/>
  <c r="L285" i="1"/>
  <c r="J188" i="1"/>
  <c r="L188" i="1"/>
  <c r="J180" i="1"/>
  <c r="L180" i="1"/>
  <c r="J162" i="1"/>
  <c r="L162" i="1"/>
  <c r="J138" i="1"/>
  <c r="L138" i="1"/>
  <c r="J134" i="1"/>
  <c r="L134" i="1"/>
  <c r="J130" i="1"/>
  <c r="L130" i="1"/>
  <c r="J103" i="1"/>
  <c r="L103" i="1"/>
  <c r="J99" i="1"/>
  <c r="L99" i="1"/>
  <c r="J74" i="1"/>
  <c r="L74" i="1"/>
  <c r="J44" i="1"/>
  <c r="L44" i="1"/>
  <c r="J16" i="1"/>
  <c r="L16" i="1"/>
  <c r="J4" i="1"/>
  <c r="L4" i="1"/>
  <c r="L116" i="1"/>
  <c r="S116" i="1" s="1"/>
  <c r="L53" i="1"/>
  <c r="S53" i="1" s="1"/>
  <c r="J313" i="1"/>
  <c r="L313" i="1"/>
  <c r="J224" i="1"/>
  <c r="L224" i="1"/>
  <c r="J175" i="1"/>
  <c r="L175" i="1"/>
  <c r="J161" i="1"/>
  <c r="L161" i="1"/>
  <c r="J153" i="1"/>
  <c r="L153" i="1"/>
  <c r="J120" i="1"/>
  <c r="L120" i="1"/>
  <c r="J106" i="1"/>
  <c r="L106" i="1"/>
  <c r="J102" i="1"/>
  <c r="L102" i="1"/>
  <c r="J85" i="1"/>
  <c r="L85" i="1"/>
  <c r="J62" i="1"/>
  <c r="L62" i="1"/>
  <c r="J43" i="1"/>
  <c r="L43" i="1"/>
  <c r="J27" i="1"/>
  <c r="L27" i="1"/>
  <c r="J23" i="1"/>
  <c r="L23" i="1"/>
  <c r="L115" i="1"/>
  <c r="S115" i="1" s="1"/>
  <c r="L183" i="1"/>
  <c r="S183" i="1" s="1"/>
  <c r="L111" i="1"/>
  <c r="S111" i="1" s="1"/>
  <c r="L273" i="1"/>
  <c r="S273" i="1" s="1"/>
  <c r="J312" i="1"/>
  <c r="L312" i="1"/>
  <c r="J308" i="1"/>
  <c r="L308" i="1"/>
  <c r="J299" i="1"/>
  <c r="L299" i="1"/>
  <c r="J291" i="1"/>
  <c r="L291" i="1"/>
  <c r="J279" i="1"/>
  <c r="L279" i="1"/>
  <c r="J275" i="1"/>
  <c r="L275" i="1"/>
  <c r="J267" i="1"/>
  <c r="L267" i="1"/>
  <c r="L31" i="1"/>
  <c r="S31" i="1" s="1"/>
  <c r="L133" i="1"/>
  <c r="S133" i="1" s="1"/>
  <c r="L272" i="1"/>
  <c r="S272" i="1" s="1"/>
  <c r="L12" i="1"/>
  <c r="S12" i="1" s="1"/>
  <c r="L194" i="1"/>
  <c r="S194" i="1" s="1"/>
  <c r="L184" i="1"/>
  <c r="S184" i="1" s="1"/>
  <c r="J319" i="1"/>
  <c r="L319" i="1"/>
  <c r="J290" i="1"/>
  <c r="L290" i="1"/>
  <c r="J274" i="1"/>
  <c r="L274" i="1"/>
  <c r="J270" i="1"/>
  <c r="L270" i="1"/>
  <c r="J226" i="1"/>
  <c r="L226" i="1"/>
  <c r="J222" i="1"/>
  <c r="L222" i="1"/>
  <c r="J208" i="1"/>
  <c r="L208" i="1"/>
  <c r="J204" i="1"/>
  <c r="L204" i="1"/>
  <c r="J190" i="1"/>
  <c r="L190" i="1"/>
  <c r="J181" i="1"/>
  <c r="L181" i="1"/>
  <c r="J163" i="1"/>
  <c r="L163" i="1"/>
  <c r="J155" i="1"/>
  <c r="L155" i="1"/>
  <c r="J151" i="1"/>
  <c r="L151" i="1"/>
  <c r="J135" i="1"/>
  <c r="L135" i="1"/>
  <c r="J123" i="1"/>
  <c r="L123" i="1"/>
  <c r="J118" i="1"/>
  <c r="L118" i="1"/>
  <c r="J112" i="1"/>
  <c r="L112" i="1"/>
  <c r="J104" i="1"/>
  <c r="L104" i="1"/>
  <c r="J100" i="1"/>
  <c r="L100" i="1"/>
  <c r="J96" i="1"/>
  <c r="L96" i="1"/>
  <c r="J88" i="1"/>
  <c r="L88" i="1"/>
  <c r="J83" i="1"/>
  <c r="L83" i="1"/>
  <c r="J79" i="1"/>
  <c r="L79" i="1"/>
  <c r="J70" i="1"/>
  <c r="L70" i="1"/>
  <c r="J64" i="1"/>
  <c r="L64" i="1"/>
  <c r="J59" i="1"/>
  <c r="L59" i="1"/>
  <c r="L127" i="1"/>
  <c r="S127" i="1" s="1"/>
  <c r="L266" i="1"/>
  <c r="S266" i="1" s="1"/>
  <c r="L107" i="1"/>
  <c r="S107" i="1" s="1"/>
  <c r="L271" i="1"/>
  <c r="S271" i="1" s="1"/>
  <c r="L57" i="1"/>
  <c r="S57" i="1" s="1"/>
  <c r="L47" i="1"/>
  <c r="S47" i="1" s="1"/>
  <c r="L149" i="1"/>
  <c r="S149" i="1" s="1"/>
  <c r="L220" i="1"/>
  <c r="S220" i="1" s="1"/>
  <c r="L32" i="1"/>
  <c r="S32" i="1" s="1"/>
  <c r="L211" i="1"/>
  <c r="S211" i="1" s="1"/>
  <c r="J293" i="1"/>
  <c r="L293" i="1"/>
  <c r="J199" i="1"/>
  <c r="L199" i="1"/>
  <c r="J176" i="1"/>
  <c r="L176" i="1"/>
  <c r="J167" i="1"/>
  <c r="L167" i="1"/>
  <c r="J150" i="1"/>
  <c r="L150" i="1"/>
  <c r="J142" i="1"/>
  <c r="L142" i="1"/>
  <c r="J126" i="1"/>
  <c r="L126" i="1"/>
  <c r="J121" i="1"/>
  <c r="L121" i="1"/>
  <c r="J91" i="1"/>
  <c r="L91" i="1"/>
  <c r="J86" i="1"/>
  <c r="L86" i="1"/>
  <c r="J82" i="1"/>
  <c r="L82" i="1"/>
  <c r="J63" i="1"/>
  <c r="L63" i="1"/>
  <c r="J36" i="1"/>
  <c r="L36" i="1"/>
  <c r="J24" i="1"/>
  <c r="L24" i="1"/>
  <c r="J20" i="1"/>
  <c r="L20" i="1"/>
  <c r="J300" i="1"/>
  <c r="L300" i="1"/>
  <c r="J292" i="1"/>
  <c r="L292" i="1"/>
  <c r="J276" i="1"/>
  <c r="L276" i="1"/>
  <c r="J268" i="1"/>
  <c r="L268" i="1"/>
  <c r="J215" i="1"/>
  <c r="L215" i="1"/>
  <c r="J179" i="1"/>
  <c r="L179" i="1"/>
  <c r="J137" i="1"/>
  <c r="L137" i="1"/>
  <c r="J125" i="1"/>
  <c r="L125" i="1"/>
  <c r="J110" i="1"/>
  <c r="L110" i="1"/>
  <c r="J94" i="1"/>
  <c r="L94" i="1"/>
  <c r="J68" i="1"/>
  <c r="L68" i="1"/>
  <c r="J51" i="1"/>
  <c r="L51" i="1"/>
  <c r="J39" i="1"/>
  <c r="L39" i="1"/>
  <c r="J318" i="1"/>
  <c r="L318" i="1"/>
  <c r="J310" i="1"/>
  <c r="L310" i="1"/>
  <c r="J269" i="1"/>
  <c r="L269" i="1"/>
  <c r="J221" i="1"/>
  <c r="L221" i="1"/>
  <c r="J203" i="1"/>
  <c r="L203" i="1"/>
  <c r="J171" i="1"/>
  <c r="L171" i="1"/>
  <c r="J158" i="1"/>
  <c r="L158" i="1"/>
  <c r="J154" i="1"/>
  <c r="L154" i="1"/>
  <c r="J146" i="1"/>
  <c r="L146" i="1"/>
  <c r="J95" i="1"/>
  <c r="L95" i="1"/>
  <c r="J78" i="1"/>
  <c r="L78" i="1"/>
  <c r="J69" i="1"/>
  <c r="L69" i="1"/>
  <c r="J48" i="1"/>
  <c r="L48" i="1"/>
  <c r="J40" i="1"/>
  <c r="L40" i="1"/>
  <c r="J28" i="1"/>
  <c r="L28" i="1"/>
  <c r="J8" i="1"/>
  <c r="L8" i="1"/>
  <c r="J317" i="1"/>
  <c r="L317" i="1"/>
  <c r="J284" i="1"/>
  <c r="L284" i="1"/>
  <c r="J170" i="1"/>
  <c r="L170" i="1"/>
  <c r="J157" i="1"/>
  <c r="L157" i="1"/>
  <c r="J145" i="1"/>
  <c r="L145" i="1"/>
  <c r="J141" i="1"/>
  <c r="L141" i="1"/>
  <c r="J129" i="1"/>
  <c r="L129" i="1"/>
  <c r="J98" i="1"/>
  <c r="L98" i="1"/>
  <c r="J90" i="1"/>
  <c r="L90" i="1"/>
  <c r="J81" i="1"/>
  <c r="L81" i="1"/>
  <c r="J77" i="1"/>
  <c r="L77" i="1"/>
  <c r="J56" i="1"/>
  <c r="L56" i="1"/>
  <c r="J35" i="1"/>
  <c r="L35" i="1"/>
  <c r="L9" i="1"/>
  <c r="S9" i="1" s="1"/>
  <c r="L25" i="1"/>
  <c r="S25" i="1" s="1"/>
  <c r="L41" i="1"/>
  <c r="S41" i="1" s="1"/>
  <c r="L55" i="1"/>
  <c r="S55" i="1" s="1"/>
  <c r="L76" i="1"/>
  <c r="S76" i="1" s="1"/>
  <c r="L93" i="1"/>
  <c r="S93" i="1" s="1"/>
  <c r="L109" i="1"/>
  <c r="S109" i="1" s="1"/>
  <c r="L128" i="1"/>
  <c r="S128" i="1" s="1"/>
  <c r="L144" i="1"/>
  <c r="S144" i="1" s="1"/>
  <c r="L160" i="1"/>
  <c r="S160" i="1" s="1"/>
  <c r="L186" i="1"/>
  <c r="S186" i="1" s="1"/>
  <c r="L223" i="1"/>
  <c r="S223" i="1" s="1"/>
  <c r="L3" i="1"/>
  <c r="S3" i="1" s="1"/>
  <c r="L19" i="1"/>
  <c r="S19" i="1" s="1"/>
  <c r="J178" i="1"/>
  <c r="L178" i="1"/>
  <c r="J174" i="1"/>
  <c r="L174" i="1"/>
  <c r="J50" i="1"/>
  <c r="L50" i="1"/>
  <c r="J46" i="1"/>
  <c r="L46" i="1"/>
  <c r="J42" i="1"/>
  <c r="L42" i="1"/>
  <c r="J38" i="1"/>
  <c r="L38" i="1"/>
  <c r="J34" i="1"/>
  <c r="L34" i="1"/>
  <c r="J30" i="1"/>
  <c r="L30" i="1"/>
  <c r="J26" i="1"/>
  <c r="L26" i="1"/>
  <c r="J22" i="1"/>
  <c r="L22" i="1"/>
  <c r="J18" i="1"/>
  <c r="L18" i="1"/>
  <c r="J14" i="1"/>
  <c r="L14" i="1"/>
  <c r="J10" i="1"/>
  <c r="L10" i="1"/>
  <c r="J6" i="1"/>
  <c r="L6" i="1"/>
  <c r="L13" i="1"/>
  <c r="S13" i="1" s="1"/>
  <c r="L29" i="1"/>
  <c r="S29" i="1" s="1"/>
  <c r="L45" i="1"/>
  <c r="S45" i="1" s="1"/>
  <c r="L60" i="1"/>
  <c r="S60" i="1" s="1"/>
  <c r="L80" i="1"/>
  <c r="S80" i="1" s="1"/>
  <c r="L97" i="1"/>
  <c r="S97" i="1" s="1"/>
  <c r="L113" i="1"/>
  <c r="S113" i="1" s="1"/>
  <c r="L132" i="1"/>
  <c r="S132" i="1" s="1"/>
  <c r="L148" i="1"/>
  <c r="S148" i="1" s="1"/>
  <c r="L164" i="1"/>
  <c r="S164" i="1" s="1"/>
  <c r="L191" i="1"/>
  <c r="S191" i="1" s="1"/>
  <c r="L227" i="1"/>
  <c r="S227" i="1" s="1"/>
  <c r="L263" i="1"/>
  <c r="S263" i="1" s="1"/>
  <c r="L7" i="1"/>
  <c r="S7" i="1" s="1"/>
  <c r="L17" i="1"/>
  <c r="S17" i="1" s="1"/>
  <c r="L33" i="1"/>
  <c r="S33" i="1" s="1"/>
  <c r="L49" i="1"/>
  <c r="S49" i="1" s="1"/>
  <c r="L67" i="1"/>
  <c r="S67" i="1" s="1"/>
  <c r="L84" i="1"/>
  <c r="S84" i="1" s="1"/>
  <c r="L101" i="1"/>
  <c r="S101" i="1" s="1"/>
  <c r="L119" i="1"/>
  <c r="S119" i="1" s="1"/>
  <c r="L136" i="1"/>
  <c r="S136" i="1" s="1"/>
  <c r="L152" i="1"/>
  <c r="S152" i="1" s="1"/>
  <c r="L169" i="1"/>
  <c r="S169" i="1" s="1"/>
  <c r="L11" i="1"/>
  <c r="S11" i="1" s="1"/>
  <c r="J2" i="1"/>
  <c r="S2" i="1" s="1"/>
  <c r="J323" i="1"/>
  <c r="S323" i="1" s="1"/>
  <c r="J311" i="1"/>
  <c r="S311" i="1" s="1"/>
  <c r="J286" i="1"/>
  <c r="S286" i="1" s="1"/>
  <c r="J282" i="1"/>
  <c r="S282" i="1" s="1"/>
  <c r="J262" i="1"/>
  <c r="S262" i="1" s="1"/>
  <c r="J249" i="1"/>
  <c r="S249" i="1" s="1"/>
  <c r="J239" i="1"/>
  <c r="S239" i="1" s="1"/>
  <c r="J185" i="1"/>
  <c r="S185" i="1" s="1"/>
  <c r="J173" i="1"/>
  <c r="S173" i="1" s="1"/>
  <c r="J147" i="1"/>
  <c r="S147" i="1" s="1"/>
  <c r="J139" i="1"/>
  <c r="S139" i="1" s="1"/>
  <c r="J131" i="1"/>
  <c r="S131" i="1" s="1"/>
  <c r="J326" i="1"/>
  <c r="S326" i="1" s="1"/>
  <c r="J322" i="1"/>
  <c r="S322" i="1" s="1"/>
  <c r="J314" i="1"/>
  <c r="S314" i="1" s="1"/>
  <c r="J306" i="1"/>
  <c r="S306" i="1" s="1"/>
  <c r="J301" i="1"/>
  <c r="S301" i="1" s="1"/>
  <c r="J297" i="1"/>
  <c r="S297" i="1" s="1"/>
  <c r="J289" i="1"/>
  <c r="S289" i="1" s="1"/>
  <c r="J281" i="1"/>
  <c r="S281" i="1" s="1"/>
  <c r="J277" i="1"/>
  <c r="S277" i="1" s="1"/>
  <c r="J265" i="1"/>
  <c r="S265" i="1" s="1"/>
  <c r="J261" i="1"/>
  <c r="S261" i="1" s="1"/>
  <c r="J257" i="1"/>
  <c r="S257" i="1" s="1"/>
  <c r="J253" i="1"/>
  <c r="S253" i="1" s="1"/>
  <c r="J248" i="1"/>
  <c r="S248" i="1" s="1"/>
  <c r="J244" i="1"/>
  <c r="S244" i="1" s="1"/>
  <c r="J237" i="1"/>
  <c r="S237" i="1" s="1"/>
  <c r="J233" i="1"/>
  <c r="S233" i="1" s="1"/>
  <c r="J229" i="1"/>
  <c r="S229" i="1" s="1"/>
  <c r="J225" i="1"/>
  <c r="S225" i="1" s="1"/>
  <c r="J216" i="1"/>
  <c r="S216" i="1" s="1"/>
  <c r="J207" i="1"/>
  <c r="S207" i="1" s="1"/>
  <c r="J307" i="1"/>
  <c r="S307" i="1" s="1"/>
  <c r="J302" i="1"/>
  <c r="S302" i="1" s="1"/>
  <c r="J294" i="1"/>
  <c r="S294" i="1" s="1"/>
  <c r="J254" i="1"/>
  <c r="S254" i="1" s="1"/>
  <c r="J234" i="1"/>
  <c r="S234" i="1" s="1"/>
  <c r="J230" i="1"/>
  <c r="S230" i="1" s="1"/>
  <c r="J213" i="1"/>
  <c r="S213" i="1" s="1"/>
  <c r="J195" i="1"/>
  <c r="S195" i="1" s="1"/>
  <c r="J168" i="1"/>
  <c r="S168" i="1" s="1"/>
  <c r="J159" i="1"/>
  <c r="S159" i="1" s="1"/>
  <c r="J325" i="1"/>
  <c r="S325" i="1" s="1"/>
  <c r="J321" i="1"/>
  <c r="S321" i="1" s="1"/>
  <c r="J309" i="1"/>
  <c r="S309" i="1" s="1"/>
  <c r="J296" i="1"/>
  <c r="S296" i="1" s="1"/>
  <c r="J288" i="1"/>
  <c r="S288" i="1" s="1"/>
  <c r="J280" i="1"/>
  <c r="S280" i="1" s="1"/>
  <c r="J264" i="1"/>
  <c r="S264" i="1" s="1"/>
  <c r="J260" i="1"/>
  <c r="S260" i="1" s="1"/>
  <c r="J256" i="1"/>
  <c r="S256" i="1" s="1"/>
  <c r="J251" i="1"/>
  <c r="S251" i="1" s="1"/>
  <c r="J247" i="1"/>
  <c r="S247" i="1" s="1"/>
  <c r="J243" i="1"/>
  <c r="S243" i="1" s="1"/>
  <c r="J236" i="1"/>
  <c r="S236" i="1" s="1"/>
  <c r="J232" i="1"/>
  <c r="S232" i="1" s="1"/>
  <c r="J228" i="1"/>
  <c r="S228" i="1" s="1"/>
  <c r="J210" i="1"/>
  <c r="S210" i="1" s="1"/>
  <c r="J206" i="1"/>
  <c r="S206" i="1" s="1"/>
  <c r="J202" i="1"/>
  <c r="S202" i="1" s="1"/>
  <c r="J198" i="1"/>
  <c r="S198" i="1" s="1"/>
  <c r="J193" i="1"/>
  <c r="S193" i="1" s="1"/>
  <c r="J187" i="1"/>
  <c r="S187" i="1" s="1"/>
  <c r="J298" i="1"/>
  <c r="S298" i="1" s="1"/>
  <c r="J278" i="1"/>
  <c r="S278" i="1" s="1"/>
  <c r="J258" i="1"/>
  <c r="S258" i="1" s="1"/>
  <c r="J245" i="1"/>
  <c r="S245" i="1" s="1"/>
  <c r="J218" i="1"/>
  <c r="S218" i="1" s="1"/>
  <c r="J200" i="1"/>
  <c r="S200" i="1" s="1"/>
  <c r="J177" i="1"/>
  <c r="S177" i="1" s="1"/>
  <c r="J324" i="1"/>
  <c r="S324" i="1" s="1"/>
  <c r="J320" i="1"/>
  <c r="S320" i="1" s="1"/>
  <c r="J316" i="1"/>
  <c r="S316" i="1" s="1"/>
  <c r="J304" i="1"/>
  <c r="S304" i="1" s="1"/>
  <c r="J295" i="1"/>
  <c r="S295" i="1" s="1"/>
  <c r="J287" i="1"/>
  <c r="S287" i="1" s="1"/>
  <c r="J283" i="1"/>
  <c r="S283" i="1" s="1"/>
  <c r="J259" i="1"/>
  <c r="S259" i="1" s="1"/>
  <c r="J255" i="1"/>
  <c r="S255" i="1" s="1"/>
  <c r="J250" i="1"/>
  <c r="S250" i="1" s="1"/>
  <c r="J246" i="1"/>
  <c r="S246" i="1" s="1"/>
  <c r="J240" i="1"/>
  <c r="S240" i="1" s="1"/>
  <c r="J235" i="1"/>
  <c r="S235" i="1" s="1"/>
  <c r="J231" i="1"/>
  <c r="S231" i="1" s="1"/>
  <c r="J214" i="1"/>
  <c r="S214" i="1" s="1"/>
  <c r="J209" i="1"/>
  <c r="S209" i="1" s="1"/>
  <c r="J205" i="1"/>
  <c r="S205" i="1" s="1"/>
  <c r="J201" i="1"/>
  <c r="S201" i="1" s="1"/>
  <c r="J196" i="1"/>
  <c r="S196" i="1" s="1"/>
  <c r="W133" i="4"/>
  <c r="S6" i="1" l="1"/>
  <c r="S14" i="1"/>
  <c r="S22" i="1"/>
  <c r="S30" i="1"/>
  <c r="S38" i="1"/>
  <c r="S46" i="1"/>
  <c r="S174" i="1"/>
  <c r="S56" i="1"/>
  <c r="S81" i="1"/>
  <c r="S98" i="1"/>
  <c r="S141" i="1"/>
  <c r="S157" i="1"/>
  <c r="S284" i="1"/>
  <c r="S8" i="1"/>
  <c r="S40" i="1"/>
  <c r="S69" i="1"/>
  <c r="S95" i="1"/>
  <c r="S154" i="1"/>
  <c r="S171" i="1"/>
  <c r="S221" i="1"/>
  <c r="S310" i="1"/>
  <c r="S39" i="1"/>
  <c r="S68" i="1"/>
  <c r="S110" i="1"/>
  <c r="S137" i="1"/>
  <c r="S215" i="1"/>
  <c r="S276" i="1"/>
  <c r="S300" i="1"/>
  <c r="S24" i="1"/>
  <c r="S63" i="1"/>
  <c r="S86" i="1"/>
  <c r="S121" i="1"/>
  <c r="S142" i="1"/>
  <c r="S167" i="1"/>
  <c r="S199" i="1"/>
  <c r="S64" i="1"/>
  <c r="S79" i="1"/>
  <c r="S88" i="1"/>
  <c r="S100" i="1"/>
  <c r="S112" i="1"/>
  <c r="S123" i="1"/>
  <c r="S151" i="1"/>
  <c r="S163" i="1"/>
  <c r="S190" i="1"/>
  <c r="S208" i="1"/>
  <c r="S226" i="1"/>
  <c r="S274" i="1"/>
  <c r="S319" i="1"/>
  <c r="S267" i="1"/>
  <c r="S279" i="1"/>
  <c r="S299" i="1"/>
  <c r="S312" i="1"/>
  <c r="S27" i="1"/>
  <c r="S62" i="1"/>
  <c r="S102" i="1"/>
  <c r="S120" i="1"/>
  <c r="S161" i="1"/>
  <c r="S224" i="1"/>
  <c r="S16" i="1"/>
  <c r="S74" i="1"/>
  <c r="S103" i="1"/>
  <c r="S134" i="1"/>
  <c r="S162" i="1"/>
  <c r="S188" i="1"/>
  <c r="S10" i="1"/>
  <c r="S18" i="1"/>
  <c r="S26" i="1"/>
  <c r="S34" i="1"/>
  <c r="S42" i="1"/>
  <c r="S50" i="1"/>
  <c r="S178" i="1"/>
  <c r="S35" i="1"/>
  <c r="S77" i="1"/>
  <c r="S90" i="1"/>
  <c r="S129" i="1"/>
  <c r="S145" i="1"/>
  <c r="S170" i="1"/>
  <c r="S317" i="1"/>
  <c r="S28" i="1"/>
  <c r="S48" i="1"/>
  <c r="S78" i="1"/>
  <c r="S146" i="1"/>
  <c r="S158" i="1"/>
  <c r="S203" i="1"/>
  <c r="S269" i="1"/>
  <c r="S318" i="1"/>
  <c r="S51" i="1"/>
  <c r="S94" i="1"/>
  <c r="S125" i="1"/>
  <c r="S179" i="1"/>
  <c r="S268" i="1"/>
  <c r="S292" i="1"/>
  <c r="S20" i="1"/>
  <c r="S36" i="1"/>
  <c r="S82" i="1"/>
  <c r="S91" i="1"/>
  <c r="S126" i="1"/>
  <c r="S150" i="1"/>
  <c r="S176" i="1"/>
  <c r="S293" i="1"/>
  <c r="S59" i="1"/>
  <c r="S70" i="1"/>
  <c r="S83" i="1"/>
  <c r="S96" i="1"/>
  <c r="S104" i="1"/>
  <c r="S118" i="1"/>
  <c r="S135" i="1"/>
  <c r="S155" i="1"/>
  <c r="S181" i="1"/>
  <c r="S204" i="1"/>
  <c r="S222" i="1"/>
  <c r="S270" i="1"/>
  <c r="S290" i="1"/>
  <c r="S275" i="1"/>
  <c r="S291" i="1"/>
  <c r="S308" i="1"/>
  <c r="S23" i="1"/>
  <c r="S43" i="1"/>
  <c r="S85" i="1"/>
  <c r="S106" i="1"/>
  <c r="S153" i="1"/>
  <c r="S175" i="1"/>
  <c r="S313" i="1"/>
  <c r="S4" i="1"/>
  <c r="S44" i="1"/>
  <c r="S99" i="1"/>
  <c r="S130" i="1"/>
  <c r="S138" i="1"/>
  <c r="S180" i="1"/>
  <c r="S285" i="1"/>
  <c r="W217" i="1"/>
  <c r="W72" i="1" l="1"/>
  <c r="W199" i="1"/>
  <c r="K112" i="4" l="1"/>
  <c r="W207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5" i="1" l="1"/>
  <c r="W98" i="1"/>
  <c r="W65" i="1" l="1"/>
  <c r="W325" i="1"/>
  <c r="W324" i="1"/>
  <c r="W323" i="1"/>
  <c r="W203" i="1"/>
  <c r="W322" i="1"/>
  <c r="W130" i="1"/>
  <c r="W145" i="1"/>
  <c r="W318" i="1"/>
  <c r="W316" i="1"/>
  <c r="W314" i="1"/>
  <c r="W163" i="1"/>
  <c r="W311" i="1"/>
  <c r="W309" i="1"/>
  <c r="W307" i="1"/>
  <c r="W306" i="1"/>
  <c r="W304" i="1"/>
  <c r="W302" i="1"/>
  <c r="W220" i="1"/>
  <c r="W301" i="1"/>
  <c r="W300" i="1"/>
  <c r="W7" i="1"/>
  <c r="W299" i="1"/>
  <c r="W298" i="1"/>
  <c r="W296" i="1"/>
  <c r="W295" i="1"/>
  <c r="W294" i="1"/>
  <c r="W289" i="1"/>
  <c r="W288" i="1"/>
  <c r="W287" i="1"/>
  <c r="W26" i="1"/>
  <c r="W286" i="1"/>
  <c r="W283" i="1"/>
  <c r="W80" i="1"/>
  <c r="W312" i="1"/>
  <c r="W273" i="1"/>
  <c r="W320" i="1"/>
  <c r="W256" i="1"/>
  <c r="W280" i="1"/>
  <c r="W135" i="1"/>
  <c r="W63" i="1"/>
  <c r="W61" i="1"/>
  <c r="W190" i="1"/>
  <c r="W184" i="1"/>
  <c r="W277" i="1"/>
  <c r="W265" i="1"/>
  <c r="W264" i="1"/>
  <c r="W262" i="1"/>
  <c r="W261" i="1"/>
  <c r="W260" i="1"/>
  <c r="W259" i="1"/>
  <c r="W258" i="1"/>
  <c r="W257" i="1"/>
  <c r="W5" i="1"/>
  <c r="W179" i="1"/>
  <c r="W255" i="1"/>
  <c r="W266" i="1"/>
  <c r="W254" i="1"/>
  <c r="W253" i="1"/>
  <c r="W252" i="1"/>
  <c r="W269" i="1"/>
  <c r="W96" i="1"/>
  <c r="W251" i="1"/>
  <c r="W250" i="1"/>
  <c r="W249" i="1"/>
  <c r="W222" i="1"/>
  <c r="W248" i="1"/>
  <c r="W226" i="1"/>
  <c r="W275" i="1"/>
  <c r="W247" i="1"/>
  <c r="W246" i="1"/>
  <c r="W227" i="1"/>
  <c r="W245" i="1"/>
  <c r="W244" i="1"/>
  <c r="W243" i="1"/>
  <c r="W240" i="1"/>
  <c r="W270" i="1"/>
  <c r="W239" i="1"/>
  <c r="W78" i="1"/>
  <c r="W268" i="1"/>
  <c r="W237" i="1"/>
  <c r="W236" i="1"/>
  <c r="W235" i="1"/>
  <c r="W234" i="1"/>
  <c r="W233" i="1"/>
  <c r="W232" i="1"/>
  <c r="W113" i="1"/>
  <c r="W215" i="1"/>
  <c r="W231" i="1"/>
  <c r="W230" i="1"/>
  <c r="W228" i="1"/>
  <c r="W225" i="1"/>
  <c r="W219" i="1"/>
  <c r="W218" i="1"/>
  <c r="W205" i="1"/>
  <c r="W214" i="1"/>
  <c r="W213" i="1"/>
  <c r="W210" i="1"/>
  <c r="W209" i="1"/>
  <c r="W208" i="1"/>
  <c r="W206" i="1"/>
  <c r="W282" i="1"/>
  <c r="W198" i="1"/>
  <c r="W201" i="1"/>
  <c r="W200" i="1"/>
  <c r="W196" i="1"/>
  <c r="W195" i="1"/>
  <c r="W194" i="1"/>
  <c r="W193" i="1"/>
  <c r="W189" i="1"/>
  <c r="W187" i="1"/>
  <c r="W186" i="1"/>
  <c r="W185" i="1"/>
  <c r="W278" i="1"/>
  <c r="W183" i="1"/>
  <c r="W291" i="1"/>
  <c r="W238" i="1"/>
  <c r="W211" i="1"/>
  <c r="W182" i="1"/>
  <c r="W321" i="1"/>
  <c r="W178" i="1"/>
  <c r="W173" i="1"/>
  <c r="W172" i="1"/>
  <c r="W170" i="1"/>
  <c r="W169" i="1"/>
  <c r="W168" i="1"/>
  <c r="W143" i="1"/>
  <c r="W167" i="1"/>
  <c r="W165" i="1"/>
  <c r="W162" i="1"/>
  <c r="W161" i="1"/>
  <c r="W160" i="1"/>
  <c r="W159" i="1"/>
  <c r="W157" i="1"/>
  <c r="W156" i="1"/>
  <c r="W155" i="1"/>
  <c r="W154" i="1"/>
  <c r="W202" i="1"/>
  <c r="W148" i="1"/>
  <c r="W158" i="1"/>
  <c r="W147" i="1"/>
  <c r="W146" i="1"/>
  <c r="W281" i="1"/>
  <c r="W142" i="1"/>
  <c r="W141" i="1"/>
  <c r="W140" i="1"/>
  <c r="W139" i="1"/>
  <c r="W138" i="1"/>
  <c r="W137" i="1"/>
  <c r="W134" i="1"/>
  <c r="W133" i="1"/>
  <c r="W66" i="1"/>
  <c r="W132" i="1"/>
  <c r="W131" i="1"/>
  <c r="W153" i="1"/>
  <c r="W129" i="1"/>
  <c r="W128" i="1"/>
  <c r="W126" i="1"/>
  <c r="W223" i="1"/>
  <c r="W123" i="1"/>
  <c r="W121" i="1"/>
  <c r="W120" i="1"/>
  <c r="W290" i="1"/>
  <c r="W119" i="1"/>
  <c r="W118" i="1"/>
  <c r="W117" i="1"/>
  <c r="W116" i="1"/>
  <c r="W115" i="1"/>
  <c r="W112" i="1"/>
  <c r="W192" i="1"/>
  <c r="W164" i="1"/>
  <c r="W174" i="1"/>
  <c r="W111" i="1"/>
  <c r="W191" i="1"/>
  <c r="W197" i="1"/>
  <c r="W55" i="1"/>
  <c r="W110" i="1"/>
  <c r="W109" i="1"/>
  <c r="W108" i="1"/>
  <c r="W107" i="1"/>
  <c r="W106" i="1"/>
  <c r="W105" i="1"/>
  <c r="W34" i="1"/>
  <c r="W104" i="1"/>
  <c r="W103" i="1"/>
  <c r="W102" i="1"/>
  <c r="W175" i="1"/>
  <c r="W101" i="1"/>
  <c r="W180" i="1"/>
  <c r="W100" i="1"/>
  <c r="W99" i="1"/>
  <c r="W95" i="1"/>
  <c r="W94" i="1"/>
  <c r="W93" i="1"/>
  <c r="W91" i="1"/>
  <c r="W90" i="1"/>
  <c r="W89" i="1"/>
  <c r="W88" i="1"/>
  <c r="W35" i="1"/>
  <c r="W87" i="1"/>
  <c r="W85" i="1"/>
  <c r="W84" i="1"/>
  <c r="W83" i="1"/>
  <c r="W82" i="1"/>
  <c r="W81" i="1"/>
  <c r="W229" i="1"/>
  <c r="W77" i="1"/>
  <c r="W76" i="1"/>
  <c r="W75" i="1"/>
  <c r="W272" i="1"/>
  <c r="W86" i="1"/>
  <c r="W74" i="1"/>
  <c r="W73" i="1"/>
  <c r="W276" i="1"/>
  <c r="W212" i="1"/>
  <c r="W70" i="1"/>
  <c r="W40" i="1"/>
  <c r="W69" i="1"/>
  <c r="W68" i="1"/>
  <c r="W67" i="1"/>
  <c r="W62" i="1"/>
  <c r="W41" i="1"/>
  <c r="W60" i="1"/>
  <c r="W58" i="1"/>
  <c r="W57" i="1"/>
  <c r="W54" i="1"/>
  <c r="W49" i="1"/>
  <c r="W48" i="1"/>
  <c r="W47" i="1"/>
  <c r="W46" i="1"/>
  <c r="W144" i="1"/>
  <c r="W44" i="1"/>
  <c r="W43" i="1"/>
  <c r="W122" i="1"/>
  <c r="W176" i="1"/>
  <c r="W42" i="1"/>
  <c r="W39" i="1"/>
  <c r="W38" i="1"/>
  <c r="W150" i="1"/>
  <c r="W97" i="1"/>
  <c r="W37" i="1"/>
  <c r="W166" i="1"/>
  <c r="W181" i="1"/>
  <c r="W36" i="1"/>
  <c r="W33" i="1"/>
  <c r="W64" i="1"/>
  <c r="W32" i="1"/>
  <c r="W31" i="1"/>
  <c r="W30" i="1"/>
  <c r="W267" i="1"/>
  <c r="W29" i="1"/>
  <c r="W224" i="1"/>
  <c r="W28" i="1"/>
  <c r="W79" i="1"/>
  <c r="W221" i="1"/>
  <c r="W59" i="1"/>
  <c r="W274" i="1"/>
  <c r="W27" i="1"/>
  <c r="W317" i="1"/>
  <c r="W92" i="1"/>
  <c r="W313" i="1"/>
  <c r="W25" i="1"/>
  <c r="W24" i="1"/>
  <c r="W23" i="1"/>
  <c r="W204" i="1"/>
  <c r="W22" i="1"/>
  <c r="W293" i="1"/>
  <c r="W21" i="1"/>
  <c r="W20" i="1"/>
  <c r="W19" i="1"/>
  <c r="W18" i="1"/>
  <c r="W17" i="1"/>
  <c r="W151" i="1"/>
  <c r="W56" i="1"/>
  <c r="W14" i="1"/>
  <c r="W13" i="1"/>
  <c r="W15" i="1"/>
  <c r="W12" i="1"/>
  <c r="W11" i="1"/>
  <c r="W10" i="1"/>
  <c r="W9" i="1"/>
  <c r="W8" i="1"/>
  <c r="W4" i="1"/>
  <c r="W3" i="1"/>
  <c r="W2" i="1"/>
  <c r="W50" i="1"/>
  <c r="W315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5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29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Usadas por las secretarias de la region</t>
        </r>
      </text>
    </comment>
    <comment ref="F25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<sst xmlns="http://schemas.openxmlformats.org/spreadsheetml/2006/main" count="5435" uniqueCount="2506">
  <si>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</si>
  <si>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</si>
  <si>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</si>
  <si>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</si>
  <si>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</si>
  <si>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</si>
  <si>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</si>
  <si>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</si>
  <si>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</si>
  <si>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</si>
  <si>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</si>
  <si>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</si>
  <si>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</si>
  <si>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</si>
  <si>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</si>
  <si>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</si>
  <si>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</si>
  <si>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</si>
  <si>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</si>
  <si>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</si>
  <si>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</si>
  <si>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</si>
  <si>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</si>
  <si>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</si>
  <si>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</si>
  <si>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</si>
  <si>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</si>
  <si>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</si>
  <si>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</si>
  <si>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</si>
  <si>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</si>
  <si>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</si>
  <si>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</si>
  <si>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</si>
  <si>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</si>
  <si>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</si>
  <si>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</si>
  <si>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</si>
  <si>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</si>
  <si>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</si>
  <si>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</si>
  <si>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</si>
  <si>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</si>
  <si>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</si>
  <si>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</si>
  <si>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10.10.4.201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</si>
  <si>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</si>
  <si>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</si>
  <si>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</si>
  <si>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</si>
  <si>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</si>
  <si>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</si>
  <si>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</si>
  <si>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</si>
  <si>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</si>
  <si>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</si>
  <si>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</si>
  <si>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</si>
  <si>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</si>
  <si>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</si>
  <si>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</si>
  <si>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</si>
  <si>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</si>
  <si>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</si>
  <si>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</si>
  <si>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</si>
  <si>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</si>
  <si>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</si>
  <si>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</si>
  <si>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</si>
  <si>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</si>
  <si>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</si>
  <si>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</si>
  <si>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</si>
  <si>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</si>
  <si>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</si>
  <si>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</si>
  <si>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</si>
  <si>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</si>
  <si>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</si>
  <si>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</si>
  <si>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</si>
  <si>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</si>
  <si>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</si>
  <si>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</si>
  <si>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</si>
  <si>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</si>
  <si>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</si>
  <si>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</si>
  <si>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</si>
  <si>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</si>
  <si>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</si>
  <si>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</si>
  <si>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</si>
  <si>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</si>
  <si>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</si>
  <si>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</si>
  <si>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</si>
  <si>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</si>
  <si>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</si>
  <si>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</si>
  <si>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</si>
  <si>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</si>
  <si>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</si>
  <si>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</si>
  <si>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</si>
  <si>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</si>
  <si>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</si>
  <si>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</si>
  <si>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</si>
  <si>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</si>
  <si>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</si>
  <si>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</si>
  <si>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</si>
  <si>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</si>
  <si>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</si>
  <si>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</si>
  <si>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</si>
  <si>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</si>
  <si>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</si>
  <si>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</si>
  <si>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</si>
  <si>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</si>
  <si>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</si>
  <si>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</si>
  <si>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</si>
  <si>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</si>
  <si>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</si>
  <si>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</si>
  <si>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</si>
  <si>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</si>
  <si>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</si>
  <si>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</si>
  <si>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</si>
  <si>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</si>
  <si>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</si>
  <si>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</si>
  <si>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</si>
  <si>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</si>
  <si>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</si>
  <si>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</si>
  <si>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</si>
  <si>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</si>
  <si>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</si>
  <si>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</si>
  <si>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</si>
  <si>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</si>
  <si>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</si>
  <si>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</si>
  <si>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</si>
  <si>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</si>
  <si>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</si>
  <si>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</si>
  <si>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</si>
  <si>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</si>
  <si>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</si>
  <si>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</si>
  <si>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</si>
  <si>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</si>
  <si>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</si>
  <si>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</si>
  <si>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</si>
  <si>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</si>
  <si>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</si>
  <si>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</si>
  <si>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</si>
  <si>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</si>
  <si>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</si>
  <si>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</si>
  <si>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</si>
  <si>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</si>
  <si>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</si>
  <si>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</si>
  <si>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</si>
  <si>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</si>
  <si>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</si>
  <si>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</si>
  <si>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</si>
  <si>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</si>
  <si>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</si>
  <si>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</si>
  <si>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</si>
  <si>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</si>
  <si>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</si>
  <si>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</si>
  <si>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</si>
  <si>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</si>
  <si>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</si>
  <si>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</si>
  <si>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</si>
  <si>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</si>
  <si>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</si>
  <si>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</si>
  <si>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</si>
  <si>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</si>
  <si>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</si>
  <si>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</si>
  <si>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</si>
  <si>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</si>
  <si>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</si>
  <si>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</si>
  <si>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</si>
  <si>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</si>
  <si>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</si>
  <si>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</si>
  <si>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</si>
  <si>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</si>
  <si>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</si>
  <si>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</si>
  <si>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</si>
  <si>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</si>
  <si>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10.10.4.200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</si>
  <si>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</si>
  <si>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</si>
  <si>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</si>
  <si>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</si>
  <si>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</si>
  <si>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</si>
  <si>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</si>
  <si>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</si>
  <si>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</si>
  <si>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</si>
  <si>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</si>
  <si>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</si>
  <si>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</si>
  <si>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</si>
  <si>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</si>
  <si>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</si>
  <si>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</si>
  <si>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</si>
  <si>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</si>
  <si>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</si>
  <si>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</si>
  <si>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</si>
  <si>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</si>
  <si>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</si>
  <si>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</si>
  <si>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</si>
  <si>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</si>
  <si>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</si>
  <si>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</si>
  <si>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</si>
  <si>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</si>
  <si>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</si>
  <si>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</si>
  <si>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</si>
  <si>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</si>
  <si>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</si>
  <si>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</si>
  <si>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</si>
  <si>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</si>
  <si>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</si>
  <si>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</si>
  <si>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</si>
  <si>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</si>
  <si>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</si>
  <si>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</si>
  <si>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</si>
  <si>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</si>
  <si>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</si>
  <si>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</si>
  <si>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</si>
  <si>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</si>
  <si>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</si>
  <si>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</si>
  <si>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</si>
  <si>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</si>
  <si>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</si>
  <si>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</si>
  <si>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</si>
  <si>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</si>
  <si>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</si>
  <si>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</si>
  <si>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</si>
  <si>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</si>
  <si>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</si>
  <si>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</si>
  <si>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</si>
  <si>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</si>
  <si>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</si>
  <si>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</si>
  <si>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</si>
  <si>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</si>
  <si>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</si>
  <si>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</si>
  <si>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</si>
  <si>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</si>
  <si>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</si>
  <si>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</si>
  <si>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</si>
  <si>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</si>
  <si>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</si>
  <si>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</si>
  <si>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</si>
  <si>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</si>
  <si>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</si>
  <si>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</si>
  <si>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</si>
  <si>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</si>
  <si>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</si>
  <si>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</si>
  <si>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</si>
  <si>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</si>
  <si>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</si>
  <si>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</si>
  <si>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</si>
  <si>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</si>
  <si>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</si>
  <si>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</si>
  <si>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</si>
  <si>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</si>
  <si>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</si>
  <si>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</si>
  <si>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</si>
  <si>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</si>
  <si>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</si>
  <si>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</si>
  <si>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</si>
  <si>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</si>
  <si>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</si>
  <si>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</si>
  <si>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</si>
  <si>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</si>
  <si>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</si>
  <si>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</si>
  <si>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</si>
  <si>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</si>
  <si>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</si>
  <si>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</si>
  <si>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</si>
  <si>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</si>
  <si>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</si>
  <si>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</si>
  <si>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</si>
  <si>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</si>
  <si>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</si>
  <si>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</si>
  <si>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</si>
  <si>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</si>
  <si>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</si>
  <si>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</si>
  <si>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</si>
  <si>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</si>
  <si>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</si>
  <si>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</si>
  <si>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</si>
  <si>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</si>
  <si>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</si>
  <si>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</si>
  <si>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</si>
  <si>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</si>
  <si>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</si>
  <si>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</si>
  <si>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</si>
  <si>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</si>
  <si>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</si>
  <si>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</si>
  <si>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</si>
  <si>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</si>
  <si>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</si>
  <si>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</si>
  <si>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</si>
  <si>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</si>
  <si>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</si>
  <si>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</si>
  <si>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</si>
  <si>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</si>
  <si>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</si>
  <si>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</si>
  <si>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</si>
  <si>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</si>
  <si>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</si>
  <si>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</si>
  <si>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</si>
  <si>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10.14.3.202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</si>
  <si>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</si>
  <si>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</si>
  <si>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</si>
  <si>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</si>
  <si>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</si>
  <si>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</si>
  <si>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</si>
  <si>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</si>
  <si>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</si>
  <si>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</si>
  <si>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</si>
  <si>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</si>
  <si>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</si>
  <si>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</si>
  <si>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</si>
  <si>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</si>
  <si>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</si>
  <si>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</si>
  <si>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</si>
  <si>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</si>
  <si>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</si>
  <si>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</si>
  <si>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</si>
  <si>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</si>
  <si>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</si>
  <si>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</si>
  <si>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</si>
  <si>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</si>
  <si>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</si>
  <si>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</si>
  <si>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</si>
  <si>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</si>
  <si>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</si>
  <si>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</si>
  <si>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</si>
  <si>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</si>
  <si>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</si>
  <si>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</si>
  <si>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</si>
  <si>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</si>
  <si>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</si>
  <si>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</si>
  <si>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</si>
  <si>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</si>
  <si>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</si>
  <si>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</si>
  <si>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</si>
  <si>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</si>
  <si>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</si>
  <si>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</si>
  <si>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</si>
  <si>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</si>
  <si>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</si>
  <si>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</si>
  <si>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</si>
  <si>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</si>
  <si>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</si>
  <si>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</si>
  <si>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</si>
  <si>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</si>
  <si>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</si>
  <si>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</si>
  <si>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</si>
  <si>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</si>
  <si>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</si>
  <si>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</si>
  <si>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</si>
  <si>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</si>
  <si>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</si>
  <si>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</si>
  <si>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</si>
  <si>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</si>
  <si>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</si>
  <si>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</si>
  <si>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</si>
  <si>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</si>
  <si>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</si>
  <si>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</si>
  <si>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</si>
  <si>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</si>
  <si>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</si>
  <si>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</si>
  <si>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</si>
  <si>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</si>
  <si>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</si>
  <si>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</si>
  <si>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</si>
  <si>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</si>
  <si>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</si>
  <si>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</si>
  <si>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</si>
  <si>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</si>
  <si>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</si>
  <si>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</si>
  <si>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</si>
  <si>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</si>
  <si>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</si>
  <si>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</si>
  <si>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</si>
  <si>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</si>
  <si>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</si>
  <si>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</si>
  <si>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</si>
  <si>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</si>
  <si>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</si>
  <si>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</si>
  <si>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</si>
  <si>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</si>
  <si>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</si>
  <si>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</si>
  <si>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</si>
  <si>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</si>
  <si>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</si>
  <si>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</si>
  <si>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</si>
  <si>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</si>
  <si>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</si>
  <si>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</si>
  <si>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</si>
  <si>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</si>
  <si>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</si>
  <si>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</si>
  <si>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</si>
  <si>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</si>
  <si>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</si>
  <si>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</si>
  <si>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</si>
  <si>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</si>
  <si>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</si>
  <si>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</si>
  <si>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</si>
  <si>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</si>
  <si>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</si>
  <si>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</si>
  <si>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</si>
  <si>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</si>
  <si>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</si>
  <si>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</si>
  <si>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</si>
  <si>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</si>
  <si>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</si>
  <si>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</si>
  <si>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</si>
  <si>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</si>
  <si>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</si>
  <si>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</si>
  <si>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</si>
  <si>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</si>
  <si>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</si>
  <si>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</si>
  <si>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</si>
  <si>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</si>
  <si>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</si>
  <si>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</si>
  <si>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</si>
  <si>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</si>
  <si>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</si>
  <si>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</si>
  <si>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</si>
  <si>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</si>
  <si>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</si>
  <si>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</si>
  <si>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</si>
  <si>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</si>
  <si>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</si>
  <si>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</si>
  <si>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</si>
  <si>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</si>
  <si>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</si>
  <si>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</si>
  <si>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</si>
  <si>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</si>
  <si>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</si>
  <si>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</si>
  <si>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</si>
  <si>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</si>
  <si>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</si>
  <si>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</si>
  <si>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</si>
  <si>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</si>
  <si>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</si>
  <si>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</si>
  <si>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</si>
  <si>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</si>
  <si>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</si>
  <si>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</si>
  <si>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</si>
  <si>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</si>
  <si>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</si>
  <si>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</si>
  <si>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</si>
  <si>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</si>
  <si>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</si>
  <si>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</si>
  <si>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</si>
  <si>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</si>
  <si>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</si>
  <si>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</si>
  <si>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</si>
  <si>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</si>
  <si>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</si>
  <si>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</si>
  <si>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</si>
  <si>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</si>
  <si>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</si>
  <si>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</si>
  <si>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</si>
  <si>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</si>
  <si>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</si>
  <si>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</si>
  <si>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</si>
  <si>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</si>
  <si>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</si>
  <si>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</si>
  <si>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</si>
  <si>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</si>
  <si>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</si>
  <si>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</si>
  <si>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</si>
  <si>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</si>
  <si>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</si>
  <si>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</si>
  <si>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</si>
  <si>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</si>
  <si>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</si>
  <si>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</si>
  <si>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</si>
  <si>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</si>
  <si>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</si>
  <si>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</si>
  <si>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</si>
  <si>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</si>
  <si>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</si>
  <si>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</si>
  <si>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</si>
  <si>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</si>
  <si>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</si>
  <si>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</si>
  <si>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</si>
  <si>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9408MFAP01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</si>
  <si>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</si>
  <si>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</si>
  <si>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</si>
  <si>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</si>
  <si>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</si>
  <si>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</si>
  <si>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</si>
  <si>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</si>
  <si>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</si>
  <si>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</si>
  <si>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</si>
  <si>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</si>
  <si>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</si>
  <si>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</si>
  <si>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</si>
  <si>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</si>
  <si>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</si>
  <si>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</si>
  <si>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</si>
  <si>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</si>
  <si>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</si>
  <si>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</si>
  <si>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</si>
  <si>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</si>
  <si>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</si>
  <si>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</si>
  <si>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</si>
  <si>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</si>
  <si>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</si>
  <si>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</si>
  <si>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</si>
  <si>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</si>
  <si>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</si>
  <si>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</si>
  <si>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</si>
  <si>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</si>
  <si>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</si>
  <si>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</si>
  <si>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</si>
  <si>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</si>
  <si>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</si>
  <si>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</si>
  <si>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</si>
  <si>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</si>
  <si>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</si>
  <si>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</si>
  <si>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</si>
  <si>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</si>
  <si>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</si>
  <si>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</si>
  <si>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</si>
  <si>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</si>
  <si>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</si>
  <si>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</si>
  <si>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</si>
  <si>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</si>
  <si>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</si>
  <si>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</si>
  <si>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</si>
  <si>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</si>
  <si>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</si>
  <si>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</si>
  <si>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</si>
  <si>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</si>
  <si>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</si>
  <si>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</si>
  <si>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</si>
  <si>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</si>
  <si>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</si>
  <si>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</si>
  <si>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</si>
  <si>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</si>
  <si>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</si>
  <si>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</si>
  <si>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</si>
  <si>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</si>
  <si>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</si>
  <si>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</si>
  <si>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</si>
  <si>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</si>
  <si>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</si>
  <si>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</si>
  <si>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</si>
  <si>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</si>
  <si>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</si>
  <si>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</si>
  <si>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</si>
  <si>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</si>
  <si>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</si>
  <si>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</si>
  <si>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</si>
  <si>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</si>
  <si>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</si>
  <si>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</si>
  <si>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</si>
  <si>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</si>
  <si>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</si>
  <si>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</si>
  <si>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</si>
  <si>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</si>
  <si>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</si>
  <si>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</si>
  <si>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</si>
  <si>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</si>
  <si>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</si>
  <si>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</si>
  <si>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</si>
  <si>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</si>
  <si>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</si>
  <si>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</si>
  <si>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</si>
  <si>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</si>
  <si>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</si>
  <si>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</si>
  <si>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</si>
  <si>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</si>
  <si>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</si>
  <si>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</si>
  <si>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</si>
  <si>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</si>
  <si>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</si>
  <si>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</si>
  <si>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</si>
  <si>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</si>
  <si>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</si>
  <si>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</si>
  <si>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</si>
  <si>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</si>
  <si>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</si>
  <si>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</si>
  <si>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</si>
  <si>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</si>
  <si>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</si>
  <si>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</si>
  <si>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</si>
  <si>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</si>
  <si>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</si>
  <si>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</si>
  <si>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</si>
  <si>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</si>
  <si>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</si>
  <si>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</si>
  <si>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</si>
  <si>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</si>
  <si>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</si>
  <si>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</si>
  <si>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</si>
  <si>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</si>
  <si>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</si>
  <si>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</si>
  <si>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</si>
  <si>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</si>
  <si>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</si>
  <si>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</si>
  <si>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</si>
  <si>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</si>
  <si>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</si>
  <si>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</si>
  <si>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</si>
  <si>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</si>
  <si>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</si>
  <si>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</si>
  <si>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</si>
  <si>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</si>
  <si>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</si>
  <si>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</si>
  <si>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</si>
  <si>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</si>
  <si>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</si>
  <si>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</si>
  <si>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</si>
  <si>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</si>
  <si>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</si>
  <si>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</si>
  <si>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</si>
  <si>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</si>
  <si>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</si>
  <si>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</si>
  <si>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</si>
  <si>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</si>
  <si>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</si>
  <si>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</si>
  <si>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</si>
  <si>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</si>
  <si>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</si>
  <si>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</si>
  <si>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</si>
  <si>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</si>
  <si>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</si>
  <si>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</si>
  <si>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</si>
  <si>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</si>
  <si>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</si>
  <si>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</si>
  <si>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</si>
  <si>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</si>
  <si>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</si>
  <si>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</si>
  <si>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</si>
  <si>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</si>
  <si>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</si>
  <si>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</si>
  <si>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</si>
  <si>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</si>
  <si>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</si>
  <si>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</si>
  <si>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</si>
  <si>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</si>
  <si>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</si>
  <si>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</si>
  <si>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</si>
  <si>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</si>
  <si>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</si>
  <si>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</si>
  <si>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</si>
  <si>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</si>
  <si>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</si>
  <si>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</si>
  <si>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</si>
  <si>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</si>
  <si>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</si>
  <si>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</si>
  <si>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</si>
  <si>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</si>
  <si>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</si>
  <si>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</si>
  <si>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</si>
  <si>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</si>
  <si>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</si>
  <si>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</si>
  <si>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</si>
  <si>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</si>
  <si>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</si>
  <si>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</si>
  <si>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</si>
  <si>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</si>
  <si>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</si>
  <si>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</si>
  <si>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</si>
  <si>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</si>
  <si>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</si>
  <si>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</si>
  <si>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</si>
  <si>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</si>
  <si>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</si>
  <si>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</si>
  <si>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</si>
  <si>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</si>
  <si>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</si>
  <si>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</si>
  <si>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</si>
  <si>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</si>
  <si>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</si>
  <si>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</si>
  <si>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</si>
  <si>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</si>
  <si>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</si>
  <si>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</si>
  <si>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</si>
  <si>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</si>
  <si>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</si>
  <si>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</si>
  <si>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</si>
  <si>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</si>
  <si>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</si>
  <si>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</si>
  <si>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</si>
  <si>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</si>
  <si>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</si>
  <si>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</si>
  <si>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</si>
  <si>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</si>
  <si>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</si>
  <si>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</si>
  <si>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</si>
  <si>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</si>
  <si>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</si>
  <si>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</si>
  <si>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</si>
  <si>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Delicias Norte - Maracaibo</t>
  </si>
  <si>
    <t>9848MFAP01</t>
  </si>
  <si>
    <t>9848MFGE01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</si>
  <si>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</si>
  <si>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</si>
  <si>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</si>
  <si>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</si>
  <si>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</si>
  <si>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</si>
  <si>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</si>
  <si>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</si>
  <si>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</si>
  <si>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</si>
  <si>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</si>
  <si>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</si>
  <si>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</si>
  <si>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</si>
  <si>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</si>
  <si>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</si>
  <si>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</si>
  <si>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</si>
  <si>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</si>
  <si>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</si>
  <si>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</si>
  <si>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</si>
  <si>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</si>
  <si>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</si>
  <si>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</si>
  <si>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</si>
  <si>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</si>
  <si>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</si>
  <si>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</si>
  <si>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</si>
  <si>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</si>
  <si>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</si>
  <si>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</si>
  <si>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</si>
  <si>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</si>
  <si>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</si>
  <si>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</si>
  <si>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</si>
  <si>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</si>
  <si>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</si>
  <si>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</si>
  <si>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</si>
  <si>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</si>
  <si>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</si>
  <si>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</si>
  <si>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</si>
  <si>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</si>
  <si>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</si>
  <si>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</si>
  <si>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</si>
  <si>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</si>
  <si>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</si>
  <si>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</si>
  <si>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</si>
  <si>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</si>
  <si>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</si>
  <si>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</si>
  <si>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</si>
  <si>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</si>
  <si>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</si>
  <si>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</si>
  <si>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</si>
  <si>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</si>
  <si>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</si>
  <si>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</si>
  <si>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</si>
  <si>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</si>
  <si>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</si>
  <si>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</si>
  <si>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</si>
  <si>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</si>
  <si>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</si>
  <si>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</si>
  <si>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</si>
  <si>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</si>
  <si>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</si>
  <si>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</si>
  <si>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</si>
  <si>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</si>
  <si>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</si>
  <si>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</si>
  <si>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</si>
  <si>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</si>
  <si>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</si>
  <si>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</si>
  <si>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</si>
  <si>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</si>
  <si>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</si>
  <si>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</si>
  <si>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</si>
  <si>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</si>
  <si>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</si>
  <si>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</si>
  <si>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</si>
  <si>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</si>
  <si>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</si>
  <si>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</si>
  <si>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</si>
  <si>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</si>
  <si>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</si>
  <si>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</si>
  <si>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</si>
  <si>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</si>
  <si>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</si>
  <si>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</si>
  <si>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</si>
  <si>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</si>
  <si>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</si>
  <si>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</si>
  <si>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</si>
  <si>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</si>
  <si>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</si>
  <si>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</si>
  <si>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</si>
  <si>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</si>
  <si>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</si>
  <si>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</si>
  <si>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</si>
  <si>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</si>
  <si>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</si>
  <si>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</si>
  <si>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</si>
  <si>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</si>
  <si>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</si>
  <si>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</si>
  <si>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</si>
  <si>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</si>
  <si>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</si>
  <si>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</si>
  <si>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</si>
  <si>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</si>
  <si>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</si>
  <si>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</si>
  <si>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</si>
  <si>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</si>
  <si>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</si>
  <si>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</si>
  <si>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</si>
  <si>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</si>
  <si>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</si>
  <si>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</si>
  <si>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</si>
  <si>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</si>
  <si>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</si>
  <si>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</si>
  <si>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</si>
  <si>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</si>
  <si>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</si>
  <si>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</si>
  <si>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</si>
  <si>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</si>
  <si>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</si>
  <si>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</si>
  <si>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</si>
  <si>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</si>
  <si>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</si>
  <si>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</si>
  <si>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</si>
  <si>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</si>
  <si>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</si>
  <si>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</si>
  <si>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</si>
  <si>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</si>
  <si>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</si>
  <si>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</si>
  <si>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</si>
  <si>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</si>
  <si>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</si>
  <si>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</si>
  <si>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</si>
  <si>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</si>
  <si>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</si>
  <si>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</si>
  <si>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</si>
  <si>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</si>
  <si>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</si>
  <si>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</si>
  <si>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</si>
  <si>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</si>
  <si>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</si>
  <si>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</si>
  <si>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</si>
  <si>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</si>
  <si>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</si>
  <si>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</si>
  <si>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</si>
  <si>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</si>
  <si>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</si>
  <si>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</si>
  <si>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</si>
  <si>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</si>
  <si>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</si>
  <si>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</si>
  <si>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</si>
  <si>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</si>
  <si>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</si>
  <si>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</si>
  <si>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</si>
  <si>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</si>
  <si>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</si>
  <si>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</si>
  <si>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</si>
  <si>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</si>
  <si>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</si>
  <si>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</si>
  <si>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</si>
  <si>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</si>
  <si>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</si>
  <si>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</si>
  <si>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</si>
  <si>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</si>
  <si>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</si>
  <si>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</si>
  <si>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</si>
  <si>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</si>
  <si>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</si>
  <si>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</si>
  <si>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</si>
  <si>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</si>
  <si>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</si>
  <si>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</si>
  <si>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</si>
  <si>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</si>
  <si>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</si>
  <si>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</si>
  <si>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</si>
  <si>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</si>
  <si>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</si>
  <si>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</si>
  <si>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</si>
  <si>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</si>
  <si>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</si>
  <si>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</si>
  <si>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</si>
  <si>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</si>
  <si>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</si>
  <si>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</si>
  <si>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</si>
  <si>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</si>
  <si>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</si>
  <si>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</si>
  <si>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</si>
  <si>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</si>
  <si>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</si>
  <si>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</si>
  <si>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</si>
  <si>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</si>
  <si>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</si>
  <si>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</si>
  <si>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</si>
  <si>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</si>
  <si>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</si>
  <si>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</si>
  <si>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</si>
  <si>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</si>
  <si>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</si>
  <si>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</si>
  <si>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</si>
  <si>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</si>
  <si>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</si>
  <si>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</si>
  <si>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</si>
  <si>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</si>
  <si>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</si>
  <si>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</si>
  <si>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</si>
  <si>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</si>
  <si>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</si>
  <si>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</si>
  <si>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</si>
  <si>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</si>
  <si>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</si>
  <si>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</si>
  <si>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</si>
  <si>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</si>
  <si>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</si>
  <si>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</si>
  <si>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</si>
  <si>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</si>
  <si>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</si>
  <si>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</si>
  <si>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</si>
  <si>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</si>
  <si>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</si>
  <si>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</si>
  <si>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</si>
  <si>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</si>
  <si>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</si>
  <si>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</si>
  <si>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</si>
  <si>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</si>
  <si>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</si>
  <si>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</si>
  <si>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</si>
  <si>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</si>
  <si>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</si>
  <si>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</si>
  <si>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</si>
  <si>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</si>
  <si>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</si>
  <si>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</si>
  <si>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</si>
  <si>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</si>
  <si>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</si>
  <si>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</si>
  <si>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</si>
  <si>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</si>
  <si>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</si>
  <si>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</si>
  <si>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</si>
  <si>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</si>
  <si>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</si>
  <si>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</si>
  <si>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</si>
  <si>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</si>
  <si>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</si>
  <si>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</si>
  <si>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</si>
  <si>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</si>
  <si>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</si>
  <si>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</si>
  <si>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</si>
  <si>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</si>
  <si>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</si>
  <si>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</si>
  <si>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</si>
  <si>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</si>
  <si>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</si>
  <si>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</si>
  <si>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</si>
  <si>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</si>
  <si>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</si>
  <si>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</si>
  <si>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</si>
  <si>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</si>
  <si>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</si>
  <si>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</si>
  <si>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</si>
  <si>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</si>
  <si>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</si>
  <si>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</si>
  <si>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</si>
  <si>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</si>
  <si>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</si>
  <si>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</si>
  <si>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</si>
  <si>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</si>
  <si>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</si>
  <si>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</si>
  <si>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</si>
  <si>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</si>
  <si>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</si>
  <si>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</si>
  <si>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</si>
  <si>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</si>
  <si>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</si>
  <si>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</si>
  <si>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</si>
  <si>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</si>
  <si>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</si>
  <si>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</si>
  <si>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</si>
  <si>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</si>
  <si>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</si>
  <si>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</si>
  <si>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</si>
  <si>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</si>
  <si>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</si>
  <si>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</si>
  <si>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</si>
  <si>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</si>
  <si>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</si>
  <si>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</si>
  <si>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</si>
  <si>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</si>
  <si>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</si>
  <si>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</si>
  <si>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</si>
  <si>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</si>
  <si>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</si>
  <si>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</si>
  <si>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</si>
  <si>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</si>
  <si>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</si>
  <si>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</si>
  <si>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</si>
  <si>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</si>
  <si>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</si>
  <si>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</si>
  <si>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</si>
  <si>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</si>
  <si>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</si>
  <si>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</si>
  <si>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</si>
  <si>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</si>
  <si>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</si>
  <si>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</si>
  <si>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</si>
  <si>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</si>
  <si>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</si>
  <si>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</si>
  <si>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</si>
  <si>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</si>
  <si>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</si>
  <si>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</si>
  <si>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</si>
  <si>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</si>
  <si>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</si>
  <si>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</si>
  <si>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</si>
  <si>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</si>
  <si>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</si>
  <si>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</si>
  <si>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</si>
  <si>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</si>
  <si>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</si>
  <si>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</si>
  <si>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</si>
  <si>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</si>
  <si>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</si>
  <si>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</si>
  <si>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</si>
  <si>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</si>
  <si>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</si>
  <si>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</si>
  <si>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</si>
  <si>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</si>
  <si>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</si>
  <si>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</si>
  <si>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</si>
  <si>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</si>
  <si>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</si>
  <si>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</si>
  <si>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</si>
  <si>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</si>
  <si>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</si>
  <si>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</si>
  <si>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</si>
  <si>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</si>
  <si>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</si>
  <si>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</si>
  <si>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</si>
  <si>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</si>
  <si>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</si>
  <si>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</si>
  <si>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</si>
  <si>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</si>
  <si>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</si>
  <si>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</si>
  <si>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</si>
  <si>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</si>
  <si>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</si>
  <si>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</si>
  <si>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</si>
  <si>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</si>
  <si>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</si>
  <si>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</si>
  <si>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</si>
  <si>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</si>
  <si>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</si>
  <si>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</si>
  <si>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</si>
  <si>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</si>
  <si>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</si>
  <si>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</si>
  <si>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</si>
  <si>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</si>
  <si>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</si>
  <si>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</si>
  <si>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</si>
  <si>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</si>
  <si>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</si>
  <si>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</si>
  <si>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</si>
  <si>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</si>
  <si>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</si>
  <si>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</si>
  <si>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</si>
  <si>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</si>
  <si>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</si>
  <si>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</si>
  <si>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</si>
  <si>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</si>
  <si>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</si>
  <si>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</si>
  <si>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</si>
  <si>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</si>
  <si>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</si>
  <si>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</si>
  <si>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</si>
  <si>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</si>
  <si>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</si>
  <si>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</si>
  <si>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</si>
  <si>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</si>
  <si>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</si>
  <si>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</si>
  <si>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</si>
  <si>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</si>
  <si>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</si>
  <si>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</si>
  <si>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</si>
  <si>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</si>
  <si>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</si>
  <si>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</si>
  <si>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</si>
  <si>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</si>
  <si>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</si>
  <si>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</si>
  <si>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</si>
  <si>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</si>
  <si>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</si>
  <si>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</si>
  <si>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</si>
  <si>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</si>
  <si>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</si>
  <si>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</si>
  <si>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</si>
  <si>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</si>
  <si>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</si>
  <si>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</si>
  <si>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</si>
  <si>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</si>
  <si>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</si>
  <si>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</si>
  <si>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</si>
  <si>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</si>
  <si>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</si>
  <si>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</si>
  <si>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</si>
  <si>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</si>
  <si>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</si>
  <si>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</si>
  <si>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</si>
  <si>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</si>
  <si>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</si>
  <si>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</si>
  <si>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</si>
  <si>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</si>
  <si>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</si>
  <si>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</si>
  <si>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</si>
  <si>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</si>
  <si>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</si>
  <si>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</si>
  <si>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</si>
  <si>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</si>
  <si>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</si>
  <si>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</si>
  <si>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</si>
  <si>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</si>
  <si>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</si>
  <si>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</si>
  <si>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</si>
  <si>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</si>
  <si>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</si>
  <si>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</si>
  <si>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</si>
  <si>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</si>
  <si>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</si>
  <si>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</si>
  <si>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</si>
  <si>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</si>
  <si>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</si>
  <si>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</si>
  <si>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</si>
  <si>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</si>
  <si>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</si>
  <si>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</si>
  <si>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</si>
  <si>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</si>
  <si>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</si>
  <si>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</si>
  <si>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</si>
  <si>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</si>
  <si>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</si>
  <si>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</si>
  <si>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</si>
  <si>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</si>
  <si>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</si>
  <si>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</si>
  <si>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</si>
  <si>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</si>
  <si>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</si>
  <si>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</si>
  <si>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</si>
  <si>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</si>
  <si>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</si>
  <si>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</si>
  <si>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</si>
  <si>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</si>
  <si>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</si>
  <si>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</si>
  <si>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</si>
  <si>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</si>
  <si>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</si>
  <si>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</si>
  <si>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</si>
  <si>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</si>
  <si>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</si>
  <si>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</si>
  <si>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</si>
  <si>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</si>
  <si>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</si>
  <si>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</si>
  <si>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</si>
  <si>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</si>
  <si>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</si>
  <si>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</si>
  <si>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</si>
  <si>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</si>
  <si>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</si>
  <si>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</si>
  <si>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</si>
  <si>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</si>
  <si>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</si>
  <si>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</si>
  <si>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</si>
  <si>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</si>
  <si>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</si>
  <si>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</si>
  <si>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</si>
  <si>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</si>
  <si>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</si>
  <si>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</si>
  <si>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</si>
  <si>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</si>
  <si>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</si>
  <si>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</si>
  <si>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</si>
  <si>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</si>
  <si>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</si>
  <si>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</si>
  <si>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</si>
  <si>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</si>
  <si>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</si>
  <si>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</si>
  <si>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</si>
  <si>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</si>
  <si>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</si>
  <si>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</si>
  <si>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</si>
  <si>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</si>
  <si>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</si>
  <si>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</si>
  <si>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</si>
  <si>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</si>
  <si>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</si>
  <si>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</si>
  <si>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</si>
  <si>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</si>
  <si>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</si>
  <si>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</si>
  <si>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</si>
  <si>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</si>
  <si>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</si>
  <si>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</si>
  <si>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</si>
  <si>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</si>
  <si>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</si>
  <si>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</si>
  <si>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</si>
  <si>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</si>
  <si>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</si>
  <si>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</si>
  <si>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</si>
  <si>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</si>
  <si>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</si>
  <si>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</si>
  <si>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</si>
  <si>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</si>
  <si>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</si>
  <si>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</si>
  <si>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</si>
  <si>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</si>
  <si>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</si>
  <si>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</si>
  <si>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</si>
  <si>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</si>
  <si>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</si>
  <si>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</si>
  <si>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</si>
  <si>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</si>
  <si>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</si>
  <si>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</si>
  <si>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</si>
  <si>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</si>
  <si>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</si>
  <si>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</si>
  <si>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</si>
  <si>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</si>
  <si>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</si>
  <si>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</si>
  <si>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</si>
  <si>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</si>
  <si>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</si>
  <si>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</si>
  <si>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</si>
  <si>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</si>
  <si>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</si>
  <si>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</si>
  <si>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</si>
  <si>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</si>
  <si>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</si>
  <si>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</si>
  <si>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</si>
  <si>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</si>
  <si>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</si>
  <si>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</si>
  <si>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</si>
  <si>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</si>
  <si>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</si>
  <si>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</si>
  <si>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</si>
  <si>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</si>
  <si>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</si>
  <si>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</si>
  <si>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</si>
  <si>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</si>
  <si>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</si>
  <si>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</si>
  <si>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</si>
  <si>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</si>
  <si>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</si>
  <si>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</si>
  <si>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</si>
  <si>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</si>
  <si>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</si>
  <si>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</si>
  <si>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</si>
  <si>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</si>
  <si>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</si>
  <si>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</si>
  <si>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</si>
  <si>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</si>
  <si>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</si>
  <si>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</si>
  <si>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</si>
  <si>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</si>
  <si>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</si>
  <si>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</si>
  <si>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</si>
  <si>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</si>
  <si>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</si>
  <si>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</si>
  <si>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</si>
  <si>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</si>
  <si>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</si>
  <si>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</si>
  <si>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</si>
  <si>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</si>
  <si>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</si>
  <si>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</si>
  <si>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</si>
  <si>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</si>
  <si>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</si>
  <si>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</si>
  <si>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</si>
  <si>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</si>
  <si>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</si>
  <si>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</si>
  <si>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</si>
  <si>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</si>
  <si>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</si>
  <si>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</si>
  <si>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</si>
  <si>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</si>
  <si>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</si>
  <si>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</si>
  <si>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</si>
  <si>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</si>
  <si>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</si>
  <si>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</si>
  <si>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</si>
  <si>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</si>
  <si>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</si>
  <si>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</si>
  <si>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</si>
  <si>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</si>
  <si>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</si>
  <si>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</si>
  <si>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</si>
  <si>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</si>
  <si>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</si>
  <si>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</si>
  <si>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</si>
  <si>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</si>
  <si>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</si>
  <si>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</si>
  <si>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</si>
  <si>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</si>
  <si>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</si>
  <si>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</si>
  <si>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</si>
  <si>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</si>
  <si>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</si>
  <si>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</si>
  <si>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</si>
  <si>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</si>
  <si>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</si>
  <si>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</si>
  <si>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</si>
  <si>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</si>
  <si>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</si>
  <si>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</si>
  <si>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</si>
  <si>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</si>
  <si>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</si>
  <si>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</si>
  <si>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</si>
  <si>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</si>
  <si>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</si>
  <si>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</si>
  <si>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</si>
  <si>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</si>
  <si>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</si>
  <si>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</si>
  <si>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</si>
  <si>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</si>
  <si>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</si>
  <si>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</si>
  <si>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</si>
  <si>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</si>
  <si>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</si>
  <si>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</si>
  <si>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</si>
  <si>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</si>
  <si>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</si>
  <si>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</si>
  <si>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</si>
  <si>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</si>
  <si>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</si>
  <si>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</si>
  <si>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</si>
  <si>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</si>
  <si>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</si>
  <si>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</si>
  <si>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</si>
  <si>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</si>
  <si>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</si>
  <si>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</si>
  <si>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</si>
  <si>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</si>
  <si>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</si>
  <si>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</si>
  <si>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</si>
  <si>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</si>
  <si>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</si>
  <si>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</si>
  <si>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</si>
  <si>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</si>
  <si>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</si>
  <si>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</si>
  <si>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</si>
  <si>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</si>
  <si>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</si>
  <si>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</si>
  <si>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</si>
  <si>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</si>
  <si>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</si>
  <si>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</si>
  <si>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</si>
  <si>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</si>
  <si>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</si>
  <si>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</si>
  <si>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</si>
  <si>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</si>
  <si>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</si>
  <si>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</si>
  <si>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</si>
  <si>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</si>
  <si>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</si>
  <si>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</si>
  <si>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</si>
  <si>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</si>
  <si>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</si>
  <si>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</si>
  <si>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</si>
  <si>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</si>
  <si>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</si>
  <si>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</si>
  <si>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</si>
  <si>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</si>
  <si>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</si>
  <si>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</si>
  <si>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</si>
  <si>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</si>
  <si>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</si>
  <si>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</si>
  <si>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</si>
  <si>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</si>
  <si>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</si>
  <si>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</si>
  <si>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</si>
  <si>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</si>
  <si>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</si>
  <si>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</si>
  <si>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</si>
  <si>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</si>
  <si>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</si>
  <si>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</si>
  <si>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</si>
  <si>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</si>
  <si>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</si>
  <si>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</si>
  <si>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</si>
  <si>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</si>
  <si>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</si>
  <si>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</si>
  <si>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</si>
  <si>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</si>
  <si>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</si>
  <si>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</si>
  <si>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</si>
  <si>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</si>
  <si>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</si>
  <si>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</si>
  <si>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</si>
  <si>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</si>
  <si>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</si>
  <si>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</si>
  <si>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</si>
  <si>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</si>
  <si>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</si>
  <si>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</si>
  <si>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</si>
  <si>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</si>
  <si>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</si>
  <si>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</si>
  <si>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</si>
  <si>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</si>
  <si>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</si>
  <si>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</si>
  <si>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</si>
  <si>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</si>
  <si>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</si>
  <si>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</si>
  <si>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</si>
  <si>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</si>
  <si>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</si>
  <si>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</si>
  <si>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</si>
  <si>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</si>
  <si>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</si>
  <si>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</si>
  <si>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</si>
  <si>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</si>
  <si>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</si>
  <si>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</si>
  <si>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</si>
  <si>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</si>
  <si>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</si>
  <si>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</si>
  <si>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</si>
  <si>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</si>
  <si>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</si>
  <si>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</si>
  <si>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</si>
  <si>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</si>
  <si>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</si>
  <si>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</si>
  <si>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</si>
  <si>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</si>
  <si>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</si>
  <si>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</si>
  <si>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</si>
  <si>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</si>
  <si>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</si>
  <si>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</si>
  <si>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</si>
  <si>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</si>
  <si>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</si>
  <si>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</si>
  <si>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</si>
  <si>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</si>
  <si>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</si>
  <si>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</si>
  <si>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</si>
  <si>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</si>
  <si>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</si>
  <si>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</si>
  <si>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</si>
  <si>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</si>
  <si>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</si>
  <si>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</si>
  <si>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</si>
  <si>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</si>
  <si>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</si>
  <si>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</si>
  <si>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</si>
  <si>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</si>
  <si>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</si>
  <si>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</si>
  <si>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</si>
  <si>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</si>
  <si>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</si>
  <si>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</si>
  <si>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</si>
  <si>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</si>
  <si>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</si>
  <si>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</si>
  <si>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</si>
  <si>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</si>
  <si>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</si>
  <si>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</si>
  <si>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</si>
  <si>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</si>
  <si>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</si>
  <si>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</si>
  <si>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</si>
  <si>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</si>
  <si>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</si>
  <si>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</si>
  <si>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</si>
  <si>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</si>
  <si>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</si>
  <si>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</si>
  <si>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</si>
  <si>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</si>
  <si>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</si>
  <si>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</si>
  <si>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</si>
  <si>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</si>
  <si>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</si>
  <si>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</si>
  <si>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</si>
  <si>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</si>
  <si>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</si>
  <si>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</si>
  <si>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</si>
  <si>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</si>
  <si>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</si>
  <si>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</si>
  <si>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</si>
  <si>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</si>
  <si>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</si>
  <si>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</si>
  <si>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</si>
  <si>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</si>
  <si>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</si>
  <si>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</si>
  <si>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</si>
  <si>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</si>
  <si>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</si>
  <si>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</si>
  <si>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</si>
  <si>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</si>
  <si>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</si>
  <si>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</si>
  <si>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</si>
  <si>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</si>
  <si>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</si>
  <si>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</si>
  <si>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</si>
  <si>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</si>
  <si>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</si>
  <si>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</si>
  <si>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</si>
  <si>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</si>
  <si>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</si>
  <si>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</si>
  <si>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</si>
  <si>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</si>
  <si>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</si>
  <si>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</si>
  <si>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</si>
  <si>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</si>
  <si>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</si>
  <si>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</si>
  <si>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</si>
  <si>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</si>
  <si>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</si>
  <si>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</si>
  <si>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</si>
  <si>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</si>
  <si>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</si>
  <si>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</si>
  <si>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</si>
  <si>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</si>
  <si>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</si>
  <si>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</si>
  <si>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</si>
  <si>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</si>
  <si>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</si>
  <si>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</si>
  <si>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</si>
  <si>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</si>
  <si>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</si>
  <si>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</si>
  <si>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</si>
  <si>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</si>
  <si>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</si>
  <si>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</si>
  <si>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</si>
  <si>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</si>
  <si>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</si>
  <si>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</si>
  <si>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</si>
  <si>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</si>
  <si>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</si>
  <si>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</si>
  <si>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</si>
  <si>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</si>
  <si>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</si>
  <si>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</si>
  <si>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</si>
  <si>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</si>
  <si>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</si>
  <si>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</si>
  <si>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</si>
  <si>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</si>
  <si>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</si>
  <si>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</si>
  <si>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</si>
  <si>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</si>
  <si>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</si>
  <si>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</si>
  <si>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</si>
  <si>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</si>
  <si>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</si>
  <si>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</si>
  <si>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</si>
  <si>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</si>
  <si>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</si>
  <si>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</si>
  <si>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</si>
  <si>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</si>
  <si>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</si>
  <si>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</si>
  <si>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</si>
  <si>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</si>
  <si>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</si>
  <si>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</si>
  <si>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</si>
  <si>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</si>
  <si>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</si>
  <si>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</si>
  <si>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</si>
  <si>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</si>
  <si>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</si>
  <si>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</si>
  <si>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</si>
  <si>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</si>
  <si>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</si>
  <si>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</si>
  <si>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</si>
  <si>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</si>
  <si>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</si>
  <si>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</si>
  <si>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</si>
  <si>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</si>
  <si>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</si>
  <si>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</si>
  <si>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</si>
  <si>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</si>
  <si>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</si>
  <si>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</si>
  <si>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</si>
  <si>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</si>
  <si>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</si>
  <si>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</si>
  <si>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</si>
  <si>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</si>
  <si>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</si>
  <si>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</si>
  <si>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</si>
  <si>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</si>
  <si>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</si>
  <si>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</si>
  <si>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</si>
  <si>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</si>
  <si>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</si>
  <si>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</si>
  <si>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</si>
  <si>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</si>
  <si>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</si>
  <si>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</si>
  <si>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</si>
  <si>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</si>
  <si>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</si>
  <si>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</si>
  <si>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</si>
  <si>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</si>
  <si>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</si>
  <si>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</si>
  <si>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</si>
  <si>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</si>
  <si>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</si>
  <si>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</si>
  <si>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</si>
  <si>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</si>
  <si>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</si>
  <si>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</si>
  <si>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</si>
  <si>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</si>
  <si>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</si>
  <si>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</si>
  <si>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</si>
  <si>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</si>
  <si>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</si>
  <si>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</si>
  <si>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</si>
  <si>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</si>
  <si>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</si>
  <si>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</si>
  <si>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</si>
  <si>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</si>
  <si>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</si>
  <si>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</si>
  <si>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</si>
  <si>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</si>
  <si>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</si>
  <si>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</si>
  <si>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</si>
  <si>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</si>
  <si>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</si>
  <si>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</si>
  <si>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</si>
  <si>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</si>
  <si>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</si>
  <si>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</si>
  <si>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</si>
  <si>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</si>
  <si>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</si>
  <si>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</si>
  <si>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</si>
  <si>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</si>
  <si>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</si>
  <si>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</si>
  <si>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</si>
  <si>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</si>
  <si>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</si>
  <si>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</si>
  <si>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</si>
  <si>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</si>
  <si>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</si>
  <si>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</si>
  <si>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</si>
  <si>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</si>
  <si>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</si>
  <si>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</si>
  <si>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</si>
  <si>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</si>
  <si>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</si>
  <si>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</si>
  <si>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</si>
  <si>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</si>
  <si>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</si>
  <si>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</si>
  <si>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</si>
  <si>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</si>
  <si>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</si>
  <si>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</si>
  <si>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</si>
  <si>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</si>
  <si>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</si>
  <si>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</si>
  <si>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</si>
  <si>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</si>
  <si>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</si>
  <si>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</si>
  <si>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</si>
  <si>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</si>
  <si>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</si>
  <si>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>Cierre Definitivo 19/10/2023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</si>
  <si>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</si>
  <si>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</si>
  <si>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</si>
  <si>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</si>
  <si>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</si>
  <si>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</si>
  <si>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</si>
  <si>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</si>
  <si>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</si>
  <si>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</si>
  <si>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</si>
  <si>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</si>
  <si>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</si>
  <si>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</si>
  <si>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</si>
  <si>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</si>
  <si>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</si>
  <si>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</si>
  <si>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</si>
  <si>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</si>
  <si>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</si>
  <si>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</si>
  <si>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</si>
  <si>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</si>
  <si>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</si>
  <si>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</si>
  <si>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</si>
  <si>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</si>
  <si>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</si>
  <si>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</si>
  <si>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</si>
  <si>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</si>
  <si>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</si>
  <si>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</si>
  <si>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</si>
  <si>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</si>
  <si>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</si>
  <si>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</si>
  <si>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</si>
  <si>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</si>
  <si>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</si>
  <si>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</si>
  <si>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</si>
  <si>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</si>
  <si>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</si>
  <si>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</si>
  <si>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</si>
  <si>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</si>
  <si>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</si>
  <si>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</si>
  <si>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</si>
  <si>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</si>
  <si>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</si>
  <si>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</si>
  <si>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</si>
  <si>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</si>
  <si>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</si>
  <si>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</si>
  <si>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</si>
  <si>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</si>
  <si>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</si>
  <si>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</si>
  <si>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</si>
  <si>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</si>
  <si>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</si>
  <si>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</si>
  <si>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</si>
  <si>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</si>
  <si>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</si>
  <si>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</si>
  <si>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</si>
  <si>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</si>
  <si>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</si>
  <si>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</si>
  <si>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</si>
  <si>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</si>
  <si>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</si>
  <si>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</si>
  <si>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</si>
  <si>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</si>
  <si>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</si>
  <si>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</si>
  <si>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</si>
  <si>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</si>
  <si>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</si>
  <si>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</si>
  <si>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</si>
  <si>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</si>
  <si>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</si>
  <si>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</si>
  <si>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</si>
  <si>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</si>
  <si>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</si>
  <si>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</si>
  <si>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</si>
  <si>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</si>
  <si>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</si>
  <si>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</si>
  <si>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</si>
  <si>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</si>
  <si>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</si>
  <si>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</si>
  <si>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</si>
  <si>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</si>
  <si>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</si>
  <si>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</si>
  <si>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</si>
  <si>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</si>
  <si>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</si>
  <si>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</si>
  <si>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</si>
  <si>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</si>
  <si>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</si>
  <si>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</si>
  <si>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</si>
  <si>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</si>
  <si>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</si>
  <si>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</si>
  <si>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</si>
  <si>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</si>
  <si>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</si>
  <si>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</si>
  <si>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</si>
  <si>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</si>
  <si>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</si>
  <si>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</si>
  <si>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</si>
  <si>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</si>
  <si>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</si>
  <si>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</si>
  <si>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</si>
  <si>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</si>
  <si>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</si>
  <si>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</si>
  <si>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</si>
  <si>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</si>
  <si>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</si>
  <si>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</si>
  <si>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</si>
  <si>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</si>
  <si>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</si>
  <si>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</si>
  <si>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</si>
  <si>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</si>
  <si>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</si>
  <si>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</si>
  <si>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</si>
  <si>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</si>
  <si>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</si>
  <si>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</si>
  <si>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</si>
  <si>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</si>
  <si>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</si>
  <si>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</si>
  <si>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</si>
  <si>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</si>
  <si>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</si>
  <si>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</si>
  <si>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</si>
  <si>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</si>
  <si>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</si>
  <si>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</si>
  <si>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</si>
  <si>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</si>
  <si>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</si>
  <si>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</si>
  <si>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</si>
  <si>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</si>
  <si>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</si>
  <si>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</si>
  <si>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</si>
  <si>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</si>
  <si>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</si>
  <si>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</si>
  <si>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</si>
  <si>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</si>
  <si>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</si>
  <si>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</si>
  <si>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</si>
  <si>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</si>
  <si>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</si>
  <si>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</si>
  <si>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</si>
  <si>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</si>
  <si>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</si>
  <si>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</si>
  <si>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</si>
  <si>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</si>
  <si>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</si>
  <si>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</si>
  <si>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</si>
  <si>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</si>
  <si>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</si>
  <si>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</si>
  <si>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</si>
  <si>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</si>
  <si>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</si>
  <si>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</si>
  <si>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</si>
  <si>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</si>
  <si>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</si>
  <si>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</si>
  <si>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</si>
  <si>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</si>
  <si>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</si>
  <si>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</si>
  <si>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</si>
  <si>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</si>
  <si>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</si>
  <si>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</si>
  <si>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</si>
  <si>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</si>
  <si>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</si>
  <si>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</si>
  <si>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</si>
  <si>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</si>
  <si>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</si>
  <si>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</si>
  <si>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</si>
  <si>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</si>
  <si>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</si>
  <si>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</si>
  <si>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</si>
  <si>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</si>
  <si>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</si>
  <si>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</si>
  <si>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</si>
  <si>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</si>
  <si>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</si>
  <si>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</si>
  <si>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</si>
  <si>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</si>
  <si>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</si>
  <si>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</si>
  <si>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</si>
  <si>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</si>
  <si>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</si>
  <si>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</si>
  <si>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</si>
  <si>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</si>
  <si>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</si>
  <si>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</si>
  <si>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embala por tener poco uso 28/02/2025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</si>
  <si>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</si>
  <si>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</si>
  <si>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</si>
  <si>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</si>
  <si>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</si>
  <si>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</si>
  <si>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</si>
  <si>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</si>
  <si>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</si>
  <si>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</si>
  <si>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</si>
  <si>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</si>
  <si>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</si>
  <si>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</si>
  <si>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</si>
  <si>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</si>
  <si>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</si>
  <si>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</si>
  <si>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</si>
  <si>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</si>
  <si>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</si>
  <si>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</si>
  <si>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</si>
  <si>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</si>
  <si>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</si>
  <si>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</si>
  <si>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</si>
  <si>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</si>
  <si>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</si>
  <si>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</si>
  <si>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</si>
  <si>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</si>
  <si>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</si>
  <si>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</si>
  <si>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</si>
  <si>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</si>
  <si>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</si>
  <si>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</si>
  <si>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</si>
  <si>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</si>
  <si>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</si>
  <si>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</si>
  <si>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</si>
  <si>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</si>
  <si>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</si>
  <si>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</si>
  <si>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</si>
  <si>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</si>
  <si>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</si>
  <si>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</si>
  <si>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</si>
  <si>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</si>
  <si>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</si>
  <si>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</si>
  <si>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</si>
  <si>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</si>
  <si>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</si>
  <si>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</si>
  <si>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</si>
  <si>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</si>
  <si>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</si>
  <si>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</si>
  <si>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</si>
  <si>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</si>
  <si>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</si>
  <si>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</si>
  <si>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</si>
  <si>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</si>
  <si>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</si>
  <si>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</si>
  <si>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</si>
  <si>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</si>
  <si>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</si>
  <si>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</si>
  <si>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</si>
  <si>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</si>
  <si>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</si>
  <si>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</si>
  <si>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</si>
  <si>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</si>
  <si>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</si>
  <si>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</si>
  <si>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</si>
  <si>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</si>
  <si>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</si>
  <si>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</si>
  <si>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</si>
  <si>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</si>
  <si>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</si>
  <si>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</si>
  <si>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</si>
  <si>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</si>
  <si>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</si>
  <si>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Contador Mes Anterior Febrero</t>
  </si>
  <si>
    <t>9410MFCO01</t>
  </si>
  <si>
    <t>9470MFCO01</t>
  </si>
  <si>
    <t>9370MFTQ01</t>
  </si>
  <si>
    <t>9467MFAP01</t>
  </si>
  <si>
    <t>9831MFEN01</t>
  </si>
  <si>
    <t>9397MFCO01</t>
  </si>
  <si>
    <t>9835MFEN01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</si>
</sst>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40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3" fontId="0" fillId="0" borderId="20" xfId="0" applyNumberFormat="1" applyBorder="1" applyAlignment="1">
      <alignment horizontal="right" vertical="center"/>
    </xf>
    <xf numFmtId="17" fontId="0" fillId="42" borderId="21" xfId="0" applyNumberFormat="1" applyFont="1" applyFill="1" applyBorder="1"/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49"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06%20de%20Marzo%20de%202026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13%20de%20Marzo%20de%202026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20%20de%20Marzo%20de%202026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27%20de%20Marzo%20de%202026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Respaldo%20Siffs/11.-%20PREVENTIVO%20TORRE-%20REGION/Dispositivos%20Diarios/2026/03%20Marzo/Dispositivos%20exportados%20de%20HP%20Web%20Jetadmin%2031%20de%20Marzo%20de%202026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772681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142476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652209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422379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327625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613661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129260</v>
          </cell>
        </row>
        <row r="22">
          <cell r="C22" t="str">
            <v>10.10.78.200</v>
          </cell>
          <cell r="D22">
            <v>679959</v>
          </cell>
        </row>
        <row r="23">
          <cell r="C23" t="str">
            <v>10.10.90.200</v>
          </cell>
          <cell r="D23">
            <v>665075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450769</v>
          </cell>
        </row>
        <row r="27">
          <cell r="C27" t="str">
            <v>10.0.131.25</v>
          </cell>
          <cell r="D27">
            <v>196493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327854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206627</v>
          </cell>
        </row>
        <row r="42">
          <cell r="C42" t="str">
            <v>10.10.189.201</v>
          </cell>
          <cell r="D42">
            <v>411675</v>
          </cell>
        </row>
        <row r="43">
          <cell r="C43" t="str">
            <v>10.11.9.201</v>
          </cell>
          <cell r="D43">
            <v>127614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519117</v>
          </cell>
        </row>
        <row r="46">
          <cell r="C46" t="str">
            <v>10.0.135.210</v>
          </cell>
          <cell r="D46">
            <v>205331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265852</v>
          </cell>
        </row>
        <row r="51">
          <cell r="C51" t="str">
            <v>10.0.25.201</v>
          </cell>
          <cell r="D51">
            <v>297611</v>
          </cell>
        </row>
        <row r="52">
          <cell r="C52" t="str">
            <v>10.10.23.200</v>
          </cell>
          <cell r="D52">
            <v>129885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964079</v>
          </cell>
        </row>
        <row r="55">
          <cell r="C55" t="str">
            <v>10.0.36.104</v>
          </cell>
          <cell r="D55">
            <v>38515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822003</v>
          </cell>
        </row>
        <row r="58">
          <cell r="C58" t="str">
            <v>10.14.11.203</v>
          </cell>
          <cell r="D58">
            <v>1006443</v>
          </cell>
        </row>
        <row r="59">
          <cell r="C59" t="str">
            <v>10.10.20.200</v>
          </cell>
          <cell r="D59">
            <v>103185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621521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581166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261118</v>
          </cell>
        </row>
        <row r="73">
          <cell r="C73" t="str">
            <v>10.11.1.201</v>
          </cell>
          <cell r="D73">
            <v>163526</v>
          </cell>
        </row>
        <row r="74">
          <cell r="C74" t="str">
            <v>10.11.26.200</v>
          </cell>
          <cell r="D74">
            <v>722848</v>
          </cell>
        </row>
        <row r="75">
          <cell r="C75" t="str">
            <v>10.10.16.201</v>
          </cell>
          <cell r="D75">
            <v>237082</v>
          </cell>
        </row>
        <row r="76">
          <cell r="C76" t="str">
            <v>10.10.43.201</v>
          </cell>
          <cell r="D76">
            <v>502037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428157</v>
          </cell>
        </row>
        <row r="82">
          <cell r="C82" t="str">
            <v>10.14.9.201</v>
          </cell>
          <cell r="D82">
            <v>842786</v>
          </cell>
        </row>
        <row r="83">
          <cell r="C83" t="str">
            <v>10.10.14.240</v>
          </cell>
          <cell r="D83">
            <v>239056</v>
          </cell>
        </row>
        <row r="84">
          <cell r="C84" t="str">
            <v>10.0.15.18</v>
          </cell>
          <cell r="D84">
            <v>76363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611938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152225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259389</v>
          </cell>
        </row>
        <row r="97">
          <cell r="C97" t="str">
            <v>10.11.1.200</v>
          </cell>
          <cell r="D97">
            <v>786376</v>
          </cell>
        </row>
        <row r="98">
          <cell r="C98" t="str">
            <v>10.10.9.200</v>
          </cell>
          <cell r="D98">
            <v>113280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384678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109533</v>
          </cell>
        </row>
        <row r="104">
          <cell r="C104" t="str">
            <v>10.10.171.207</v>
          </cell>
          <cell r="D104">
            <v>259826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898847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417360</v>
          </cell>
        </row>
        <row r="109">
          <cell r="C109" t="str">
            <v>10.10.125.201</v>
          </cell>
          <cell r="D109">
            <v>874475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690452</v>
          </cell>
        </row>
        <row r="115">
          <cell r="C115" t="str">
            <v>10.10.73.210</v>
          </cell>
          <cell r="D115">
            <v>125663</v>
          </cell>
        </row>
        <row r="116">
          <cell r="C116" t="str">
            <v>10.10.135.200</v>
          </cell>
          <cell r="D116">
            <v>159399</v>
          </cell>
        </row>
        <row r="117">
          <cell r="C117" t="str">
            <v>10.14.8.200</v>
          </cell>
          <cell r="D117">
            <v>199350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300796</v>
          </cell>
        </row>
        <row r="122">
          <cell r="C122" t="str">
            <v>10.10.219.231</v>
          </cell>
          <cell r="D122">
            <v>613666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132499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148458</v>
          </cell>
        </row>
        <row r="127">
          <cell r="C127" t="str">
            <v>10.10.53.200</v>
          </cell>
          <cell r="D127">
            <v>485317</v>
          </cell>
        </row>
        <row r="128">
          <cell r="C128" t="str">
            <v>10.10.186.203</v>
          </cell>
          <cell r="D128">
            <v>378339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316877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255432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60110</v>
          </cell>
        </row>
        <row r="138">
          <cell r="C138" t="str">
            <v>10.14.11.202</v>
          </cell>
          <cell r="D138">
            <v>502995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500811</v>
          </cell>
        </row>
        <row r="145">
          <cell r="C145" t="str">
            <v>10.10.60.201</v>
          </cell>
          <cell r="D145">
            <v>669164</v>
          </cell>
        </row>
        <row r="146">
          <cell r="C146" t="str">
            <v>10.0.36.47</v>
          </cell>
          <cell r="D146">
            <v>161327</v>
          </cell>
        </row>
        <row r="147">
          <cell r="C147" t="str">
            <v>10.14.7.200</v>
          </cell>
          <cell r="D147">
            <v>145573</v>
          </cell>
        </row>
        <row r="148">
          <cell r="C148" t="str">
            <v>10.0.36.55</v>
          </cell>
          <cell r="D148">
            <v>285784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665031</v>
          </cell>
        </row>
        <row r="153">
          <cell r="C153" t="str">
            <v>10.14.16.200</v>
          </cell>
          <cell r="D153">
            <v>146525</v>
          </cell>
        </row>
        <row r="154">
          <cell r="C154" t="str">
            <v>10.10.161.201</v>
          </cell>
          <cell r="D154">
            <v>763813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646153</v>
          </cell>
        </row>
        <row r="159">
          <cell r="C159" t="str">
            <v>10.0.29.200</v>
          </cell>
          <cell r="D159">
            <v>84830</v>
          </cell>
        </row>
        <row r="160">
          <cell r="C160" t="str">
            <v>10.10.186.202</v>
          </cell>
          <cell r="D160">
            <v>370509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735515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689013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559533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226490</v>
          </cell>
        </row>
        <row r="170">
          <cell r="C170" t="str">
            <v>10.10.83.203</v>
          </cell>
          <cell r="D170">
            <v>820327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618070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122138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280920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1099634</v>
          </cell>
        </row>
        <row r="183">
          <cell r="C183" t="str">
            <v>10.10.211.202</v>
          </cell>
          <cell r="D183">
            <v>297321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565699</v>
          </cell>
        </row>
        <row r="186">
          <cell r="C186" t="str">
            <v>10.10.171.13</v>
          </cell>
          <cell r="D186">
            <v>286147</v>
          </cell>
        </row>
        <row r="187">
          <cell r="C187" t="str">
            <v>10.10.184.201</v>
          </cell>
          <cell r="D187">
            <v>186236</v>
          </cell>
        </row>
        <row r="188">
          <cell r="C188" t="str">
            <v>10.10.74.200</v>
          </cell>
          <cell r="D188">
            <v>623092</v>
          </cell>
        </row>
        <row r="189">
          <cell r="C189" t="str">
            <v>10.10.10.200</v>
          </cell>
          <cell r="D189">
            <v>567772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60062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415430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241517</v>
          </cell>
        </row>
        <row r="199">
          <cell r="C199" t="str">
            <v>10.11.99.201</v>
          </cell>
          <cell r="D199">
            <v>124769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153997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377811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1130072</v>
          </cell>
        </row>
        <row r="206">
          <cell r="C206" t="str">
            <v>10.10.71.200</v>
          </cell>
          <cell r="D206">
            <v>934577</v>
          </cell>
        </row>
        <row r="207">
          <cell r="C207" t="str">
            <v>10.10.59.200</v>
          </cell>
          <cell r="D207">
            <v>934159</v>
          </cell>
        </row>
        <row r="208">
          <cell r="C208" t="str">
            <v>10.11.24.200</v>
          </cell>
          <cell r="D208">
            <v>401581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137584</v>
          </cell>
        </row>
        <row r="211">
          <cell r="C211" t="str">
            <v>10.10.14.200</v>
          </cell>
          <cell r="D211">
            <v>324779</v>
          </cell>
        </row>
        <row r="212">
          <cell r="C212" t="str">
            <v>10.10.185.200</v>
          </cell>
          <cell r="D212">
            <v>57763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1057536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379101</v>
          </cell>
        </row>
        <row r="219">
          <cell r="C219" t="str">
            <v>10.10.165.202</v>
          </cell>
          <cell r="D219">
            <v>881296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621526</v>
          </cell>
        </row>
        <row r="227">
          <cell r="C227" t="str">
            <v>10.11.37.202</v>
          </cell>
          <cell r="D227">
            <v>315264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154425</v>
          </cell>
        </row>
        <row r="230">
          <cell r="C230" t="str">
            <v>10.11.32.201</v>
          </cell>
          <cell r="D230">
            <v>135671</v>
          </cell>
        </row>
        <row r="231">
          <cell r="C231" t="str">
            <v>10.10.125.203</v>
          </cell>
          <cell r="D231">
            <v>178642</v>
          </cell>
        </row>
        <row r="232">
          <cell r="C232" t="str">
            <v>10.10.81.208</v>
          </cell>
          <cell r="D232">
            <v>323113</v>
          </cell>
        </row>
        <row r="233">
          <cell r="C233" t="str">
            <v>10.11.39.200</v>
          </cell>
          <cell r="D233">
            <v>598234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346279</v>
          </cell>
        </row>
        <row r="240">
          <cell r="C240" t="str">
            <v>10.11.11.202</v>
          </cell>
          <cell r="D240">
            <v>705322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366057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133126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681414</v>
          </cell>
        </row>
        <row r="251">
          <cell r="C251" t="str">
            <v>10.11.32.201</v>
          </cell>
          <cell r="D251">
            <v>135662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309687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890528</v>
          </cell>
        </row>
        <row r="260">
          <cell r="C260" t="str">
            <v>10.0.28.79</v>
          </cell>
          <cell r="D260">
            <v>915857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198183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802735</v>
          </cell>
        </row>
        <row r="267">
          <cell r="C267" t="str">
            <v>10.0.21.201</v>
          </cell>
          <cell r="D267">
            <v>984898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66246</v>
          </cell>
        </row>
        <row r="270">
          <cell r="C270" t="str">
            <v>10.14.47.204</v>
          </cell>
          <cell r="D270">
            <v>283087</v>
          </cell>
        </row>
        <row r="271">
          <cell r="C271" t="str">
            <v>10.10.7.200</v>
          </cell>
          <cell r="D271">
            <v>380175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649309</v>
          </cell>
        </row>
        <row r="275">
          <cell r="C275" t="str">
            <v>10.10.150.200</v>
          </cell>
          <cell r="D275">
            <v>522972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827343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753892</v>
          </cell>
        </row>
        <row r="284">
          <cell r="C284" t="str">
            <v>10.0.28.200</v>
          </cell>
          <cell r="D284">
            <v>145192</v>
          </cell>
        </row>
        <row r="285">
          <cell r="C285" t="str">
            <v>10.0.40.208</v>
          </cell>
          <cell r="D285">
            <v>204928</v>
          </cell>
        </row>
        <row r="286">
          <cell r="C286" t="str">
            <v>10.14.8.201</v>
          </cell>
          <cell r="D286">
            <v>377563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712215</v>
          </cell>
        </row>
        <row r="290">
          <cell r="C290" t="str">
            <v>10.11.92.200</v>
          </cell>
          <cell r="D290">
            <v>119815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641512</v>
          </cell>
        </row>
        <row r="293">
          <cell r="C293" t="str">
            <v>10.10.170.200</v>
          </cell>
          <cell r="D293">
            <v>546451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1171198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73797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117012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658103</v>
          </cell>
        </row>
        <row r="307">
          <cell r="C307" t="str">
            <v>10.10.64.102</v>
          </cell>
          <cell r="D307">
            <v>197446</v>
          </cell>
        </row>
        <row r="308">
          <cell r="C308" t="str">
            <v>10.10.209.200</v>
          </cell>
          <cell r="D308">
            <v>953538</v>
          </cell>
        </row>
        <row r="309">
          <cell r="C309" t="str">
            <v>10.10.129.203</v>
          </cell>
          <cell r="D309">
            <v>163037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740711</v>
          </cell>
        </row>
        <row r="312">
          <cell r="C312" t="str">
            <v>10.0.9.200</v>
          </cell>
          <cell r="D312">
            <v>701192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445823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603180</v>
          </cell>
        </row>
        <row r="317">
          <cell r="C317" t="str">
            <v>10.10.120.200</v>
          </cell>
          <cell r="D317">
            <v>105744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528625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753706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225507</v>
          </cell>
        </row>
        <row r="330">
          <cell r="C330" t="str">
            <v>10.10.75.200</v>
          </cell>
          <cell r="D330">
            <v>170123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210255</v>
          </cell>
        </row>
        <row r="336">
          <cell r="C336" t="str">
            <v>10.10.80.201</v>
          </cell>
          <cell r="D336">
            <v>472723</v>
          </cell>
        </row>
        <row r="337">
          <cell r="C337" t="str">
            <v>10.14.93.201</v>
          </cell>
          <cell r="D337">
            <v>206262</v>
          </cell>
        </row>
        <row r="338">
          <cell r="C338" t="str">
            <v>10.0.111.110</v>
          </cell>
          <cell r="D338">
            <v>263647</v>
          </cell>
        </row>
        <row r="339">
          <cell r="C339" t="str">
            <v>10.10.52.201</v>
          </cell>
          <cell r="D339">
            <v>494961</v>
          </cell>
        </row>
        <row r="340">
          <cell r="C340" t="str">
            <v>10.10.65.201</v>
          </cell>
          <cell r="D340">
            <v>164936</v>
          </cell>
        </row>
        <row r="341">
          <cell r="C341" t="str">
            <v>10.10.189.201</v>
          </cell>
          <cell r="D341">
            <v>411694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338693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704505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170880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520727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437554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161371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271532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180294</v>
          </cell>
        </row>
        <row r="372">
          <cell r="C372" t="str">
            <v>10.10.146.200</v>
          </cell>
          <cell r="D372">
            <v>569538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798091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488761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80063</v>
          </cell>
        </row>
        <row r="383">
          <cell r="C383" t="str">
            <v>10.10.170.202</v>
          </cell>
          <cell r="D383">
            <v>136002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409214</v>
          </cell>
        </row>
        <row r="388">
          <cell r="C388" t="str">
            <v>10.0.29.204</v>
          </cell>
          <cell r="D388">
            <v>437665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1431495</v>
          </cell>
        </row>
        <row r="391">
          <cell r="C391" t="str">
            <v>10.10.206.207</v>
          </cell>
          <cell r="D391">
            <v>249618</v>
          </cell>
        </row>
        <row r="392">
          <cell r="C392" t="str">
            <v>10.10.23.201</v>
          </cell>
          <cell r="D392">
            <v>682706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519770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177997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888475</v>
          </cell>
        </row>
        <row r="401">
          <cell r="C401" t="str">
            <v>10.10.251.201</v>
          </cell>
          <cell r="D401">
            <v>1138573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500641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308033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126349</v>
          </cell>
        </row>
        <row r="412">
          <cell r="C412" t="str">
            <v>10.10.108.203</v>
          </cell>
          <cell r="D412">
            <v>857437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621280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46254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621525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375044</v>
          </cell>
        </row>
        <row r="423">
          <cell r="C423" t="str">
            <v>10.0.36.21</v>
          </cell>
          <cell r="D423">
            <v>225199</v>
          </cell>
        </row>
        <row r="424">
          <cell r="C424" t="str">
            <v>10.14.19.200</v>
          </cell>
          <cell r="D424">
            <v>574096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407469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473715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375720</v>
          </cell>
        </row>
        <row r="433">
          <cell r="C433" t="str">
            <v>10.14.16.201</v>
          </cell>
          <cell r="D433">
            <v>526454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121226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107112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105738</v>
          </cell>
        </row>
        <row r="440">
          <cell r="C440" t="str">
            <v>10.10.97.200</v>
          </cell>
          <cell r="D440">
            <v>271559</v>
          </cell>
        </row>
        <row r="441">
          <cell r="C441" t="str">
            <v>10.0.29.202</v>
          </cell>
          <cell r="D441">
            <v>747898</v>
          </cell>
        </row>
        <row r="442">
          <cell r="C442" t="str">
            <v>10.10.76.200</v>
          </cell>
          <cell r="D442">
            <v>468316</v>
          </cell>
        </row>
        <row r="443">
          <cell r="C443" t="str">
            <v>10.10.63.201</v>
          </cell>
          <cell r="D443">
            <v>721090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66246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206684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166459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97182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265860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138981</v>
          </cell>
        </row>
        <row r="466">
          <cell r="C466" t="str">
            <v>10.14.47.202</v>
          </cell>
          <cell r="D466">
            <v>525087</v>
          </cell>
        </row>
        <row r="467">
          <cell r="C467" t="str">
            <v>10.10.240.201</v>
          </cell>
          <cell r="D467">
            <v>393387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737367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758677</v>
          </cell>
        </row>
        <row r="474">
          <cell r="C474" t="str">
            <v>10.0.13.203</v>
          </cell>
          <cell r="D474">
            <v>831271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154335</v>
          </cell>
        </row>
        <row r="483">
          <cell r="C483" t="str">
            <v>10.0.131.200</v>
          </cell>
          <cell r="D483">
            <v>276949</v>
          </cell>
        </row>
        <row r="484">
          <cell r="C484" t="str">
            <v>10.11.36.200</v>
          </cell>
          <cell r="D484">
            <v>296613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50736</v>
          </cell>
        </row>
        <row r="490">
          <cell r="C490" t="str">
            <v>10.10.91.201</v>
          </cell>
          <cell r="D490">
            <v>343290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1024196</v>
          </cell>
        </row>
        <row r="493">
          <cell r="C493" t="str">
            <v>10.10.158.201</v>
          </cell>
          <cell r="D493">
            <v>125180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206092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544010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279617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38515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155527</v>
          </cell>
        </row>
        <row r="506">
          <cell r="C506" t="str">
            <v>10.11.29.202</v>
          </cell>
          <cell r="D506">
            <v>133119</v>
          </cell>
        </row>
        <row r="507">
          <cell r="C507" t="str">
            <v>10.0.33.200</v>
          </cell>
          <cell r="D507">
            <v>3727</v>
          </cell>
        </row>
        <row r="508">
          <cell r="C508" t="str">
            <v>10.10.129.201</v>
          </cell>
          <cell r="D508">
            <v>629409</v>
          </cell>
        </row>
        <row r="509">
          <cell r="C509" t="str">
            <v>10.14.51.200</v>
          </cell>
          <cell r="D509">
            <v>750204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311691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55672</v>
          </cell>
        </row>
        <row r="516">
          <cell r="C516" t="str">
            <v>10.10.10.201</v>
          </cell>
          <cell r="D516">
            <v>102674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118917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964051</v>
          </cell>
        </row>
        <row r="527">
          <cell r="C527" t="str">
            <v>10.10.80.200</v>
          </cell>
          <cell r="D527">
            <v>793688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670028</v>
          </cell>
        </row>
        <row r="530">
          <cell r="C530" t="str">
            <v>10.10.17.201</v>
          </cell>
          <cell r="D530">
            <v>432317</v>
          </cell>
        </row>
        <row r="531">
          <cell r="C531" t="str">
            <v>10.11.92.201</v>
          </cell>
          <cell r="D531">
            <v>394129</v>
          </cell>
        </row>
        <row r="532">
          <cell r="C532" t="str">
            <v>10.10.60.200</v>
          </cell>
          <cell r="D532">
            <v>132499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72489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772245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448152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15842</v>
          </cell>
        </row>
        <row r="541">
          <cell r="C541" t="str">
            <v>10.0.29.201</v>
          </cell>
          <cell r="D541">
            <v>194115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11533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834941</v>
          </cell>
        </row>
        <row r="551">
          <cell r="C551" t="str">
            <v>10.0.22.206</v>
          </cell>
          <cell r="D551">
            <v>209099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83782</v>
          </cell>
        </row>
        <row r="554">
          <cell r="C554" t="str">
            <v>10.0.33.201</v>
          </cell>
          <cell r="D554">
            <v>44049</v>
          </cell>
        </row>
        <row r="555">
          <cell r="C555" t="str">
            <v>10.10.251.200</v>
          </cell>
          <cell r="D555">
            <v>324025</v>
          </cell>
        </row>
        <row r="556">
          <cell r="C556" t="str">
            <v>10.10.219.232</v>
          </cell>
          <cell r="D556">
            <v>773686</v>
          </cell>
        </row>
        <row r="557">
          <cell r="C557" t="str">
            <v>10.0.36.45</v>
          </cell>
          <cell r="D557">
            <v>23881</v>
          </cell>
        </row>
        <row r="558">
          <cell r="C558" t="str">
            <v>10.0.20.206</v>
          </cell>
          <cell r="D558">
            <v>56979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263647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24642</v>
          </cell>
        </row>
        <row r="566">
          <cell r="C566" t="str">
            <v>10.11.23.201</v>
          </cell>
          <cell r="D566">
            <v>203965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226681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40595</v>
          </cell>
        </row>
        <row r="573">
          <cell r="C573" t="str">
            <v>10.0.31.200</v>
          </cell>
          <cell r="D573">
            <v>441903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815749</v>
          </cell>
        </row>
        <row r="576">
          <cell r="C576" t="str">
            <v>10.0.33.201</v>
          </cell>
          <cell r="D576">
            <v>44049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116008</v>
          </cell>
        </row>
        <row r="579">
          <cell r="C579" t="str">
            <v>10.10.45.200</v>
          </cell>
          <cell r="D579">
            <v>217799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406110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127762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400016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773772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142846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653785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424085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328278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614672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129499</v>
          </cell>
        </row>
        <row r="22">
          <cell r="C22" t="str">
            <v>10.10.78.200</v>
          </cell>
          <cell r="D22">
            <v>680823</v>
          </cell>
        </row>
        <row r="23">
          <cell r="C23" t="str">
            <v>10.10.90.200</v>
          </cell>
          <cell r="D23">
            <v>666731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451336</v>
          </cell>
        </row>
        <row r="27">
          <cell r="C27" t="str">
            <v>10.0.131.25</v>
          </cell>
          <cell r="D27">
            <v>196565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328042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206897</v>
          </cell>
        </row>
        <row r="42">
          <cell r="C42" t="str">
            <v>10.10.189.201</v>
          </cell>
          <cell r="D42">
            <v>412599</v>
          </cell>
        </row>
        <row r="43">
          <cell r="C43" t="str">
            <v>10.11.9.201</v>
          </cell>
          <cell r="D43">
            <v>127625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519117</v>
          </cell>
        </row>
        <row r="46">
          <cell r="C46" t="str">
            <v>10.0.135.210</v>
          </cell>
          <cell r="D46">
            <v>205484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266989</v>
          </cell>
        </row>
        <row r="51">
          <cell r="C51" t="str">
            <v>10.0.25.201</v>
          </cell>
          <cell r="D51">
            <v>297795</v>
          </cell>
        </row>
        <row r="52">
          <cell r="C52" t="str">
            <v>10.10.23.200</v>
          </cell>
          <cell r="D52">
            <v>130043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968347</v>
          </cell>
        </row>
        <row r="55">
          <cell r="C55" t="str">
            <v>10.0.36.104</v>
          </cell>
          <cell r="D55">
            <v>38721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822889</v>
          </cell>
        </row>
        <row r="58">
          <cell r="C58" t="str">
            <v>10.14.11.203</v>
          </cell>
          <cell r="D58">
            <v>1009007</v>
          </cell>
        </row>
        <row r="59">
          <cell r="C59" t="str">
            <v>10.10.20.200</v>
          </cell>
          <cell r="D59">
            <v>103284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623949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582058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261650</v>
          </cell>
        </row>
        <row r="73">
          <cell r="C73" t="str">
            <v>10.11.1.201</v>
          </cell>
          <cell r="D73">
            <v>163732</v>
          </cell>
        </row>
        <row r="74">
          <cell r="C74" t="str">
            <v>10.11.26.200</v>
          </cell>
          <cell r="D74">
            <v>724131</v>
          </cell>
        </row>
        <row r="75">
          <cell r="C75" t="str">
            <v>10.10.16.201</v>
          </cell>
          <cell r="D75">
            <v>237716</v>
          </cell>
        </row>
        <row r="76">
          <cell r="C76" t="str">
            <v>10.10.43.201</v>
          </cell>
          <cell r="D76">
            <v>502734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428490</v>
          </cell>
        </row>
        <row r="82">
          <cell r="C82" t="str">
            <v>10.14.9.201</v>
          </cell>
          <cell r="D82">
            <v>844724</v>
          </cell>
        </row>
        <row r="83">
          <cell r="C83" t="str">
            <v>10.10.14.240</v>
          </cell>
          <cell r="D83">
            <v>239171</v>
          </cell>
        </row>
        <row r="84">
          <cell r="C84" t="str">
            <v>10.0.15.18</v>
          </cell>
          <cell r="D84">
            <v>79425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613223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152816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259650</v>
          </cell>
        </row>
        <row r="97">
          <cell r="C97" t="str">
            <v>10.11.1.200</v>
          </cell>
          <cell r="D97">
            <v>787852</v>
          </cell>
        </row>
        <row r="98">
          <cell r="C98" t="str">
            <v>10.10.9.200</v>
          </cell>
          <cell r="D98">
            <v>113363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109549</v>
          </cell>
        </row>
        <row r="104">
          <cell r="C104" t="str">
            <v>10.10.171.207</v>
          </cell>
          <cell r="D104">
            <v>260266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902011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418164</v>
          </cell>
        </row>
        <row r="109">
          <cell r="C109" t="str">
            <v>10.10.125.201</v>
          </cell>
          <cell r="D109">
            <v>875633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691850</v>
          </cell>
        </row>
        <row r="115">
          <cell r="C115" t="str">
            <v>10.10.73.210</v>
          </cell>
          <cell r="D115">
            <v>126005</v>
          </cell>
        </row>
        <row r="116">
          <cell r="C116" t="str">
            <v>10.10.135.200</v>
          </cell>
          <cell r="D116">
            <v>159506</v>
          </cell>
        </row>
        <row r="117">
          <cell r="C117" t="str">
            <v>10.14.8.200</v>
          </cell>
          <cell r="D117">
            <v>199831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300874</v>
          </cell>
        </row>
        <row r="122">
          <cell r="C122" t="str">
            <v>10.10.219.231</v>
          </cell>
          <cell r="D122">
            <v>614072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132574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148516</v>
          </cell>
        </row>
        <row r="127">
          <cell r="C127" t="str">
            <v>10.10.53.200</v>
          </cell>
          <cell r="D127">
            <v>486223</v>
          </cell>
        </row>
        <row r="128">
          <cell r="C128" t="str">
            <v>10.10.186.203</v>
          </cell>
          <cell r="D128">
            <v>378405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317536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256147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60158</v>
          </cell>
        </row>
        <row r="138">
          <cell r="C138" t="str">
            <v>10.14.11.202</v>
          </cell>
          <cell r="D138">
            <v>503681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501534</v>
          </cell>
        </row>
        <row r="145">
          <cell r="C145" t="str">
            <v>10.10.60.201</v>
          </cell>
          <cell r="D145">
            <v>670229</v>
          </cell>
        </row>
        <row r="146">
          <cell r="C146" t="str">
            <v>10.0.36.47</v>
          </cell>
          <cell r="D146">
            <v>161406</v>
          </cell>
        </row>
        <row r="147">
          <cell r="C147" t="str">
            <v>10.14.7.200</v>
          </cell>
          <cell r="D147">
            <v>145786</v>
          </cell>
        </row>
        <row r="148">
          <cell r="C148" t="str">
            <v>10.0.36.55</v>
          </cell>
          <cell r="D148">
            <v>285863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666737</v>
          </cell>
        </row>
        <row r="153">
          <cell r="C153" t="str">
            <v>10.14.16.200</v>
          </cell>
          <cell r="D153">
            <v>146890</v>
          </cell>
        </row>
        <row r="154">
          <cell r="C154" t="str">
            <v>10.10.161.201</v>
          </cell>
          <cell r="D154">
            <v>765315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646490</v>
          </cell>
        </row>
        <row r="159">
          <cell r="C159" t="str">
            <v>10.0.29.200</v>
          </cell>
          <cell r="D159">
            <v>87343</v>
          </cell>
        </row>
        <row r="160">
          <cell r="C160" t="str">
            <v>10.10.186.202</v>
          </cell>
          <cell r="D160">
            <v>371326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736793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690508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560137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226789</v>
          </cell>
        </row>
        <row r="170">
          <cell r="C170" t="str">
            <v>10.10.83.203</v>
          </cell>
          <cell r="D170">
            <v>822898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618804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126642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281546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1102148</v>
          </cell>
        </row>
        <row r="183">
          <cell r="C183" t="str">
            <v>10.10.211.202</v>
          </cell>
          <cell r="D183">
            <v>298357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566286</v>
          </cell>
        </row>
        <row r="186">
          <cell r="C186" t="str">
            <v>10.10.171.13</v>
          </cell>
          <cell r="D186">
            <v>287050</v>
          </cell>
        </row>
        <row r="187">
          <cell r="C187" t="str">
            <v>10.10.184.201</v>
          </cell>
          <cell r="D187">
            <v>186680</v>
          </cell>
        </row>
        <row r="188">
          <cell r="C188" t="str">
            <v>10.10.74.200</v>
          </cell>
          <cell r="D188">
            <v>624712</v>
          </cell>
        </row>
        <row r="189">
          <cell r="C189" t="str">
            <v>10.10.10.200</v>
          </cell>
          <cell r="D189">
            <v>568968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60066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415636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242057</v>
          </cell>
        </row>
        <row r="199">
          <cell r="C199" t="str">
            <v>10.11.99.201</v>
          </cell>
          <cell r="D199">
            <v>125141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154079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378010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1131436</v>
          </cell>
        </row>
        <row r="206">
          <cell r="C206" t="str">
            <v>10.10.71.200</v>
          </cell>
          <cell r="D206">
            <v>937114</v>
          </cell>
        </row>
        <row r="207">
          <cell r="C207" t="str">
            <v>10.10.59.200</v>
          </cell>
          <cell r="D207">
            <v>935410</v>
          </cell>
        </row>
        <row r="208">
          <cell r="C208" t="str">
            <v>10.11.24.200</v>
          </cell>
          <cell r="D208">
            <v>402633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137755</v>
          </cell>
        </row>
        <row r="211">
          <cell r="C211" t="str">
            <v>10.10.14.200</v>
          </cell>
          <cell r="D211">
            <v>325305</v>
          </cell>
        </row>
        <row r="212">
          <cell r="C212" t="str">
            <v>10.10.185.200</v>
          </cell>
          <cell r="D212">
            <v>57804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1058990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379344</v>
          </cell>
        </row>
        <row r="219">
          <cell r="C219" t="str">
            <v>10.10.165.202</v>
          </cell>
          <cell r="D219">
            <v>883592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621788</v>
          </cell>
        </row>
        <row r="227">
          <cell r="C227" t="str">
            <v>10.11.37.202</v>
          </cell>
          <cell r="D227">
            <v>315382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154453</v>
          </cell>
        </row>
        <row r="230">
          <cell r="C230" t="str">
            <v>10.11.32.201</v>
          </cell>
          <cell r="D230">
            <v>135874</v>
          </cell>
        </row>
        <row r="231">
          <cell r="C231" t="str">
            <v>10.10.125.203</v>
          </cell>
          <cell r="D231">
            <v>178697</v>
          </cell>
        </row>
        <row r="232">
          <cell r="C232" t="str">
            <v>10.10.81.208</v>
          </cell>
          <cell r="D232">
            <v>324231</v>
          </cell>
        </row>
        <row r="233">
          <cell r="C233" t="str">
            <v>10.11.39.200</v>
          </cell>
          <cell r="D233">
            <v>599743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347219</v>
          </cell>
        </row>
        <row r="240">
          <cell r="C240" t="str">
            <v>10.11.11.202</v>
          </cell>
          <cell r="D240">
            <v>707195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366354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133250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682706</v>
          </cell>
        </row>
        <row r="251">
          <cell r="C251" t="str">
            <v>10.11.32.201</v>
          </cell>
          <cell r="D251">
            <v>135877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310211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892708</v>
          </cell>
        </row>
        <row r="260">
          <cell r="C260" t="str">
            <v>10.0.28.79</v>
          </cell>
          <cell r="D260">
            <v>923785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198398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804474</v>
          </cell>
        </row>
        <row r="267">
          <cell r="C267" t="str">
            <v>10.0.21.201</v>
          </cell>
          <cell r="D267">
            <v>986299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66446</v>
          </cell>
        </row>
        <row r="270">
          <cell r="C270" t="str">
            <v>10.14.47.204</v>
          </cell>
          <cell r="D270">
            <v>283087</v>
          </cell>
        </row>
        <row r="271">
          <cell r="C271" t="str">
            <v>10.10.7.200</v>
          </cell>
          <cell r="D271">
            <v>381360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651262</v>
          </cell>
        </row>
        <row r="275">
          <cell r="C275" t="str">
            <v>10.10.150.200</v>
          </cell>
          <cell r="D275">
            <v>523812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829702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755595</v>
          </cell>
        </row>
        <row r="284">
          <cell r="C284" t="str">
            <v>10.0.28.200</v>
          </cell>
          <cell r="D284">
            <v>145693</v>
          </cell>
        </row>
        <row r="285">
          <cell r="C285" t="str">
            <v>10.0.40.208</v>
          </cell>
          <cell r="D285">
            <v>205170</v>
          </cell>
        </row>
        <row r="286">
          <cell r="C286" t="str">
            <v>10.14.8.201</v>
          </cell>
          <cell r="D286">
            <v>378349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713728</v>
          </cell>
        </row>
        <row r="290">
          <cell r="C290" t="str">
            <v>10.11.92.200</v>
          </cell>
          <cell r="D290">
            <v>119978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643950</v>
          </cell>
        </row>
        <row r="293">
          <cell r="C293" t="str">
            <v>10.10.170.200</v>
          </cell>
          <cell r="D293">
            <v>548719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1175147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73927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117459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659316</v>
          </cell>
        </row>
        <row r="307">
          <cell r="C307" t="str">
            <v>10.10.64.102</v>
          </cell>
          <cell r="D307">
            <v>197898</v>
          </cell>
        </row>
        <row r="308">
          <cell r="C308" t="str">
            <v>10.10.209.200</v>
          </cell>
          <cell r="D308">
            <v>955478</v>
          </cell>
        </row>
        <row r="309">
          <cell r="C309" t="str">
            <v>10.10.129.203</v>
          </cell>
          <cell r="D309">
            <v>163470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743006</v>
          </cell>
        </row>
        <row r="312">
          <cell r="C312" t="str">
            <v>10.0.9.200</v>
          </cell>
          <cell r="D312">
            <v>701201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446671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604743</v>
          </cell>
        </row>
        <row r="317">
          <cell r="C317" t="str">
            <v>10.10.120.200</v>
          </cell>
          <cell r="D317">
            <v>106387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529697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755968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225914</v>
          </cell>
        </row>
        <row r="330">
          <cell r="C330" t="str">
            <v>10.10.75.200</v>
          </cell>
          <cell r="D330">
            <v>170389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210699</v>
          </cell>
        </row>
        <row r="336">
          <cell r="C336" t="str">
            <v>10.10.80.201</v>
          </cell>
          <cell r="D336">
            <v>473111</v>
          </cell>
        </row>
        <row r="337">
          <cell r="C337" t="str">
            <v>10.14.93.201</v>
          </cell>
          <cell r="D337">
            <v>206477</v>
          </cell>
        </row>
        <row r="338">
          <cell r="C338" t="str">
            <v>10.0.111.110</v>
          </cell>
          <cell r="D338">
            <v>264194</v>
          </cell>
        </row>
        <row r="339">
          <cell r="C339" t="str">
            <v>10.10.52.201</v>
          </cell>
          <cell r="D339">
            <v>496232</v>
          </cell>
        </row>
        <row r="340">
          <cell r="C340" t="str">
            <v>10.10.65.201</v>
          </cell>
          <cell r="D340">
            <v>165182</v>
          </cell>
        </row>
        <row r="341">
          <cell r="C341" t="str">
            <v>10.10.189.201</v>
          </cell>
          <cell r="D341">
            <v>412539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339058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705486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171188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521374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439742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161548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272830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180590</v>
          </cell>
        </row>
        <row r="372">
          <cell r="C372" t="str">
            <v>10.10.146.200</v>
          </cell>
          <cell r="D372">
            <v>571063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798607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490128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80410</v>
          </cell>
        </row>
        <row r="383">
          <cell r="C383" t="str">
            <v>10.10.170.202</v>
          </cell>
          <cell r="D383">
            <v>136002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409916</v>
          </cell>
        </row>
        <row r="388">
          <cell r="C388" t="str">
            <v>10.0.29.204</v>
          </cell>
          <cell r="D388">
            <v>437950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1432150</v>
          </cell>
        </row>
        <row r="391">
          <cell r="C391" t="str">
            <v>10.10.206.207</v>
          </cell>
          <cell r="D391">
            <v>249941</v>
          </cell>
        </row>
        <row r="392">
          <cell r="C392" t="str">
            <v>10.10.23.201</v>
          </cell>
          <cell r="D392">
            <v>684022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520654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178101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890300</v>
          </cell>
        </row>
        <row r="401">
          <cell r="C401" t="str">
            <v>10.10.251.201</v>
          </cell>
          <cell r="D401">
            <v>1140595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500950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309001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126486</v>
          </cell>
        </row>
        <row r="412">
          <cell r="C412" t="str">
            <v>10.10.108.203</v>
          </cell>
          <cell r="D412">
            <v>859117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621686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46293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623819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375703</v>
          </cell>
        </row>
        <row r="423">
          <cell r="C423" t="str">
            <v>10.0.36.21</v>
          </cell>
          <cell r="D423">
            <v>226608</v>
          </cell>
        </row>
        <row r="424">
          <cell r="C424" t="str">
            <v>10.14.19.200</v>
          </cell>
          <cell r="D424">
            <v>575385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407489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475068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375774</v>
          </cell>
        </row>
        <row r="433">
          <cell r="C433" t="str">
            <v>10.14.16.201</v>
          </cell>
          <cell r="D433">
            <v>528092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121352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107183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106386</v>
          </cell>
        </row>
        <row r="440">
          <cell r="C440" t="str">
            <v>10.10.97.200</v>
          </cell>
          <cell r="D440">
            <v>271729</v>
          </cell>
        </row>
        <row r="441">
          <cell r="C441" t="str">
            <v>10.0.29.202</v>
          </cell>
          <cell r="D441">
            <v>748759</v>
          </cell>
        </row>
        <row r="442">
          <cell r="C442" t="str">
            <v>10.10.76.200</v>
          </cell>
          <cell r="D442">
            <v>469039</v>
          </cell>
        </row>
        <row r="443">
          <cell r="C443" t="str">
            <v>10.10.63.201</v>
          </cell>
          <cell r="D443">
            <v>723128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66446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207021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167241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97269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266362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139065</v>
          </cell>
        </row>
        <row r="466">
          <cell r="C466" t="str">
            <v>10.14.47.202</v>
          </cell>
          <cell r="D466">
            <v>525891</v>
          </cell>
        </row>
        <row r="467">
          <cell r="C467" t="str">
            <v>10.10.240.201</v>
          </cell>
          <cell r="D467">
            <v>394031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739105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760720</v>
          </cell>
        </row>
        <row r="474">
          <cell r="C474" t="str">
            <v>10.0.13.203</v>
          </cell>
          <cell r="D474">
            <v>832101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154615</v>
          </cell>
        </row>
        <row r="483">
          <cell r="C483" t="str">
            <v>10.0.131.200</v>
          </cell>
          <cell r="D483">
            <v>277172</v>
          </cell>
        </row>
        <row r="484">
          <cell r="C484" t="str">
            <v>10.11.36.200</v>
          </cell>
          <cell r="D484">
            <v>297008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50844</v>
          </cell>
        </row>
        <row r="490">
          <cell r="C490" t="str">
            <v>10.10.91.201</v>
          </cell>
          <cell r="D490">
            <v>343475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1026457</v>
          </cell>
        </row>
        <row r="493">
          <cell r="C493" t="str">
            <v>10.10.158.201</v>
          </cell>
          <cell r="D493">
            <v>125382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206187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544098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281774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38721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155819</v>
          </cell>
        </row>
        <row r="506">
          <cell r="C506" t="str">
            <v>10.11.29.202</v>
          </cell>
          <cell r="D506">
            <v>133250</v>
          </cell>
        </row>
        <row r="507">
          <cell r="C507" t="str">
            <v>10.0.33.200</v>
          </cell>
          <cell r="D507">
            <v>3727</v>
          </cell>
        </row>
        <row r="508">
          <cell r="C508" t="str">
            <v>10.10.129.201</v>
          </cell>
          <cell r="D508">
            <v>630450</v>
          </cell>
        </row>
        <row r="509">
          <cell r="C509" t="str">
            <v>10.14.51.200</v>
          </cell>
          <cell r="D509">
            <v>752065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313238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55699</v>
          </cell>
        </row>
        <row r="516">
          <cell r="C516" t="str">
            <v>10.10.10.201</v>
          </cell>
          <cell r="D516">
            <v>102861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119040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968436</v>
          </cell>
        </row>
        <row r="527">
          <cell r="C527" t="str">
            <v>10.10.80.200</v>
          </cell>
          <cell r="D527">
            <v>795619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671497</v>
          </cell>
        </row>
        <row r="530">
          <cell r="C530" t="str">
            <v>10.10.17.201</v>
          </cell>
          <cell r="D530">
            <v>433057</v>
          </cell>
        </row>
        <row r="531">
          <cell r="C531" t="str">
            <v>10.11.92.201</v>
          </cell>
          <cell r="D531">
            <v>394683</v>
          </cell>
        </row>
        <row r="532">
          <cell r="C532" t="str">
            <v>10.10.60.200</v>
          </cell>
          <cell r="D532">
            <v>132574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72776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773305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449414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16396</v>
          </cell>
        </row>
        <row r="541">
          <cell r="C541" t="str">
            <v>10.0.29.201</v>
          </cell>
          <cell r="D541">
            <v>194522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11547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836015</v>
          </cell>
        </row>
        <row r="551">
          <cell r="C551" t="str">
            <v>10.0.22.206</v>
          </cell>
          <cell r="D551">
            <v>209329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83890</v>
          </cell>
        </row>
        <row r="554">
          <cell r="C554" t="str">
            <v>10.0.33.201</v>
          </cell>
          <cell r="D554">
            <v>44051</v>
          </cell>
        </row>
        <row r="555">
          <cell r="C555" t="str">
            <v>10.10.251.200</v>
          </cell>
          <cell r="D555">
            <v>324060</v>
          </cell>
        </row>
        <row r="556">
          <cell r="C556" t="str">
            <v>10.10.219.232</v>
          </cell>
          <cell r="D556">
            <v>775295</v>
          </cell>
        </row>
        <row r="557">
          <cell r="C557" t="str">
            <v>10.0.36.45</v>
          </cell>
          <cell r="D557">
            <v>23881</v>
          </cell>
        </row>
        <row r="558">
          <cell r="C558" t="str">
            <v>10.0.20.206</v>
          </cell>
          <cell r="D558">
            <v>57167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264194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24786</v>
          </cell>
        </row>
        <row r="566">
          <cell r="C566" t="str">
            <v>10.11.23.201</v>
          </cell>
          <cell r="D566">
            <v>204023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226885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40789</v>
          </cell>
        </row>
        <row r="573">
          <cell r="C573" t="str">
            <v>10.0.31.200</v>
          </cell>
          <cell r="D573">
            <v>442006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818390</v>
          </cell>
        </row>
        <row r="576">
          <cell r="C576" t="str">
            <v>10.0.33.201</v>
          </cell>
          <cell r="D576">
            <v>44051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116402</v>
          </cell>
        </row>
        <row r="579">
          <cell r="C579" t="str">
            <v>10.10.45.200</v>
          </cell>
          <cell r="D579">
            <v>218383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406346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127790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400863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774860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143133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654749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425496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328787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615623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129600</v>
          </cell>
        </row>
        <row r="22">
          <cell r="C22" t="str">
            <v>10.10.78.200</v>
          </cell>
          <cell r="D22">
            <v>681416</v>
          </cell>
        </row>
        <row r="23">
          <cell r="C23" t="str">
            <v>10.10.90.200</v>
          </cell>
          <cell r="D23">
            <v>668102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451707</v>
          </cell>
        </row>
        <row r="27">
          <cell r="C27" t="str">
            <v>10.0.131.25</v>
          </cell>
          <cell r="D27">
            <v>196642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328185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206900</v>
          </cell>
        </row>
        <row r="42">
          <cell r="C42" t="str">
            <v>10.10.189.201</v>
          </cell>
          <cell r="D42">
            <v>413778</v>
          </cell>
        </row>
        <row r="43">
          <cell r="C43" t="str">
            <v>10.11.9.201</v>
          </cell>
          <cell r="D43">
            <v>127647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519133</v>
          </cell>
        </row>
        <row r="46">
          <cell r="C46" t="str">
            <v>10.0.135.210</v>
          </cell>
          <cell r="D46">
            <v>205579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267494</v>
          </cell>
        </row>
        <row r="51">
          <cell r="C51" t="str">
            <v>10.0.25.201</v>
          </cell>
          <cell r="D51">
            <v>297896</v>
          </cell>
        </row>
        <row r="52">
          <cell r="C52" t="str">
            <v>10.10.23.200</v>
          </cell>
          <cell r="D52">
            <v>130106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971054</v>
          </cell>
        </row>
        <row r="55">
          <cell r="C55" t="str">
            <v>10.0.36.104</v>
          </cell>
          <cell r="D55">
            <v>38789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823585</v>
          </cell>
        </row>
        <row r="58">
          <cell r="C58" t="str">
            <v>10.14.11.203</v>
          </cell>
          <cell r="D58">
            <v>1010771</v>
          </cell>
        </row>
        <row r="59">
          <cell r="C59" t="str">
            <v>10.10.20.200</v>
          </cell>
          <cell r="D59">
            <v>103355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625598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582644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262226</v>
          </cell>
        </row>
        <row r="73">
          <cell r="C73" t="str">
            <v>10.11.1.201</v>
          </cell>
          <cell r="D73">
            <v>163796</v>
          </cell>
        </row>
        <row r="74">
          <cell r="C74" t="str">
            <v>10.11.26.200</v>
          </cell>
          <cell r="D74">
            <v>724727</v>
          </cell>
        </row>
        <row r="75">
          <cell r="C75" t="str">
            <v>10.10.16.201</v>
          </cell>
          <cell r="D75">
            <v>238304</v>
          </cell>
        </row>
        <row r="76">
          <cell r="C76" t="str">
            <v>10.10.43.201</v>
          </cell>
          <cell r="D76">
            <v>503364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429030</v>
          </cell>
        </row>
        <row r="82">
          <cell r="C82" t="str">
            <v>10.14.9.201</v>
          </cell>
          <cell r="D82">
            <v>846214</v>
          </cell>
        </row>
        <row r="83">
          <cell r="C83" t="str">
            <v>10.10.14.240</v>
          </cell>
          <cell r="D83">
            <v>239286</v>
          </cell>
        </row>
        <row r="84">
          <cell r="C84" t="str">
            <v>10.0.15.18</v>
          </cell>
          <cell r="D84">
            <v>81506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614095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153161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260172</v>
          </cell>
        </row>
        <row r="97">
          <cell r="C97" t="str">
            <v>10.11.1.200</v>
          </cell>
          <cell r="D97">
            <v>789089</v>
          </cell>
        </row>
        <row r="98">
          <cell r="C98" t="str">
            <v>10.10.9.200</v>
          </cell>
          <cell r="D98">
            <v>113411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109584</v>
          </cell>
        </row>
        <row r="104">
          <cell r="C104" t="str">
            <v>10.10.171.207</v>
          </cell>
          <cell r="D104">
            <v>260858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904333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418782</v>
          </cell>
        </row>
        <row r="109">
          <cell r="C109" t="str">
            <v>10.10.125.201</v>
          </cell>
          <cell r="D109">
            <v>876371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693251</v>
          </cell>
        </row>
        <row r="115">
          <cell r="C115" t="str">
            <v>10.10.73.210</v>
          </cell>
          <cell r="D115">
            <v>126258</v>
          </cell>
        </row>
        <row r="116">
          <cell r="C116" t="str">
            <v>10.10.135.200</v>
          </cell>
          <cell r="D116">
            <v>159708</v>
          </cell>
        </row>
        <row r="117">
          <cell r="C117" t="str">
            <v>10.14.8.200</v>
          </cell>
          <cell r="D117">
            <v>200099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300895</v>
          </cell>
        </row>
        <row r="122">
          <cell r="C122" t="str">
            <v>10.10.219.231</v>
          </cell>
          <cell r="D122">
            <v>614426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132748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148814</v>
          </cell>
        </row>
        <row r="127">
          <cell r="C127" t="str">
            <v>10.10.53.200</v>
          </cell>
          <cell r="D127">
            <v>487286</v>
          </cell>
        </row>
        <row r="128">
          <cell r="C128" t="str">
            <v>10.10.186.203</v>
          </cell>
          <cell r="D128">
            <v>378506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317928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256476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60171</v>
          </cell>
        </row>
        <row r="138">
          <cell r="C138" t="str">
            <v>10.14.11.202</v>
          </cell>
          <cell r="D138">
            <v>504156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502121</v>
          </cell>
        </row>
        <row r="145">
          <cell r="C145" t="str">
            <v>10.10.60.201</v>
          </cell>
          <cell r="D145">
            <v>671195</v>
          </cell>
        </row>
        <row r="146">
          <cell r="C146" t="str">
            <v>10.0.36.47</v>
          </cell>
          <cell r="D146">
            <v>161418</v>
          </cell>
        </row>
        <row r="147">
          <cell r="C147" t="str">
            <v>10.14.7.200</v>
          </cell>
          <cell r="D147">
            <v>145932</v>
          </cell>
        </row>
        <row r="148">
          <cell r="C148" t="str">
            <v>10.0.36.55</v>
          </cell>
          <cell r="D148">
            <v>285880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668112</v>
          </cell>
        </row>
        <row r="153">
          <cell r="C153" t="str">
            <v>10.14.16.200</v>
          </cell>
          <cell r="D153">
            <v>147252</v>
          </cell>
        </row>
        <row r="154">
          <cell r="C154" t="str">
            <v>10.10.161.201</v>
          </cell>
          <cell r="D154">
            <v>766823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646710</v>
          </cell>
        </row>
        <row r="159">
          <cell r="C159" t="str">
            <v>10.0.29.200</v>
          </cell>
          <cell r="D159">
            <v>88629</v>
          </cell>
        </row>
        <row r="160">
          <cell r="C160" t="str">
            <v>10.10.186.202</v>
          </cell>
          <cell r="D160">
            <v>372111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737488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691766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560582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226993</v>
          </cell>
        </row>
        <row r="170">
          <cell r="C170" t="str">
            <v>10.10.83.203</v>
          </cell>
          <cell r="D170">
            <v>824937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620492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131016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281841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1104267</v>
          </cell>
        </row>
        <row r="183">
          <cell r="C183" t="str">
            <v>10.10.211.202</v>
          </cell>
          <cell r="D183">
            <v>299267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566732</v>
          </cell>
        </row>
        <row r="186">
          <cell r="C186" t="str">
            <v>10.10.171.13</v>
          </cell>
          <cell r="D186">
            <v>287720</v>
          </cell>
        </row>
        <row r="187">
          <cell r="C187" t="str">
            <v>10.10.184.201</v>
          </cell>
          <cell r="D187">
            <v>187050</v>
          </cell>
        </row>
        <row r="188">
          <cell r="C188" t="str">
            <v>10.10.74.200</v>
          </cell>
          <cell r="D188">
            <v>625900</v>
          </cell>
        </row>
        <row r="189">
          <cell r="C189" t="str">
            <v>10.10.10.200</v>
          </cell>
          <cell r="D189">
            <v>570048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60114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415725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242801</v>
          </cell>
        </row>
        <row r="199">
          <cell r="C199" t="str">
            <v>10.11.99.201</v>
          </cell>
          <cell r="D199">
            <v>125256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154234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378010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1132304</v>
          </cell>
        </row>
        <row r="206">
          <cell r="C206" t="str">
            <v>10.10.71.200</v>
          </cell>
          <cell r="D206">
            <v>938949</v>
          </cell>
        </row>
        <row r="207">
          <cell r="C207" t="str">
            <v>10.10.59.200</v>
          </cell>
          <cell r="D207">
            <v>936312</v>
          </cell>
        </row>
        <row r="208">
          <cell r="C208" t="str">
            <v>10.11.24.200</v>
          </cell>
          <cell r="D208">
            <v>403487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137862</v>
          </cell>
        </row>
        <row r="211">
          <cell r="C211" t="str">
            <v>10.10.14.200</v>
          </cell>
          <cell r="D211">
            <v>325732</v>
          </cell>
        </row>
        <row r="212">
          <cell r="C212" t="str">
            <v>10.10.185.200</v>
          </cell>
          <cell r="D212">
            <v>57810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1060793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379792</v>
          </cell>
        </row>
        <row r="219">
          <cell r="C219" t="str">
            <v>10.10.165.202</v>
          </cell>
          <cell r="D219">
            <v>885439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621987</v>
          </cell>
        </row>
        <row r="227">
          <cell r="C227" t="str">
            <v>10.11.37.202</v>
          </cell>
          <cell r="D227">
            <v>315857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154466</v>
          </cell>
        </row>
        <row r="230">
          <cell r="C230" t="str">
            <v>10.11.32.201</v>
          </cell>
          <cell r="D230">
            <v>136086</v>
          </cell>
        </row>
        <row r="231">
          <cell r="C231" t="str">
            <v>10.10.125.203</v>
          </cell>
          <cell r="D231">
            <v>178758</v>
          </cell>
        </row>
        <row r="232">
          <cell r="C232" t="str">
            <v>10.10.81.208</v>
          </cell>
          <cell r="D232">
            <v>324810</v>
          </cell>
        </row>
        <row r="233">
          <cell r="C233" t="str">
            <v>10.11.39.200</v>
          </cell>
          <cell r="D233">
            <v>600496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347845</v>
          </cell>
        </row>
        <row r="240">
          <cell r="C240" t="str">
            <v>10.11.11.202</v>
          </cell>
          <cell r="D240">
            <v>708448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366468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133315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683481</v>
          </cell>
        </row>
        <row r="251">
          <cell r="C251" t="str">
            <v>10.11.32.201</v>
          </cell>
          <cell r="D251">
            <v>136091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310625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894178</v>
          </cell>
        </row>
        <row r="260">
          <cell r="C260" t="str">
            <v>10.0.28.79</v>
          </cell>
          <cell r="D260">
            <v>931262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198510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806212</v>
          </cell>
        </row>
        <row r="267">
          <cell r="C267" t="str">
            <v>10.0.21.201</v>
          </cell>
          <cell r="D267">
            <v>987264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66608</v>
          </cell>
        </row>
        <row r="270">
          <cell r="C270" t="str">
            <v>10.14.47.204</v>
          </cell>
          <cell r="D270">
            <v>283091</v>
          </cell>
        </row>
        <row r="271">
          <cell r="C271" t="str">
            <v>10.10.7.200</v>
          </cell>
          <cell r="D271">
            <v>382511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653416</v>
          </cell>
        </row>
        <row r="275">
          <cell r="C275" t="str">
            <v>10.10.150.200</v>
          </cell>
          <cell r="D275">
            <v>524604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832123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756938</v>
          </cell>
        </row>
        <row r="284">
          <cell r="C284" t="str">
            <v>10.0.28.200</v>
          </cell>
          <cell r="D284">
            <v>146070</v>
          </cell>
        </row>
        <row r="285">
          <cell r="C285" t="str">
            <v>10.0.40.208</v>
          </cell>
          <cell r="D285">
            <v>205489</v>
          </cell>
        </row>
        <row r="286">
          <cell r="C286" t="str">
            <v>10.14.8.201</v>
          </cell>
          <cell r="D286">
            <v>378903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715143</v>
          </cell>
        </row>
        <row r="290">
          <cell r="C290" t="str">
            <v>10.11.92.200</v>
          </cell>
          <cell r="D290">
            <v>120072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646037</v>
          </cell>
        </row>
        <row r="293">
          <cell r="C293" t="str">
            <v>10.10.170.200</v>
          </cell>
          <cell r="D293">
            <v>550632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1178478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74117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117718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660486</v>
          </cell>
        </row>
        <row r="307">
          <cell r="C307" t="str">
            <v>10.10.64.102</v>
          </cell>
          <cell r="D307">
            <v>198302</v>
          </cell>
        </row>
        <row r="308">
          <cell r="C308" t="str">
            <v>10.10.209.200</v>
          </cell>
          <cell r="D308">
            <v>957215</v>
          </cell>
        </row>
        <row r="309">
          <cell r="C309" t="str">
            <v>10.10.129.203</v>
          </cell>
          <cell r="D309">
            <v>163544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744674</v>
          </cell>
        </row>
        <row r="312">
          <cell r="C312" t="str">
            <v>10.0.9.200</v>
          </cell>
          <cell r="D312">
            <v>701210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447063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606045</v>
          </cell>
        </row>
        <row r="317">
          <cell r="C317" t="str">
            <v>10.10.120.200</v>
          </cell>
          <cell r="D317">
            <v>106792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530589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757453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226147</v>
          </cell>
        </row>
        <row r="330">
          <cell r="C330" t="str">
            <v>10.10.75.200</v>
          </cell>
          <cell r="D330">
            <v>170491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211051</v>
          </cell>
        </row>
        <row r="336">
          <cell r="C336" t="str">
            <v>10.10.80.201</v>
          </cell>
          <cell r="D336">
            <v>473237</v>
          </cell>
        </row>
        <row r="337">
          <cell r="C337" t="str">
            <v>10.14.93.201</v>
          </cell>
          <cell r="D337">
            <v>206633</v>
          </cell>
        </row>
        <row r="338">
          <cell r="C338" t="str">
            <v>10.0.111.110</v>
          </cell>
          <cell r="D338">
            <v>264436</v>
          </cell>
        </row>
        <row r="339">
          <cell r="C339" t="str">
            <v>10.10.52.201</v>
          </cell>
          <cell r="D339">
            <v>497265</v>
          </cell>
        </row>
        <row r="340">
          <cell r="C340" t="str">
            <v>10.10.65.201</v>
          </cell>
          <cell r="D340">
            <v>165303</v>
          </cell>
        </row>
        <row r="341">
          <cell r="C341" t="str">
            <v>10.10.189.201</v>
          </cell>
          <cell r="D341">
            <v>413714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339243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706042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171402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521906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441453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161718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273644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180739</v>
          </cell>
        </row>
        <row r="372">
          <cell r="C372" t="str">
            <v>10.10.146.200</v>
          </cell>
          <cell r="D372">
            <v>572258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799041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491144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80908</v>
          </cell>
        </row>
        <row r="383">
          <cell r="C383" t="str">
            <v>10.10.170.202</v>
          </cell>
          <cell r="D383">
            <v>136005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410358</v>
          </cell>
        </row>
        <row r="388">
          <cell r="C388" t="str">
            <v>10.0.29.204</v>
          </cell>
          <cell r="D388">
            <v>438085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1432370</v>
          </cell>
        </row>
        <row r="391">
          <cell r="C391" t="str">
            <v>10.10.206.207</v>
          </cell>
          <cell r="D391">
            <v>250146</v>
          </cell>
        </row>
        <row r="392">
          <cell r="C392" t="str">
            <v>10.10.23.201</v>
          </cell>
          <cell r="D392">
            <v>684948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521437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178319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891673</v>
          </cell>
        </row>
        <row r="401">
          <cell r="C401" t="str">
            <v>10.10.251.201</v>
          </cell>
          <cell r="D401">
            <v>1142180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501103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309769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126565</v>
          </cell>
        </row>
        <row r="412">
          <cell r="C412" t="str">
            <v>10.10.108.203</v>
          </cell>
          <cell r="D412">
            <v>860417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621903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46362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625517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376015</v>
          </cell>
        </row>
        <row r="423">
          <cell r="C423" t="str">
            <v>10.0.36.21</v>
          </cell>
          <cell r="D423">
            <v>227470</v>
          </cell>
        </row>
        <row r="424">
          <cell r="C424" t="str">
            <v>10.14.19.200</v>
          </cell>
          <cell r="D424">
            <v>576314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407517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476305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375791</v>
          </cell>
        </row>
        <row r="433">
          <cell r="C433" t="str">
            <v>10.14.16.201</v>
          </cell>
          <cell r="D433">
            <v>529333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121445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107282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106792</v>
          </cell>
        </row>
        <row r="440">
          <cell r="C440" t="str">
            <v>10.10.97.200</v>
          </cell>
          <cell r="D440">
            <v>271938</v>
          </cell>
        </row>
        <row r="441">
          <cell r="C441" t="str">
            <v>10.0.29.202</v>
          </cell>
          <cell r="D441">
            <v>749129</v>
          </cell>
        </row>
        <row r="442">
          <cell r="C442" t="str">
            <v>10.10.76.200</v>
          </cell>
          <cell r="D442">
            <v>469592</v>
          </cell>
        </row>
        <row r="443">
          <cell r="C443" t="str">
            <v>10.10.63.201</v>
          </cell>
          <cell r="D443">
            <v>724349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66608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207214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167712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97324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266751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139174</v>
          </cell>
        </row>
        <row r="466">
          <cell r="C466" t="str">
            <v>10.14.47.202</v>
          </cell>
          <cell r="D466">
            <v>526438</v>
          </cell>
        </row>
        <row r="467">
          <cell r="C467" t="str">
            <v>10.10.240.201</v>
          </cell>
          <cell r="D467">
            <v>394554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740442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761990</v>
          </cell>
        </row>
        <row r="474">
          <cell r="C474" t="str">
            <v>10.0.13.203</v>
          </cell>
          <cell r="D474">
            <v>832926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154947</v>
          </cell>
        </row>
        <row r="483">
          <cell r="C483" t="str">
            <v>10.0.131.200</v>
          </cell>
          <cell r="D483">
            <v>277214</v>
          </cell>
        </row>
        <row r="484">
          <cell r="C484" t="str">
            <v>10.11.36.200</v>
          </cell>
          <cell r="D484">
            <v>297143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50917</v>
          </cell>
        </row>
        <row r="490">
          <cell r="C490" t="str">
            <v>10.10.91.201</v>
          </cell>
          <cell r="D490">
            <v>343733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1028109</v>
          </cell>
        </row>
        <row r="493">
          <cell r="C493" t="str">
            <v>10.10.158.201</v>
          </cell>
          <cell r="D493">
            <v>125546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206223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544242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283258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38789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155924</v>
          </cell>
        </row>
        <row r="506">
          <cell r="C506" t="str">
            <v>10.11.29.202</v>
          </cell>
          <cell r="D506">
            <v>133315</v>
          </cell>
        </row>
        <row r="507">
          <cell r="C507" t="str">
            <v>10.0.33.200</v>
          </cell>
          <cell r="D507">
            <v>3727</v>
          </cell>
        </row>
        <row r="508">
          <cell r="C508" t="str">
            <v>10.10.129.201</v>
          </cell>
          <cell r="D508">
            <v>631349</v>
          </cell>
        </row>
        <row r="509">
          <cell r="C509" t="str">
            <v>10.14.51.200</v>
          </cell>
          <cell r="D509">
            <v>753529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314444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55715</v>
          </cell>
        </row>
        <row r="516">
          <cell r="C516" t="str">
            <v>10.10.10.201</v>
          </cell>
          <cell r="D516">
            <v>102944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119116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971155</v>
          </cell>
        </row>
        <row r="527">
          <cell r="C527" t="str">
            <v>10.10.80.200</v>
          </cell>
          <cell r="D527">
            <v>797051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672671</v>
          </cell>
        </row>
        <row r="530">
          <cell r="C530" t="str">
            <v>10.10.17.201</v>
          </cell>
          <cell r="D530">
            <v>433547</v>
          </cell>
        </row>
        <row r="531">
          <cell r="C531" t="str">
            <v>10.11.92.201</v>
          </cell>
          <cell r="D531">
            <v>395090</v>
          </cell>
        </row>
        <row r="532">
          <cell r="C532" t="str">
            <v>10.10.60.200</v>
          </cell>
          <cell r="D532">
            <v>132748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72892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774195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450260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17393</v>
          </cell>
        </row>
        <row r="541">
          <cell r="C541" t="str">
            <v>10.0.29.201</v>
          </cell>
          <cell r="D541">
            <v>194865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11560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837002</v>
          </cell>
        </row>
        <row r="551">
          <cell r="C551" t="str">
            <v>10.0.22.206</v>
          </cell>
          <cell r="D551">
            <v>209518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84147</v>
          </cell>
        </row>
        <row r="554">
          <cell r="C554" t="str">
            <v>10.0.33.201</v>
          </cell>
          <cell r="D554">
            <v>44051</v>
          </cell>
        </row>
        <row r="555">
          <cell r="C555" t="str">
            <v>10.10.251.200</v>
          </cell>
          <cell r="D555">
            <v>324227</v>
          </cell>
        </row>
        <row r="556">
          <cell r="C556" t="str">
            <v>10.10.219.232</v>
          </cell>
          <cell r="D556">
            <v>776415</v>
          </cell>
        </row>
        <row r="557">
          <cell r="C557" t="str">
            <v>10.0.36.45</v>
          </cell>
          <cell r="D557">
            <v>23918</v>
          </cell>
        </row>
        <row r="558">
          <cell r="C558" t="str">
            <v>10.0.20.206</v>
          </cell>
          <cell r="D558">
            <v>57258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264434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24981</v>
          </cell>
        </row>
        <row r="566">
          <cell r="C566" t="str">
            <v>10.11.23.201</v>
          </cell>
          <cell r="D566">
            <v>204056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227074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40874</v>
          </cell>
        </row>
        <row r="573">
          <cell r="C573" t="str">
            <v>10.0.31.200</v>
          </cell>
          <cell r="D573">
            <v>442275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820830</v>
          </cell>
        </row>
        <row r="576">
          <cell r="C576" t="str">
            <v>10.0.33.201</v>
          </cell>
          <cell r="D576">
            <v>44051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116517</v>
          </cell>
        </row>
        <row r="579">
          <cell r="C579" t="str">
            <v>10.10.45.200</v>
          </cell>
          <cell r="D579">
            <v>218691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406500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127798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401683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776122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143579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656094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427674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329340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616698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129746</v>
          </cell>
        </row>
        <row r="22">
          <cell r="C22" t="str">
            <v>10.10.78.200</v>
          </cell>
          <cell r="D22">
            <v>682125</v>
          </cell>
        </row>
        <row r="23">
          <cell r="C23" t="str">
            <v>10.10.90.200</v>
          </cell>
          <cell r="D23">
            <v>669864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452188</v>
          </cell>
        </row>
        <row r="27">
          <cell r="C27" t="str">
            <v>10.0.131.25</v>
          </cell>
          <cell r="D27">
            <v>196692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328478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206990</v>
          </cell>
        </row>
        <row r="42">
          <cell r="C42" t="str">
            <v>10.10.189.201</v>
          </cell>
          <cell r="D42">
            <v>415199</v>
          </cell>
        </row>
        <row r="43">
          <cell r="C43" t="str">
            <v>10.11.9.201</v>
          </cell>
          <cell r="D43">
            <v>127673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519167</v>
          </cell>
        </row>
        <row r="46">
          <cell r="C46" t="str">
            <v>10.0.135.210</v>
          </cell>
          <cell r="D46">
            <v>206073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268027</v>
          </cell>
        </row>
        <row r="51">
          <cell r="C51" t="str">
            <v>10.0.25.201</v>
          </cell>
          <cell r="D51">
            <v>298192</v>
          </cell>
        </row>
        <row r="52">
          <cell r="C52" t="str">
            <v>10.10.23.200</v>
          </cell>
          <cell r="D52">
            <v>130283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975753</v>
          </cell>
        </row>
        <row r="55">
          <cell r="C55" t="str">
            <v>10.0.36.104</v>
          </cell>
          <cell r="D55">
            <v>38913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824452</v>
          </cell>
        </row>
        <row r="58">
          <cell r="C58" t="str">
            <v>10.14.11.203</v>
          </cell>
          <cell r="D58">
            <v>1013488</v>
          </cell>
        </row>
        <row r="59">
          <cell r="C59" t="str">
            <v>10.10.20.200</v>
          </cell>
          <cell r="D59">
            <v>103432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627590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583396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263050</v>
          </cell>
        </row>
        <row r="73">
          <cell r="C73" t="str">
            <v>10.11.1.201</v>
          </cell>
          <cell r="D73">
            <v>163907</v>
          </cell>
        </row>
        <row r="74">
          <cell r="C74" t="str">
            <v>10.11.26.200</v>
          </cell>
          <cell r="D74">
            <v>725865</v>
          </cell>
        </row>
        <row r="75">
          <cell r="C75" t="str">
            <v>10.10.16.201</v>
          </cell>
          <cell r="D75">
            <v>239118</v>
          </cell>
        </row>
        <row r="76">
          <cell r="C76" t="str">
            <v>10.10.43.201</v>
          </cell>
          <cell r="D76">
            <v>504013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429875</v>
          </cell>
        </row>
        <row r="82">
          <cell r="C82" t="str">
            <v>10.14.9.201</v>
          </cell>
          <cell r="D82">
            <v>847965</v>
          </cell>
        </row>
        <row r="83">
          <cell r="C83" t="str">
            <v>10.10.14.240</v>
          </cell>
          <cell r="D83">
            <v>239370</v>
          </cell>
        </row>
        <row r="84">
          <cell r="C84" t="str">
            <v>10.0.15.18</v>
          </cell>
          <cell r="D84">
            <v>85547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615110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153607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260365</v>
          </cell>
        </row>
        <row r="97">
          <cell r="C97" t="str">
            <v>10.11.1.200</v>
          </cell>
          <cell r="D97">
            <v>791013</v>
          </cell>
        </row>
        <row r="98">
          <cell r="C98" t="str">
            <v>10.10.9.200</v>
          </cell>
          <cell r="D98">
            <v>113508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109623</v>
          </cell>
        </row>
        <row r="104">
          <cell r="C104" t="str">
            <v>10.10.171.207</v>
          </cell>
          <cell r="D104">
            <v>261137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906910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419602</v>
          </cell>
        </row>
        <row r="109">
          <cell r="C109" t="str">
            <v>10.10.125.201</v>
          </cell>
          <cell r="D109">
            <v>877851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695122</v>
          </cell>
        </row>
        <row r="115">
          <cell r="C115" t="str">
            <v>10.10.73.210</v>
          </cell>
          <cell r="D115">
            <v>126619</v>
          </cell>
        </row>
        <row r="116">
          <cell r="C116" t="str">
            <v>10.10.135.200</v>
          </cell>
          <cell r="D116">
            <v>159770</v>
          </cell>
        </row>
        <row r="117">
          <cell r="C117" t="str">
            <v>10.14.8.200</v>
          </cell>
          <cell r="D117">
            <v>200322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300909</v>
          </cell>
        </row>
        <row r="122">
          <cell r="C122" t="str">
            <v>10.10.219.231</v>
          </cell>
          <cell r="D122">
            <v>614848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132828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149162</v>
          </cell>
        </row>
        <row r="127">
          <cell r="C127" t="str">
            <v>10.10.53.200</v>
          </cell>
          <cell r="D127">
            <v>488549</v>
          </cell>
        </row>
        <row r="128">
          <cell r="C128" t="str">
            <v>10.10.186.203</v>
          </cell>
          <cell r="D128">
            <v>378611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318555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256845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60184</v>
          </cell>
        </row>
        <row r="138">
          <cell r="C138" t="str">
            <v>10.14.11.202</v>
          </cell>
          <cell r="D138">
            <v>504735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502675</v>
          </cell>
        </row>
        <row r="145">
          <cell r="C145" t="str">
            <v>10.10.60.201</v>
          </cell>
          <cell r="D145">
            <v>672988</v>
          </cell>
        </row>
        <row r="146">
          <cell r="C146" t="str">
            <v>10.0.36.47</v>
          </cell>
          <cell r="D146">
            <v>161482</v>
          </cell>
        </row>
        <row r="147">
          <cell r="C147" t="str">
            <v>10.14.7.200</v>
          </cell>
          <cell r="D147">
            <v>146090</v>
          </cell>
        </row>
        <row r="148">
          <cell r="C148" t="str">
            <v>10.0.36.55</v>
          </cell>
          <cell r="D148">
            <v>286181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669869</v>
          </cell>
        </row>
        <row r="153">
          <cell r="C153" t="str">
            <v>10.14.16.200</v>
          </cell>
          <cell r="D153">
            <v>147938</v>
          </cell>
        </row>
        <row r="154">
          <cell r="C154" t="str">
            <v>10.10.161.201</v>
          </cell>
          <cell r="D154">
            <v>768254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647237</v>
          </cell>
        </row>
        <row r="159">
          <cell r="C159" t="str">
            <v>10.0.29.200</v>
          </cell>
          <cell r="D159">
            <v>91719</v>
          </cell>
        </row>
        <row r="160">
          <cell r="C160" t="str">
            <v>10.10.186.202</v>
          </cell>
          <cell r="D160">
            <v>373162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738910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693175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561233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227278</v>
          </cell>
        </row>
        <row r="170">
          <cell r="C170" t="str">
            <v>10.10.83.203</v>
          </cell>
          <cell r="D170">
            <v>827708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622535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136113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282653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1106908</v>
          </cell>
        </row>
        <row r="183">
          <cell r="C183" t="str">
            <v>10.10.211.202</v>
          </cell>
          <cell r="D183">
            <v>300315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567301</v>
          </cell>
        </row>
        <row r="186">
          <cell r="C186" t="str">
            <v>10.10.171.13</v>
          </cell>
          <cell r="D186">
            <v>288066</v>
          </cell>
        </row>
        <row r="187">
          <cell r="C187" t="str">
            <v>10.10.184.201</v>
          </cell>
          <cell r="D187">
            <v>187224</v>
          </cell>
        </row>
        <row r="188">
          <cell r="C188" t="str">
            <v>10.10.74.200</v>
          </cell>
          <cell r="D188">
            <v>627361</v>
          </cell>
        </row>
        <row r="189">
          <cell r="C189" t="str">
            <v>10.10.10.200</v>
          </cell>
          <cell r="D189">
            <v>571356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60174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415787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243542</v>
          </cell>
        </row>
        <row r="199">
          <cell r="C199" t="str">
            <v>10.11.99.201</v>
          </cell>
          <cell r="D199">
            <v>125525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154290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378029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1133878</v>
          </cell>
        </row>
        <row r="206">
          <cell r="C206" t="str">
            <v>10.10.71.200</v>
          </cell>
          <cell r="D206">
            <v>941688</v>
          </cell>
        </row>
        <row r="207">
          <cell r="C207" t="str">
            <v>10.10.59.200</v>
          </cell>
          <cell r="D207">
            <v>937678</v>
          </cell>
        </row>
        <row r="208">
          <cell r="C208" t="str">
            <v>10.11.24.200</v>
          </cell>
          <cell r="D208">
            <v>404685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138020</v>
          </cell>
        </row>
        <row r="211">
          <cell r="C211" t="str">
            <v>10.10.14.200</v>
          </cell>
          <cell r="D211">
            <v>326218</v>
          </cell>
        </row>
        <row r="212">
          <cell r="C212" t="str">
            <v>10.10.185.200</v>
          </cell>
          <cell r="D212">
            <v>57845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1063255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380532</v>
          </cell>
        </row>
        <row r="219">
          <cell r="C219" t="str">
            <v>10.10.165.202</v>
          </cell>
          <cell r="D219">
            <v>887401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622190</v>
          </cell>
        </row>
        <row r="227">
          <cell r="C227" t="str">
            <v>10.11.37.202</v>
          </cell>
          <cell r="D227">
            <v>316380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154567</v>
          </cell>
        </row>
        <row r="230">
          <cell r="C230" t="str">
            <v>10.11.32.201</v>
          </cell>
          <cell r="D230">
            <v>136279</v>
          </cell>
        </row>
        <row r="231">
          <cell r="C231" t="str">
            <v>10.10.125.203</v>
          </cell>
          <cell r="D231">
            <v>178815</v>
          </cell>
        </row>
        <row r="232">
          <cell r="C232" t="str">
            <v>10.10.81.208</v>
          </cell>
          <cell r="D232">
            <v>325671</v>
          </cell>
        </row>
        <row r="233">
          <cell r="C233" t="str">
            <v>10.11.39.200</v>
          </cell>
          <cell r="D233">
            <v>602214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348475</v>
          </cell>
        </row>
        <row r="240">
          <cell r="C240" t="str">
            <v>10.11.11.202</v>
          </cell>
          <cell r="D240">
            <v>710071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366630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133384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684281</v>
          </cell>
        </row>
        <row r="251">
          <cell r="C251" t="str">
            <v>10.11.32.201</v>
          </cell>
          <cell r="D251">
            <v>136275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311228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896119</v>
          </cell>
        </row>
        <row r="260">
          <cell r="C260" t="str">
            <v>10.0.28.79</v>
          </cell>
          <cell r="D260">
            <v>937413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198910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807931</v>
          </cell>
        </row>
        <row r="267">
          <cell r="C267" t="str">
            <v>10.0.21.201</v>
          </cell>
          <cell r="D267">
            <v>988316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66782</v>
          </cell>
        </row>
        <row r="270">
          <cell r="C270" t="str">
            <v>10.14.47.204</v>
          </cell>
          <cell r="D270">
            <v>283119</v>
          </cell>
        </row>
        <row r="271">
          <cell r="C271" t="str">
            <v>10.10.7.200</v>
          </cell>
          <cell r="D271">
            <v>384082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655848</v>
          </cell>
        </row>
        <row r="275">
          <cell r="C275" t="str">
            <v>10.10.150.200</v>
          </cell>
          <cell r="D275">
            <v>525413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835454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758487</v>
          </cell>
        </row>
        <row r="284">
          <cell r="C284" t="str">
            <v>10.0.28.200</v>
          </cell>
          <cell r="D284">
            <v>146599</v>
          </cell>
        </row>
        <row r="285">
          <cell r="C285" t="str">
            <v>10.0.40.208</v>
          </cell>
          <cell r="D285">
            <v>205779</v>
          </cell>
        </row>
        <row r="286">
          <cell r="C286" t="str">
            <v>10.14.8.201</v>
          </cell>
          <cell r="D286">
            <v>380340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717149</v>
          </cell>
        </row>
        <row r="290">
          <cell r="C290" t="str">
            <v>10.11.92.200</v>
          </cell>
          <cell r="D290">
            <v>120325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648591</v>
          </cell>
        </row>
        <row r="293">
          <cell r="C293" t="str">
            <v>10.10.170.200</v>
          </cell>
          <cell r="D293">
            <v>552852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1182413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74273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117946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661618</v>
          </cell>
        </row>
        <row r="307">
          <cell r="C307" t="str">
            <v>10.10.64.102</v>
          </cell>
          <cell r="D307">
            <v>198886</v>
          </cell>
        </row>
        <row r="308">
          <cell r="C308" t="str">
            <v>10.10.209.200</v>
          </cell>
          <cell r="D308">
            <v>959392</v>
          </cell>
        </row>
        <row r="309">
          <cell r="C309" t="str">
            <v>10.10.129.203</v>
          </cell>
          <cell r="D309">
            <v>163721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746822</v>
          </cell>
        </row>
        <row r="312">
          <cell r="C312" t="str">
            <v>10.0.9.200</v>
          </cell>
          <cell r="D312">
            <v>701221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447604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607552</v>
          </cell>
        </row>
        <row r="317">
          <cell r="C317" t="str">
            <v>10.10.120.200</v>
          </cell>
          <cell r="D317">
            <v>107212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531964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760006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226453</v>
          </cell>
        </row>
        <row r="330">
          <cell r="C330" t="str">
            <v>10.10.75.200</v>
          </cell>
          <cell r="D330">
            <v>170758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211570</v>
          </cell>
        </row>
        <row r="336">
          <cell r="C336" t="str">
            <v>10.10.80.201</v>
          </cell>
          <cell r="D336">
            <v>473452</v>
          </cell>
        </row>
        <row r="337">
          <cell r="C337" t="str">
            <v>10.14.93.201</v>
          </cell>
          <cell r="D337">
            <v>206840</v>
          </cell>
        </row>
        <row r="338">
          <cell r="C338" t="str">
            <v>10.0.111.110</v>
          </cell>
          <cell r="D338">
            <v>264976</v>
          </cell>
        </row>
        <row r="339">
          <cell r="C339" t="str">
            <v>10.10.52.201</v>
          </cell>
          <cell r="D339">
            <v>498745</v>
          </cell>
        </row>
        <row r="340">
          <cell r="C340" t="str">
            <v>10.10.65.201</v>
          </cell>
          <cell r="D340">
            <v>165439</v>
          </cell>
        </row>
        <row r="341">
          <cell r="C341" t="str">
            <v>10.10.189.201</v>
          </cell>
          <cell r="D341">
            <v>415216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339545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706863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171668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522262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443481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161902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274932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180927</v>
          </cell>
        </row>
        <row r="372">
          <cell r="C372" t="str">
            <v>10.10.146.200</v>
          </cell>
          <cell r="D372">
            <v>573866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799511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492238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81739</v>
          </cell>
        </row>
        <row r="383">
          <cell r="C383" t="str">
            <v>10.10.170.202</v>
          </cell>
          <cell r="D383">
            <v>136006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411012</v>
          </cell>
        </row>
        <row r="388">
          <cell r="C388" t="str">
            <v>10.0.29.204</v>
          </cell>
          <cell r="D388">
            <v>438259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1432779</v>
          </cell>
        </row>
        <row r="391">
          <cell r="C391" t="str">
            <v>10.10.206.207</v>
          </cell>
          <cell r="D391">
            <v>250413</v>
          </cell>
        </row>
        <row r="392">
          <cell r="C392" t="str">
            <v>10.10.23.201</v>
          </cell>
          <cell r="D392">
            <v>686160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522939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178445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893455</v>
          </cell>
        </row>
        <row r="401">
          <cell r="C401" t="str">
            <v>10.10.251.201</v>
          </cell>
          <cell r="D401">
            <v>1143900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501329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311010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126701</v>
          </cell>
        </row>
        <row r="412">
          <cell r="C412" t="str">
            <v>10.10.108.203</v>
          </cell>
          <cell r="D412">
            <v>862138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622276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46407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627612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376362</v>
          </cell>
        </row>
        <row r="423">
          <cell r="C423" t="str">
            <v>10.0.36.21</v>
          </cell>
          <cell r="D423">
            <v>230571</v>
          </cell>
        </row>
        <row r="424">
          <cell r="C424" t="str">
            <v>10.14.19.200</v>
          </cell>
          <cell r="D424">
            <v>577522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407564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477459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375852</v>
          </cell>
        </row>
        <row r="433">
          <cell r="C433" t="str">
            <v>10.14.16.201</v>
          </cell>
          <cell r="D433">
            <v>530812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121489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107346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107212</v>
          </cell>
        </row>
        <row r="440">
          <cell r="C440" t="str">
            <v>10.10.97.200</v>
          </cell>
          <cell r="D440">
            <v>272072</v>
          </cell>
        </row>
        <row r="441">
          <cell r="C441" t="str">
            <v>10.0.29.202</v>
          </cell>
          <cell r="D441">
            <v>749919</v>
          </cell>
        </row>
        <row r="442">
          <cell r="C442" t="str">
            <v>10.10.76.200</v>
          </cell>
          <cell r="D442">
            <v>470146</v>
          </cell>
        </row>
        <row r="443">
          <cell r="C443" t="str">
            <v>10.10.63.201</v>
          </cell>
          <cell r="D443">
            <v>725781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66782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207369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168225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97376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267239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139245</v>
          </cell>
        </row>
        <row r="466">
          <cell r="C466" t="str">
            <v>10.14.47.202</v>
          </cell>
          <cell r="D466">
            <v>526928</v>
          </cell>
        </row>
        <row r="467">
          <cell r="C467" t="str">
            <v>10.10.240.201</v>
          </cell>
          <cell r="D467">
            <v>395204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742000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764148</v>
          </cell>
        </row>
        <row r="474">
          <cell r="C474" t="str">
            <v>10.0.13.203</v>
          </cell>
          <cell r="D474">
            <v>833851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155442</v>
          </cell>
        </row>
        <row r="483">
          <cell r="C483" t="str">
            <v>10.0.131.200</v>
          </cell>
          <cell r="D483">
            <v>277335</v>
          </cell>
        </row>
        <row r="484">
          <cell r="C484" t="str">
            <v>10.11.36.200</v>
          </cell>
          <cell r="D484">
            <v>297536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51057</v>
          </cell>
        </row>
        <row r="490">
          <cell r="C490" t="str">
            <v>10.10.91.201</v>
          </cell>
          <cell r="D490">
            <v>343926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1030373</v>
          </cell>
        </row>
        <row r="493">
          <cell r="C493" t="str">
            <v>10.10.158.201</v>
          </cell>
          <cell r="D493">
            <v>125689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206301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544358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284953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38913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156041</v>
          </cell>
        </row>
        <row r="506">
          <cell r="C506" t="str">
            <v>10.11.29.202</v>
          </cell>
          <cell r="D506">
            <v>133384</v>
          </cell>
        </row>
        <row r="507">
          <cell r="C507" t="str">
            <v>10.0.33.200</v>
          </cell>
          <cell r="D507">
            <v>3751</v>
          </cell>
        </row>
        <row r="508">
          <cell r="C508" t="str">
            <v>10.10.129.201</v>
          </cell>
          <cell r="D508">
            <v>632202</v>
          </cell>
        </row>
        <row r="509">
          <cell r="C509" t="str">
            <v>10.14.51.200</v>
          </cell>
          <cell r="D509">
            <v>755111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316073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55733</v>
          </cell>
        </row>
        <row r="516">
          <cell r="C516" t="str">
            <v>10.10.10.201</v>
          </cell>
          <cell r="D516">
            <v>103055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119246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975675</v>
          </cell>
        </row>
        <row r="527">
          <cell r="C527" t="str">
            <v>10.10.80.200</v>
          </cell>
          <cell r="D527">
            <v>798881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673851</v>
          </cell>
        </row>
        <row r="530">
          <cell r="C530" t="str">
            <v>10.10.17.201</v>
          </cell>
          <cell r="D530">
            <v>434112</v>
          </cell>
        </row>
        <row r="531">
          <cell r="C531" t="str">
            <v>10.11.92.201</v>
          </cell>
          <cell r="D531">
            <v>395658</v>
          </cell>
        </row>
        <row r="532">
          <cell r="C532" t="str">
            <v>10.10.60.200</v>
          </cell>
          <cell r="D532">
            <v>132828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73002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775073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451575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18941</v>
          </cell>
        </row>
        <row r="541">
          <cell r="C541" t="str">
            <v>10.0.29.201</v>
          </cell>
          <cell r="D541">
            <v>195222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11570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838051</v>
          </cell>
        </row>
        <row r="551">
          <cell r="C551" t="str">
            <v>10.0.22.206</v>
          </cell>
          <cell r="D551">
            <v>209846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84238</v>
          </cell>
        </row>
        <row r="554">
          <cell r="C554" t="str">
            <v>10.0.33.201</v>
          </cell>
          <cell r="D554">
            <v>44051</v>
          </cell>
        </row>
        <row r="555">
          <cell r="C555" t="str">
            <v>10.10.251.200</v>
          </cell>
          <cell r="D555">
            <v>324539</v>
          </cell>
        </row>
        <row r="556">
          <cell r="C556" t="str">
            <v>10.10.219.232</v>
          </cell>
          <cell r="D556">
            <v>778024</v>
          </cell>
        </row>
        <row r="557">
          <cell r="C557" t="str">
            <v>10.0.36.45</v>
          </cell>
          <cell r="D557">
            <v>23971</v>
          </cell>
        </row>
        <row r="558">
          <cell r="C558" t="str">
            <v>10.0.20.206</v>
          </cell>
          <cell r="D558">
            <v>57363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264976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25216</v>
          </cell>
        </row>
        <row r="566">
          <cell r="C566" t="str">
            <v>10.11.23.201</v>
          </cell>
          <cell r="D566">
            <v>204083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227233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41065</v>
          </cell>
        </row>
        <row r="573">
          <cell r="C573" t="str">
            <v>10.0.25.202</v>
          </cell>
          <cell r="D573">
            <v>442397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823584</v>
          </cell>
        </row>
        <row r="576">
          <cell r="C576" t="str">
            <v>10.0.33.201</v>
          </cell>
          <cell r="D576">
            <v>44051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116803</v>
          </cell>
        </row>
        <row r="579">
          <cell r="C579" t="str">
            <v>10.10.45.200</v>
          </cell>
          <cell r="D579">
            <v>219421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406682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127819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402739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776633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143739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656549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428661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329520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617198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129825</v>
          </cell>
        </row>
        <row r="22">
          <cell r="C22" t="str">
            <v>10.10.78.200</v>
          </cell>
          <cell r="D22">
            <v>682473</v>
          </cell>
        </row>
        <row r="23">
          <cell r="C23" t="str">
            <v>10.10.90.200</v>
          </cell>
          <cell r="D23">
            <v>670532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452447</v>
          </cell>
        </row>
        <row r="27">
          <cell r="C27" t="str">
            <v>10.0.131.25</v>
          </cell>
          <cell r="D27">
            <v>196711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328613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207011</v>
          </cell>
        </row>
        <row r="42">
          <cell r="C42" t="str">
            <v>10.10.189.201</v>
          </cell>
          <cell r="D42">
            <v>415572</v>
          </cell>
        </row>
        <row r="43">
          <cell r="C43" t="str">
            <v>10.11.9.201</v>
          </cell>
          <cell r="D43">
            <v>127681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519279</v>
          </cell>
        </row>
        <row r="46">
          <cell r="C46" t="str">
            <v>10.0.135.210</v>
          </cell>
          <cell r="D46">
            <v>206090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268234</v>
          </cell>
        </row>
        <row r="51">
          <cell r="C51" t="str">
            <v>10.0.25.201</v>
          </cell>
          <cell r="D51">
            <v>298268</v>
          </cell>
        </row>
        <row r="52">
          <cell r="C52" t="str">
            <v>10.10.23.200</v>
          </cell>
          <cell r="D52">
            <v>130403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977330</v>
          </cell>
        </row>
        <row r="55">
          <cell r="C55" t="str">
            <v>10.0.36.104</v>
          </cell>
          <cell r="D55">
            <v>38987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824835</v>
          </cell>
        </row>
        <row r="58">
          <cell r="C58" t="str">
            <v>10.14.11.203</v>
          </cell>
          <cell r="D58">
            <v>1014353</v>
          </cell>
        </row>
        <row r="59">
          <cell r="C59" t="str">
            <v>10.10.20.200</v>
          </cell>
          <cell r="D59">
            <v>103465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628446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583734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263301</v>
          </cell>
        </row>
        <row r="73">
          <cell r="C73" t="str">
            <v>10.11.1.201</v>
          </cell>
          <cell r="D73">
            <v>163939</v>
          </cell>
        </row>
        <row r="74">
          <cell r="C74" t="str">
            <v>10.11.26.200</v>
          </cell>
          <cell r="D74">
            <v>726241</v>
          </cell>
        </row>
        <row r="75">
          <cell r="C75" t="str">
            <v>10.10.16.201</v>
          </cell>
          <cell r="D75">
            <v>239280</v>
          </cell>
        </row>
        <row r="76">
          <cell r="C76" t="str">
            <v>10.10.43.201</v>
          </cell>
          <cell r="D76">
            <v>504190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430220</v>
          </cell>
        </row>
        <row r="82">
          <cell r="C82" t="str">
            <v>10.14.9.201</v>
          </cell>
          <cell r="D82">
            <v>848686</v>
          </cell>
        </row>
        <row r="83">
          <cell r="C83" t="str">
            <v>10.10.14.240</v>
          </cell>
          <cell r="D83">
            <v>239377</v>
          </cell>
        </row>
        <row r="84">
          <cell r="C84" t="str">
            <v>10.0.15.18</v>
          </cell>
          <cell r="D84">
            <v>86820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615410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153786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260455</v>
          </cell>
        </row>
        <row r="97">
          <cell r="C97" t="str">
            <v>10.11.1.200</v>
          </cell>
          <cell r="D97">
            <v>791608</v>
          </cell>
        </row>
        <row r="98">
          <cell r="C98" t="str">
            <v>10.10.9.200</v>
          </cell>
          <cell r="D98">
            <v>113529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109640</v>
          </cell>
        </row>
        <row r="104">
          <cell r="C104" t="str">
            <v>10.10.171.207</v>
          </cell>
          <cell r="D104">
            <v>261281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908591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419910</v>
          </cell>
        </row>
        <row r="109">
          <cell r="C109" t="str">
            <v>10.10.125.201</v>
          </cell>
          <cell r="D109">
            <v>878232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695732</v>
          </cell>
        </row>
        <row r="115">
          <cell r="C115" t="str">
            <v>10.10.73.210</v>
          </cell>
          <cell r="D115">
            <v>126789</v>
          </cell>
        </row>
        <row r="116">
          <cell r="C116" t="str">
            <v>10.10.135.200</v>
          </cell>
          <cell r="D116">
            <v>159786</v>
          </cell>
        </row>
        <row r="117">
          <cell r="C117" t="str">
            <v>10.14.8.200</v>
          </cell>
          <cell r="D117">
            <v>200394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300928</v>
          </cell>
        </row>
        <row r="122">
          <cell r="C122" t="str">
            <v>10.10.219.231</v>
          </cell>
          <cell r="D122">
            <v>615054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132828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149215</v>
          </cell>
        </row>
        <row r="127">
          <cell r="C127" t="str">
            <v>10.10.53.200</v>
          </cell>
          <cell r="D127">
            <v>489111</v>
          </cell>
        </row>
        <row r="128">
          <cell r="C128" t="str">
            <v>10.10.186.203</v>
          </cell>
          <cell r="D128">
            <v>378687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318674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257194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60184</v>
          </cell>
        </row>
        <row r="138">
          <cell r="C138" t="str">
            <v>10.14.11.202</v>
          </cell>
          <cell r="D138">
            <v>505107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502882</v>
          </cell>
        </row>
        <row r="145">
          <cell r="C145" t="str">
            <v>10.10.60.201</v>
          </cell>
          <cell r="D145">
            <v>673456</v>
          </cell>
        </row>
        <row r="146">
          <cell r="C146" t="str">
            <v>10.0.36.47</v>
          </cell>
          <cell r="D146">
            <v>161487</v>
          </cell>
        </row>
        <row r="147">
          <cell r="C147" t="str">
            <v>10.14.7.200</v>
          </cell>
          <cell r="D147">
            <v>146188</v>
          </cell>
        </row>
        <row r="148">
          <cell r="C148" t="str">
            <v>10.0.36.55</v>
          </cell>
          <cell r="D148">
            <v>286231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670535</v>
          </cell>
        </row>
        <row r="153">
          <cell r="C153" t="str">
            <v>10.14.16.200</v>
          </cell>
          <cell r="D153">
            <v>148188</v>
          </cell>
        </row>
        <row r="154">
          <cell r="C154" t="str">
            <v>10.10.161.201</v>
          </cell>
          <cell r="D154">
            <v>768772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647430</v>
          </cell>
        </row>
        <row r="159">
          <cell r="C159" t="str">
            <v>10.0.29.200</v>
          </cell>
          <cell r="D159">
            <v>92520</v>
          </cell>
        </row>
        <row r="160">
          <cell r="C160" t="str">
            <v>10.10.186.202</v>
          </cell>
          <cell r="D160">
            <v>373501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739385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693657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561611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227436</v>
          </cell>
        </row>
        <row r="170">
          <cell r="C170" t="str">
            <v>10.10.83.203</v>
          </cell>
          <cell r="D170">
            <v>828890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622950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136882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282768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1107798</v>
          </cell>
        </row>
        <row r="183">
          <cell r="C183" t="str">
            <v>10.10.211.202</v>
          </cell>
          <cell r="D183">
            <v>300705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567574</v>
          </cell>
        </row>
        <row r="186">
          <cell r="C186" t="str">
            <v>10.10.171.13</v>
          </cell>
          <cell r="D186">
            <v>288312</v>
          </cell>
        </row>
        <row r="187">
          <cell r="C187" t="str">
            <v>10.10.184.201</v>
          </cell>
          <cell r="D187">
            <v>187224</v>
          </cell>
        </row>
        <row r="188">
          <cell r="C188" t="str">
            <v>10.10.74.200</v>
          </cell>
          <cell r="D188">
            <v>627746</v>
          </cell>
        </row>
        <row r="189">
          <cell r="C189" t="str">
            <v>10.10.10.200</v>
          </cell>
          <cell r="D189">
            <v>571797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60181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415893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243868</v>
          </cell>
        </row>
        <row r="199">
          <cell r="C199" t="str">
            <v>10.11.99.201</v>
          </cell>
          <cell r="D199">
            <v>125644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154313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378104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1134308</v>
          </cell>
        </row>
        <row r="206">
          <cell r="C206" t="str">
            <v>10.10.71.200</v>
          </cell>
          <cell r="D206">
            <v>942535</v>
          </cell>
        </row>
        <row r="207">
          <cell r="C207" t="str">
            <v>10.10.59.200</v>
          </cell>
          <cell r="D207">
            <v>937988</v>
          </cell>
        </row>
        <row r="208">
          <cell r="C208" t="str">
            <v>10.11.24.200</v>
          </cell>
          <cell r="D208">
            <v>405122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138044</v>
          </cell>
        </row>
        <row r="211">
          <cell r="C211" t="str">
            <v>10.10.14.200</v>
          </cell>
          <cell r="D211">
            <v>326469</v>
          </cell>
        </row>
        <row r="212">
          <cell r="C212" t="str">
            <v>10.10.185.200</v>
          </cell>
          <cell r="D212">
            <v>57858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1064099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380788</v>
          </cell>
        </row>
        <row r="219">
          <cell r="C219" t="str">
            <v>10.10.165.202</v>
          </cell>
          <cell r="D219">
            <v>888084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622216</v>
          </cell>
        </row>
        <row r="227">
          <cell r="C227" t="str">
            <v>10.11.37.202</v>
          </cell>
          <cell r="D227">
            <v>316473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154567</v>
          </cell>
        </row>
        <row r="230">
          <cell r="C230" t="str">
            <v>10.11.32.201</v>
          </cell>
          <cell r="D230">
            <v>136339</v>
          </cell>
        </row>
        <row r="231">
          <cell r="C231" t="str">
            <v>10.10.125.203</v>
          </cell>
          <cell r="D231">
            <v>178846</v>
          </cell>
        </row>
        <row r="232">
          <cell r="C232" t="str">
            <v>10.10.81.208</v>
          </cell>
          <cell r="D232">
            <v>326077</v>
          </cell>
        </row>
        <row r="233">
          <cell r="C233" t="str">
            <v>10.11.39.200</v>
          </cell>
          <cell r="D233">
            <v>602795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348886</v>
          </cell>
        </row>
        <row r="240">
          <cell r="C240" t="str">
            <v>10.11.11.202</v>
          </cell>
          <cell r="D240">
            <v>710661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366630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133438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684802</v>
          </cell>
        </row>
        <row r="251">
          <cell r="C251" t="str">
            <v>10.11.32.201</v>
          </cell>
          <cell r="D251">
            <v>136340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311575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896883</v>
          </cell>
        </row>
        <row r="260">
          <cell r="C260" t="str">
            <v>10.0.28.79</v>
          </cell>
          <cell r="D260">
            <v>940154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198965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808517</v>
          </cell>
        </row>
        <row r="267">
          <cell r="C267" t="str">
            <v>10.0.21.201</v>
          </cell>
          <cell r="D267">
            <v>988926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66914</v>
          </cell>
        </row>
        <row r="270">
          <cell r="C270" t="str">
            <v>10.14.47.204</v>
          </cell>
          <cell r="D270">
            <v>283137</v>
          </cell>
        </row>
        <row r="271">
          <cell r="C271" t="str">
            <v>10.10.7.200</v>
          </cell>
          <cell r="D271">
            <v>384611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656726</v>
          </cell>
        </row>
        <row r="275">
          <cell r="C275" t="str">
            <v>10.10.150.200</v>
          </cell>
          <cell r="D275">
            <v>525772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836787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759094</v>
          </cell>
        </row>
        <row r="284">
          <cell r="C284" t="str">
            <v>10.0.28.200</v>
          </cell>
          <cell r="D284">
            <v>146979</v>
          </cell>
        </row>
        <row r="285">
          <cell r="C285" t="str">
            <v>10.0.40.208</v>
          </cell>
          <cell r="D285">
            <v>205843</v>
          </cell>
        </row>
        <row r="286">
          <cell r="C286" t="str">
            <v>10.14.8.201</v>
          </cell>
          <cell r="D286">
            <v>380696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717890</v>
          </cell>
        </row>
        <row r="290">
          <cell r="C290" t="str">
            <v>10.11.92.200</v>
          </cell>
          <cell r="D290">
            <v>120359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649651</v>
          </cell>
        </row>
        <row r="293">
          <cell r="C293" t="str">
            <v>10.10.170.200</v>
          </cell>
          <cell r="D293">
            <v>553447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1184103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74287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117998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661993</v>
          </cell>
        </row>
        <row r="307">
          <cell r="C307" t="str">
            <v>10.10.64.102</v>
          </cell>
          <cell r="D307">
            <v>199332</v>
          </cell>
        </row>
        <row r="308">
          <cell r="C308" t="str">
            <v>10.10.209.200</v>
          </cell>
          <cell r="D308">
            <v>960055</v>
          </cell>
        </row>
        <row r="309">
          <cell r="C309" t="str">
            <v>10.10.129.203</v>
          </cell>
          <cell r="D309">
            <v>163770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747803</v>
          </cell>
        </row>
        <row r="312">
          <cell r="C312" t="str">
            <v>10.0.9.200</v>
          </cell>
          <cell r="D312">
            <v>701222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447783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608301</v>
          </cell>
        </row>
        <row r="317">
          <cell r="C317" t="str">
            <v>10.10.120.200</v>
          </cell>
          <cell r="D317">
            <v>107313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532504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760875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226640</v>
          </cell>
        </row>
        <row r="330">
          <cell r="C330" t="str">
            <v>10.10.75.200</v>
          </cell>
          <cell r="D330">
            <v>170840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211723</v>
          </cell>
        </row>
        <row r="336">
          <cell r="C336" t="str">
            <v>10.10.80.201</v>
          </cell>
          <cell r="D336">
            <v>473523</v>
          </cell>
        </row>
        <row r="337">
          <cell r="C337" t="str">
            <v>10.14.93.201</v>
          </cell>
          <cell r="D337">
            <v>206911</v>
          </cell>
        </row>
        <row r="338">
          <cell r="C338" t="str">
            <v>10.0.111.110</v>
          </cell>
          <cell r="D338">
            <v>265223</v>
          </cell>
        </row>
        <row r="339">
          <cell r="C339" t="str">
            <v>10.10.52.201</v>
          </cell>
          <cell r="D339">
            <v>499495</v>
          </cell>
        </row>
        <row r="340">
          <cell r="C340" t="str">
            <v>10.10.65.201</v>
          </cell>
          <cell r="D340">
            <v>165484</v>
          </cell>
        </row>
        <row r="341">
          <cell r="C341" t="str">
            <v>10.10.189.201</v>
          </cell>
          <cell r="D341">
            <v>415586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339647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707045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171841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522371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444476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161991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275524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181004</v>
          </cell>
        </row>
        <row r="372">
          <cell r="C372" t="str">
            <v>10.10.146.200</v>
          </cell>
          <cell r="D372">
            <v>574490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799735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492698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81933</v>
          </cell>
        </row>
        <row r="383">
          <cell r="C383" t="str">
            <v>10.10.170.202</v>
          </cell>
          <cell r="D383">
            <v>136006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411280</v>
          </cell>
        </row>
        <row r="388">
          <cell r="C388" t="str">
            <v>10.0.29.204</v>
          </cell>
          <cell r="D388">
            <v>438392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1432911</v>
          </cell>
        </row>
        <row r="391">
          <cell r="C391" t="str">
            <v>10.10.206.207</v>
          </cell>
          <cell r="D391">
            <v>250625</v>
          </cell>
        </row>
        <row r="392">
          <cell r="C392" t="str">
            <v>10.10.23.201</v>
          </cell>
          <cell r="D392">
            <v>686645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523406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178521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894066</v>
          </cell>
        </row>
        <row r="401">
          <cell r="C401" t="str">
            <v>10.10.251.201</v>
          </cell>
          <cell r="D401">
            <v>1144834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501357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311358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126756</v>
          </cell>
        </row>
        <row r="412">
          <cell r="C412" t="str">
            <v>10.10.108.203</v>
          </cell>
          <cell r="D412">
            <v>862779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622445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46407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628467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376500</v>
          </cell>
        </row>
        <row r="423">
          <cell r="C423" t="str">
            <v>10.0.36.21</v>
          </cell>
          <cell r="D423">
            <v>231295</v>
          </cell>
        </row>
        <row r="424">
          <cell r="C424" t="str">
            <v>10.14.19.200</v>
          </cell>
          <cell r="D424">
            <v>577966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407574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478126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375858</v>
          </cell>
        </row>
        <row r="433">
          <cell r="C433" t="str">
            <v>10.14.16.201</v>
          </cell>
          <cell r="D433">
            <v>531505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121588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107384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107313</v>
          </cell>
        </row>
        <row r="440">
          <cell r="C440" t="str">
            <v>10.10.97.200</v>
          </cell>
          <cell r="D440">
            <v>272112</v>
          </cell>
        </row>
        <row r="441">
          <cell r="C441" t="str">
            <v>10.0.29.202</v>
          </cell>
          <cell r="D441">
            <v>751037</v>
          </cell>
        </row>
        <row r="442">
          <cell r="C442" t="str">
            <v>10.10.76.200</v>
          </cell>
          <cell r="D442">
            <v>470453</v>
          </cell>
        </row>
        <row r="443">
          <cell r="C443" t="str">
            <v>10.10.63.201</v>
          </cell>
          <cell r="D443">
            <v>726589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66914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207416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168608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97397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267402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139300</v>
          </cell>
        </row>
        <row r="466">
          <cell r="C466" t="str">
            <v>10.14.47.202</v>
          </cell>
          <cell r="D466">
            <v>527234</v>
          </cell>
        </row>
        <row r="467">
          <cell r="C467" t="str">
            <v>10.10.240.201</v>
          </cell>
          <cell r="D467">
            <v>395466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742669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765137</v>
          </cell>
        </row>
        <row r="474">
          <cell r="C474" t="str">
            <v>10.0.13.203</v>
          </cell>
          <cell r="D474">
            <v>834343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155667</v>
          </cell>
        </row>
        <row r="483">
          <cell r="C483" t="str">
            <v>10.0.131.200</v>
          </cell>
          <cell r="D483">
            <v>277378</v>
          </cell>
        </row>
        <row r="484">
          <cell r="C484" t="str">
            <v>10.11.36.200</v>
          </cell>
          <cell r="D484">
            <v>297536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51184</v>
          </cell>
        </row>
        <row r="490">
          <cell r="C490" t="str">
            <v>10.10.91.201</v>
          </cell>
          <cell r="D490">
            <v>344045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1031193</v>
          </cell>
        </row>
        <row r="493">
          <cell r="C493" t="str">
            <v>10.10.158.201</v>
          </cell>
          <cell r="D493">
            <v>125821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206332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544386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285784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38987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156084</v>
          </cell>
        </row>
        <row r="506">
          <cell r="C506" t="str">
            <v>10.11.29.202</v>
          </cell>
          <cell r="D506">
            <v>133434</v>
          </cell>
        </row>
        <row r="507">
          <cell r="C507" t="str">
            <v>10.0.33.200</v>
          </cell>
          <cell r="D507">
            <v>3751</v>
          </cell>
        </row>
        <row r="508">
          <cell r="C508" t="str">
            <v>10.10.129.201</v>
          </cell>
          <cell r="D508">
            <v>632632</v>
          </cell>
        </row>
        <row r="509">
          <cell r="C509" t="str">
            <v>10.14.51.200</v>
          </cell>
          <cell r="D509">
            <v>755857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55744</v>
          </cell>
        </row>
        <row r="516">
          <cell r="C516" t="str">
            <v>10.10.10.201</v>
          </cell>
          <cell r="D516">
            <v>103107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119261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977276</v>
          </cell>
        </row>
        <row r="527">
          <cell r="C527" t="str">
            <v>10.10.80.200</v>
          </cell>
          <cell r="D527">
            <v>799509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674353</v>
          </cell>
        </row>
        <row r="530">
          <cell r="C530" t="str">
            <v>10.10.17.201</v>
          </cell>
          <cell r="D530">
            <v>434249</v>
          </cell>
        </row>
        <row r="531">
          <cell r="C531" t="str">
            <v>10.11.92.201</v>
          </cell>
          <cell r="D531">
            <v>395866</v>
          </cell>
        </row>
        <row r="532">
          <cell r="C532" t="str">
            <v>10.10.60.200</v>
          </cell>
          <cell r="D532">
            <v>132828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73082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775652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452312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19198</v>
          </cell>
        </row>
        <row r="541">
          <cell r="C541" t="str">
            <v>10.0.29.201</v>
          </cell>
          <cell r="D541">
            <v>195517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11570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838350</v>
          </cell>
        </row>
        <row r="551">
          <cell r="C551" t="str">
            <v>10.0.22.206</v>
          </cell>
          <cell r="D551">
            <v>209978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84257</v>
          </cell>
        </row>
        <row r="554">
          <cell r="C554" t="str">
            <v>10.0.33.201</v>
          </cell>
          <cell r="D554">
            <v>44052</v>
          </cell>
        </row>
        <row r="555">
          <cell r="C555" t="str">
            <v>10.10.251.200</v>
          </cell>
          <cell r="D555">
            <v>324610</v>
          </cell>
        </row>
        <row r="556">
          <cell r="C556" t="str">
            <v>10.10.219.232</v>
          </cell>
          <cell r="D556">
            <v>778590</v>
          </cell>
        </row>
        <row r="557">
          <cell r="C557" t="str">
            <v>10.0.36.45</v>
          </cell>
          <cell r="D557">
            <v>23971</v>
          </cell>
        </row>
        <row r="558">
          <cell r="C558" t="str">
            <v>10.0.20.206</v>
          </cell>
          <cell r="D558">
            <v>57393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265223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1700499</v>
          </cell>
        </row>
        <row r="565">
          <cell r="C565" t="str">
            <v>10.10.20.201</v>
          </cell>
          <cell r="D565">
            <v>25333</v>
          </cell>
        </row>
        <row r="566">
          <cell r="C566" t="str">
            <v>10.11.23.201</v>
          </cell>
          <cell r="D566">
            <v>204095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227273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41142</v>
          </cell>
        </row>
        <row r="573">
          <cell r="C573" t="str">
            <v>10.0.25.202</v>
          </cell>
          <cell r="D573">
            <v>442540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825011</v>
          </cell>
        </row>
        <row r="576">
          <cell r="C576" t="str">
            <v>10.0.33.201</v>
          </cell>
          <cell r="D576">
            <v>44052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116896</v>
          </cell>
        </row>
        <row r="579">
          <cell r="C579" t="str">
            <v>10.10.45.200</v>
          </cell>
          <cell r="D579">
            <v>219824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406776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127820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402981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9"/>
  <sheetViews>
    <sheetView tabSelected="1" topLeftCell="F1" zoomScale="85" zoomScaleNormal="85" zoomScaleSheetLayoutView="106" workbookViewId="0">
      <pane ySplit="1" topLeftCell="A2" activePane="bottomLeft" state="frozen"/>
      <selection pane="bottomLeft" activeCell="Q303" sqref="Q303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407</v>
      </c>
      <c r="B1" s="98" t="s">
        <v>408</v>
      </c>
      <c r="C1" s="98" t="s">
        <v>409</v>
      </c>
      <c r="D1" s="98" t="s">
        <v>410</v>
      </c>
      <c r="E1" s="98" t="s">
        <v>411</v>
      </c>
      <c r="F1" s="98" t="s">
        <v>412</v>
      </c>
      <c r="G1" s="98" t="s">
        <v>0</v>
      </c>
      <c r="H1" s="52" t="s">
        <v>2498</v>
      </c>
      <c r="I1" s="87" t="s">
        <v>2162</v>
      </c>
      <c r="J1" s="87" t="s">
        <v>2162</v>
      </c>
      <c r="K1" s="88" t="s">
        <v>2163</v>
      </c>
      <c r="L1" s="88" t="s">
        <v>2164</v>
      </c>
      <c r="M1" s="87" t="s">
        <v>2165</v>
      </c>
      <c r="N1" s="87" t="s">
        <v>2166</v>
      </c>
      <c r="O1" s="88" t="s">
        <v>2167</v>
      </c>
      <c r="P1" s="88" t="s">
        <v>2168</v>
      </c>
      <c r="Q1" s="87" t="s">
        <v>2169</v>
      </c>
      <c r="R1" s="87" t="s">
        <v>2170</v>
      </c>
      <c r="S1" s="99" t="s">
        <v>398</v>
      </c>
      <c r="T1" s="99" t="s">
        <v>2171</v>
      </c>
      <c r="U1" s="100" t="s">
        <v>382</v>
      </c>
      <c r="V1" s="101" t="s">
        <v>2231</v>
      </c>
      <c r="W1" s="101" t="s">
        <v>2380</v>
      </c>
    </row>
    <row r="2" spans="1:23" ht="13.5" customHeight="1" x14ac:dyDescent="0.25">
      <c r="A2" s="53" t="s">
        <v>2450</v>
      </c>
      <c r="B2" s="14" t="s">
        <v>677</v>
      </c>
      <c r="C2" s="120">
        <v>9948</v>
      </c>
      <c r="D2" s="14" t="s">
        <v>2448</v>
      </c>
      <c r="E2" s="14" t="s">
        <v>416</v>
      </c>
      <c r="F2" s="14" t="s">
        <v>1225</v>
      </c>
      <c r="G2" s="14" t="s">
        <v>239</v>
      </c>
      <c r="H2" s="55">
        <v>46206</v>
      </c>
      <c r="I2" s="55">
        <f>VLOOKUP(G2,'[1]Dispositivos exportados de HP W'!$C:$D,2,FALSE)</f>
        <v>46254</v>
      </c>
      <c r="J2" s="55">
        <f>I2-H2</f>
        <v>48</v>
      </c>
      <c r="K2" s="55">
        <f>VLOOKUP(G2,'[2]Dispositivos exportados de HP W'!$C:$D,2,FALSE)</f>
        <v>46293</v>
      </c>
      <c r="L2" s="55">
        <f>K2-I2</f>
        <v>39</v>
      </c>
      <c r="M2" s="55">
        <f>VLOOKUP(G2,'[3]Dispositivos exportados de HP W'!$C:$D,2,FALSE)</f>
        <v>46362</v>
      </c>
      <c r="N2" s="55">
        <f>M2-K2</f>
        <v>69</v>
      </c>
      <c r="O2" s="55">
        <f>VLOOKUP(G2,'[4]Dispositivos exportados de HP W'!$C:$D,2,FALSE)</f>
        <v>46407</v>
      </c>
      <c r="P2" s="55">
        <f>O2-M2</f>
        <v>45</v>
      </c>
      <c r="Q2" s="55">
        <f>VLOOKUP(G2,'[6]Dispositivos exportados de HP W'!$C:$D,2,FALSE)</f>
        <v>46407</v>
      </c>
      <c r="R2" s="55">
        <f>Q2-O2</f>
        <v>0</v>
      </c>
      <c r="S2" s="90">
        <f>R2+P2+N2+L2+J2</f>
        <v>201</v>
      </c>
      <c r="T2" s="89">
        <v>46083</v>
      </c>
      <c r="U2" s="14"/>
      <c r="V2" s="108" t="s">
        <v>2383</v>
      </c>
      <c r="W2" s="105" t="str">
        <f>VLOOKUP(C2,'Status oficina'!$A$2:$C$208,3,FALSE)</f>
        <v>Activa</v>
      </c>
    </row>
    <row r="3" spans="1:23" ht="13.5" customHeight="1" x14ac:dyDescent="0.25">
      <c r="A3" s="14" t="s">
        <v>946</v>
      </c>
      <c r="B3" s="14" t="s">
        <v>1032</v>
      </c>
      <c r="C3" s="120">
        <v>9503</v>
      </c>
      <c r="D3" s="14" t="s">
        <v>1034</v>
      </c>
      <c r="E3" s="14" t="s">
        <v>416</v>
      </c>
      <c r="F3" s="14" t="s">
        <v>1035</v>
      </c>
      <c r="G3" s="70" t="s">
        <v>381</v>
      </c>
      <c r="H3" s="55">
        <v>55651</v>
      </c>
      <c r="I3" s="55">
        <f>VLOOKUP(G3,'[1]Dispositivos exportados de HP W'!$C:$D,2,FALSE)</f>
        <v>55672</v>
      </c>
      <c r="J3" s="55">
        <f t="shared" ref="J3:J66" si="0">I3-H3</f>
        <v>21</v>
      </c>
      <c r="K3" s="55">
        <f>VLOOKUP(G3,'[2]Dispositivos exportados de HP W'!$C:$D,2,FALSE)</f>
        <v>55699</v>
      </c>
      <c r="L3" s="55">
        <f t="shared" ref="L3:L66" si="1">K3-I3</f>
        <v>27</v>
      </c>
      <c r="M3" s="55">
        <f>VLOOKUP(G3,'[3]Dispositivos exportados de HP W'!$C:$D,2,FALSE)</f>
        <v>55715</v>
      </c>
      <c r="N3" s="55">
        <f t="shared" ref="N3:N66" si="2">M3-K3</f>
        <v>16</v>
      </c>
      <c r="O3" s="55">
        <f>VLOOKUP(G3,'[4]Dispositivos exportados de HP W'!$C:$D,2,FALSE)</f>
        <v>55733</v>
      </c>
      <c r="P3" s="55">
        <f t="shared" ref="P3:P66" si="3">O3-M3</f>
        <v>18</v>
      </c>
      <c r="Q3" s="55">
        <f>VLOOKUP(G3,'[6]Dispositivos exportados de HP W'!$C:$D,2,FALSE)</f>
        <v>55744</v>
      </c>
      <c r="R3" s="55">
        <f t="shared" ref="R3:R66" si="4">Q3-O3</f>
        <v>11</v>
      </c>
      <c r="S3" s="90">
        <f t="shared" ref="S3:S66" si="5">R3+P3+N3+L3+J3</f>
        <v>93</v>
      </c>
      <c r="T3" s="89">
        <v>46083</v>
      </c>
      <c r="U3" s="14"/>
      <c r="V3" s="108" t="s">
        <v>2383</v>
      </c>
      <c r="W3" s="105" t="str">
        <f>VLOOKUP(C3,'Status oficina'!$A$2:$C$208,3,FALSE)</f>
        <v>Activa</v>
      </c>
    </row>
    <row r="4" spans="1:23" ht="13.5" customHeight="1" x14ac:dyDescent="0.25">
      <c r="A4" s="53" t="s">
        <v>872</v>
      </c>
      <c r="B4" s="53" t="s">
        <v>434</v>
      </c>
      <c r="C4" s="19">
        <v>9892</v>
      </c>
      <c r="D4" s="53" t="s">
        <v>2425</v>
      </c>
      <c r="E4" s="53" t="s">
        <v>416</v>
      </c>
      <c r="F4" s="53" t="s">
        <v>1081</v>
      </c>
      <c r="G4" s="53" t="s">
        <v>79</v>
      </c>
      <c r="H4" s="55">
        <v>145201</v>
      </c>
      <c r="I4" s="55">
        <f>VLOOKUP(G4,'[1]Dispositivos exportados de HP W'!$C:$D,2,FALSE)</f>
        <v>145573</v>
      </c>
      <c r="J4" s="55">
        <f t="shared" si="0"/>
        <v>372</v>
      </c>
      <c r="K4" s="55">
        <f>VLOOKUP(G4,'[2]Dispositivos exportados de HP W'!$C:$D,2,FALSE)</f>
        <v>145786</v>
      </c>
      <c r="L4" s="55">
        <f t="shared" si="1"/>
        <v>213</v>
      </c>
      <c r="M4" s="55">
        <f>VLOOKUP(G4,'[3]Dispositivos exportados de HP W'!$C:$D,2,FALSE)</f>
        <v>145932</v>
      </c>
      <c r="N4" s="55">
        <f t="shared" si="2"/>
        <v>146</v>
      </c>
      <c r="O4" s="55">
        <f>VLOOKUP(G4,'[4]Dispositivos exportados de HP W'!$C:$D,2,FALSE)</f>
        <v>146090</v>
      </c>
      <c r="P4" s="55">
        <f t="shared" si="3"/>
        <v>158</v>
      </c>
      <c r="Q4" s="55">
        <f>VLOOKUP(G4,'[6]Dispositivos exportados de HP W'!$C:$D,2,FALSE)</f>
        <v>146188</v>
      </c>
      <c r="R4" s="55">
        <f t="shared" si="4"/>
        <v>98</v>
      </c>
      <c r="S4" s="90">
        <f t="shared" si="5"/>
        <v>987</v>
      </c>
      <c r="T4" s="89">
        <v>46083</v>
      </c>
      <c r="U4" s="57"/>
      <c r="V4" s="105" t="s">
        <v>2383</v>
      </c>
      <c r="W4" s="105" t="str">
        <f>VLOOKUP(C4,'Status oficina'!$A$2:$C$208,3,FALSE)</f>
        <v>Activa</v>
      </c>
    </row>
    <row r="5" spans="1:23" ht="13.5" customHeight="1" x14ac:dyDescent="0.25">
      <c r="A5" s="53" t="s">
        <v>2450</v>
      </c>
      <c r="B5" s="14" t="s">
        <v>761</v>
      </c>
      <c r="C5" s="120">
        <v>9211</v>
      </c>
      <c r="D5" s="14" t="s">
        <v>763</v>
      </c>
      <c r="E5" s="14" t="s">
        <v>416</v>
      </c>
      <c r="F5" s="14" t="s">
        <v>766</v>
      </c>
      <c r="G5" s="14" t="s">
        <v>397</v>
      </c>
      <c r="H5" s="55">
        <v>172355</v>
      </c>
      <c r="I5" s="55">
        <f>VLOOKUP(G5,'[1]Dispositivos exportados de HP W'!$C:$D,2,FALSE)</f>
        <v>172355</v>
      </c>
      <c r="J5" s="55">
        <f t="shared" si="0"/>
        <v>0</v>
      </c>
      <c r="K5" s="55">
        <f>VLOOKUP(G5,'[2]Dispositivos exportados de HP W'!$C:$D,2,FALSE)</f>
        <v>172355</v>
      </c>
      <c r="L5" s="55">
        <f t="shared" si="1"/>
        <v>0</v>
      </c>
      <c r="M5" s="55">
        <f>VLOOKUP(G5,'[3]Dispositivos exportados de HP W'!$C:$D,2,FALSE)</f>
        <v>172355</v>
      </c>
      <c r="N5" s="55">
        <f t="shared" si="2"/>
        <v>0</v>
      </c>
      <c r="O5" s="55">
        <f>VLOOKUP(G5,'[4]Dispositivos exportados de HP W'!$C:$D,2,FALSE)</f>
        <v>172355</v>
      </c>
      <c r="P5" s="55">
        <f t="shared" si="3"/>
        <v>0</v>
      </c>
      <c r="Q5" s="55">
        <f>VLOOKUP(G5,'[6]Dispositivos exportados de HP W'!$C:$D,2,FALSE)</f>
        <v>172355</v>
      </c>
      <c r="R5" s="55">
        <f t="shared" si="4"/>
        <v>0</v>
      </c>
      <c r="S5" s="90">
        <f t="shared" si="5"/>
        <v>0</v>
      </c>
      <c r="T5" s="89">
        <v>46083</v>
      </c>
      <c r="U5" s="14" t="s">
        <v>2133</v>
      </c>
      <c r="V5" s="105" t="s">
        <v>2382</v>
      </c>
      <c r="W5" s="105" t="str">
        <f>VLOOKUP(C5,'Status oficina'!$A$2:$C$208,3,FALSE)</f>
        <v>Activa</v>
      </c>
    </row>
    <row r="6" spans="1:23" ht="13.5" customHeight="1" x14ac:dyDescent="0.25">
      <c r="A6" s="53" t="s">
        <v>2450</v>
      </c>
      <c r="B6" s="14" t="s">
        <v>643</v>
      </c>
      <c r="C6" s="19">
        <v>9214</v>
      </c>
      <c r="D6" s="14" t="s">
        <v>645</v>
      </c>
      <c r="E6" s="14" t="s">
        <v>416</v>
      </c>
      <c r="F6" s="14" t="s">
        <v>1207</v>
      </c>
      <c r="G6" s="14" t="s">
        <v>280</v>
      </c>
      <c r="H6" s="55">
        <v>152288</v>
      </c>
      <c r="I6" s="55">
        <f>VLOOKUP(G6,'[1]Dispositivos exportados de HP W'!$C:$D,2,FALSE)</f>
        <v>152288</v>
      </c>
      <c r="J6" s="55">
        <f t="shared" si="0"/>
        <v>0</v>
      </c>
      <c r="K6" s="55">
        <f>VLOOKUP(G6,'[2]Dispositivos exportados de HP W'!$C:$D,2,FALSE)</f>
        <v>152288</v>
      </c>
      <c r="L6" s="55">
        <f t="shared" si="1"/>
        <v>0</v>
      </c>
      <c r="M6" s="55">
        <f>VLOOKUP(G6,'[3]Dispositivos exportados de HP W'!$C:$D,2,FALSE)</f>
        <v>152288</v>
      </c>
      <c r="N6" s="55">
        <f t="shared" si="2"/>
        <v>0</v>
      </c>
      <c r="O6" s="55">
        <f>VLOOKUP(G6,'[4]Dispositivos exportados de HP W'!$C:$D,2,FALSE)</f>
        <v>152288</v>
      </c>
      <c r="P6" s="55">
        <f t="shared" si="3"/>
        <v>0</v>
      </c>
      <c r="Q6" s="55">
        <f>VLOOKUP(G6,'[6]Dispositivos exportados de HP W'!$C:$D,2,FALSE)</f>
        <v>152288</v>
      </c>
      <c r="R6" s="55">
        <f t="shared" si="4"/>
        <v>0</v>
      </c>
      <c r="S6" s="90">
        <f t="shared" si="5"/>
        <v>0</v>
      </c>
      <c r="T6" s="89">
        <v>46083</v>
      </c>
      <c r="U6" s="14"/>
      <c r="V6" s="105" t="s">
        <v>2239</v>
      </c>
      <c r="W6" s="105" t="s">
        <v>2239</v>
      </c>
    </row>
    <row r="7" spans="1:23" ht="13.5" customHeight="1" x14ac:dyDescent="0.25">
      <c r="A7" s="53" t="s">
        <v>2450</v>
      </c>
      <c r="B7" s="14" t="s">
        <v>761</v>
      </c>
      <c r="C7" s="22">
        <v>9211</v>
      </c>
      <c r="D7" s="14" t="s">
        <v>765</v>
      </c>
      <c r="E7" s="15" t="s">
        <v>420</v>
      </c>
      <c r="F7" s="14" t="s">
        <v>1278</v>
      </c>
      <c r="G7" s="15" t="s">
        <v>367</v>
      </c>
      <c r="H7" s="55">
        <v>448206</v>
      </c>
      <c r="I7" s="55">
        <f>VLOOKUP(G7,'[1]Dispositivos exportados de HP W'!$C:$D,2,FALSE)</f>
        <v>448206</v>
      </c>
      <c r="J7" s="55">
        <f t="shared" si="0"/>
        <v>0</v>
      </c>
      <c r="K7" s="55">
        <f>VLOOKUP(G7,'[2]Dispositivos exportados de HP W'!$C:$D,2,FALSE)</f>
        <v>448206</v>
      </c>
      <c r="L7" s="55">
        <f t="shared" si="1"/>
        <v>0</v>
      </c>
      <c r="M7" s="55">
        <f>VLOOKUP(G7,'[3]Dispositivos exportados de HP W'!$C:$D,2,FALSE)</f>
        <v>448206</v>
      </c>
      <c r="N7" s="55">
        <f t="shared" si="2"/>
        <v>0</v>
      </c>
      <c r="O7" s="55">
        <f>VLOOKUP(G7,'[4]Dispositivos exportados de HP W'!$C:$D,2,FALSE)</f>
        <v>448206</v>
      </c>
      <c r="P7" s="55">
        <f t="shared" si="3"/>
        <v>0</v>
      </c>
      <c r="Q7" s="55">
        <f>VLOOKUP(G7,'[6]Dispositivos exportados de HP W'!$C:$D,2,FALSE)</f>
        <v>448206</v>
      </c>
      <c r="R7" s="55">
        <f t="shared" si="4"/>
        <v>0</v>
      </c>
      <c r="S7" s="90">
        <f t="shared" si="5"/>
        <v>0</v>
      </c>
      <c r="T7" s="89">
        <v>46083</v>
      </c>
      <c r="U7" s="14" t="s">
        <v>2093</v>
      </c>
      <c r="V7" s="14" t="s">
        <v>2382</v>
      </c>
      <c r="W7" s="105" t="str">
        <f>VLOOKUP(C7,'Status oficina'!$A$2:$C$208,3,FALSE)</f>
        <v>Activa</v>
      </c>
    </row>
    <row r="8" spans="1:23" ht="13.5" customHeight="1" x14ac:dyDescent="0.25">
      <c r="A8" s="14" t="s">
        <v>946</v>
      </c>
      <c r="B8" s="14" t="s">
        <v>987</v>
      </c>
      <c r="C8" s="120">
        <v>9655</v>
      </c>
      <c r="D8" s="26" t="s">
        <v>992</v>
      </c>
      <c r="E8" s="14" t="s">
        <v>416</v>
      </c>
      <c r="F8" s="14" t="s">
        <v>993</v>
      </c>
      <c r="G8" s="54" t="s">
        <v>399</v>
      </c>
      <c r="H8" s="55">
        <v>118749</v>
      </c>
      <c r="I8" s="55">
        <f>VLOOKUP(G8,'[1]Dispositivos exportados de HP W'!$C:$D,2,FALSE)</f>
        <v>118917</v>
      </c>
      <c r="J8" s="55">
        <f t="shared" si="0"/>
        <v>168</v>
      </c>
      <c r="K8" s="55">
        <f>VLOOKUP(G8,'[2]Dispositivos exportados de HP W'!$C:$D,2,FALSE)</f>
        <v>119040</v>
      </c>
      <c r="L8" s="55">
        <f t="shared" si="1"/>
        <v>123</v>
      </c>
      <c r="M8" s="55">
        <f>VLOOKUP(G8,'[3]Dispositivos exportados de HP W'!$C:$D,2,FALSE)</f>
        <v>119116</v>
      </c>
      <c r="N8" s="55">
        <f t="shared" si="2"/>
        <v>76</v>
      </c>
      <c r="O8" s="55">
        <f>VLOOKUP(G8,'[4]Dispositivos exportados de HP W'!$C:$D,2,FALSE)</f>
        <v>119246</v>
      </c>
      <c r="P8" s="55">
        <f t="shared" si="3"/>
        <v>130</v>
      </c>
      <c r="Q8" s="55">
        <f>VLOOKUP(G8,'[6]Dispositivos exportados de HP W'!$C:$D,2,FALSE)</f>
        <v>119261</v>
      </c>
      <c r="R8" s="55">
        <f t="shared" si="4"/>
        <v>15</v>
      </c>
      <c r="S8" s="90">
        <f t="shared" si="5"/>
        <v>512</v>
      </c>
      <c r="T8" s="89">
        <v>46083</v>
      </c>
      <c r="U8" s="14" t="s">
        <v>2446</v>
      </c>
      <c r="V8" s="108" t="s">
        <v>2383</v>
      </c>
      <c r="W8" s="105" t="str">
        <f>VLOOKUP(C8,'Status oficina'!$A$2:$C$208,3,FALSE)</f>
        <v>Activa</v>
      </c>
    </row>
    <row r="9" spans="1:23" ht="13.5" customHeight="1" x14ac:dyDescent="0.25">
      <c r="A9" s="53" t="s">
        <v>2450</v>
      </c>
      <c r="B9" s="14" t="s">
        <v>675</v>
      </c>
      <c r="C9" s="120">
        <v>9935</v>
      </c>
      <c r="D9" s="14" t="s">
        <v>676</v>
      </c>
      <c r="E9" s="14" t="s">
        <v>416</v>
      </c>
      <c r="F9" s="14" t="s">
        <v>1224</v>
      </c>
      <c r="G9" s="14" t="s">
        <v>198</v>
      </c>
      <c r="H9" s="55">
        <v>338220</v>
      </c>
      <c r="I9" s="55">
        <f>VLOOKUP(G9,'[1]Dispositivos exportados de HP W'!$C:$D,2,FALSE)</f>
        <v>338693</v>
      </c>
      <c r="J9" s="55">
        <f t="shared" si="0"/>
        <v>473</v>
      </c>
      <c r="K9" s="55">
        <f>VLOOKUP(G9,'[2]Dispositivos exportados de HP W'!$C:$D,2,FALSE)</f>
        <v>339058</v>
      </c>
      <c r="L9" s="55">
        <f t="shared" si="1"/>
        <v>365</v>
      </c>
      <c r="M9" s="55">
        <f>VLOOKUP(G9,'[3]Dispositivos exportados de HP W'!$C:$D,2,FALSE)</f>
        <v>339243</v>
      </c>
      <c r="N9" s="55">
        <f t="shared" si="2"/>
        <v>185</v>
      </c>
      <c r="O9" s="55">
        <f>VLOOKUP(G9,'[4]Dispositivos exportados de HP W'!$C:$D,2,FALSE)</f>
        <v>339545</v>
      </c>
      <c r="P9" s="55">
        <f t="shared" si="3"/>
        <v>302</v>
      </c>
      <c r="Q9" s="55">
        <f>VLOOKUP(G9,'[6]Dispositivos exportados de HP W'!$C:$D,2,FALSE)</f>
        <v>339647</v>
      </c>
      <c r="R9" s="55">
        <f t="shared" si="4"/>
        <v>102</v>
      </c>
      <c r="S9" s="90">
        <f t="shared" si="5"/>
        <v>1427</v>
      </c>
      <c r="T9" s="89">
        <v>46083</v>
      </c>
      <c r="U9" s="14"/>
      <c r="V9" s="108" t="s">
        <v>2383</v>
      </c>
      <c r="W9" s="105" t="str">
        <f>VLOOKUP(C9,'Status oficina'!$A$2:$C$208,3,FALSE)</f>
        <v>Activa</v>
      </c>
    </row>
    <row r="10" spans="1:23" ht="13.5" customHeight="1" x14ac:dyDescent="0.25">
      <c r="A10" s="14" t="s">
        <v>2089</v>
      </c>
      <c r="B10" s="14" t="s">
        <v>623</v>
      </c>
      <c r="C10" s="120">
        <v>9832</v>
      </c>
      <c r="D10" s="14" t="s">
        <v>624</v>
      </c>
      <c r="E10" s="14" t="s">
        <v>416</v>
      </c>
      <c r="F10" s="14" t="s">
        <v>2000</v>
      </c>
      <c r="G10" s="14" t="s">
        <v>312</v>
      </c>
      <c r="H10" s="55">
        <v>132478</v>
      </c>
      <c r="I10" s="55">
        <f>VLOOKUP(G10,'[1]Dispositivos exportados de HP W'!$C:$D,2,FALSE)</f>
        <v>132499</v>
      </c>
      <c r="J10" s="55">
        <f t="shared" si="0"/>
        <v>21</v>
      </c>
      <c r="K10" s="55">
        <f>VLOOKUP(G10,'[2]Dispositivos exportados de HP W'!$C:$D,2,FALSE)</f>
        <v>132574</v>
      </c>
      <c r="L10" s="55">
        <f t="shared" si="1"/>
        <v>75</v>
      </c>
      <c r="M10" s="55">
        <f>VLOOKUP(G10,'[3]Dispositivos exportados de HP W'!$C:$D,2,FALSE)</f>
        <v>132748</v>
      </c>
      <c r="N10" s="55">
        <f t="shared" si="2"/>
        <v>174</v>
      </c>
      <c r="O10" s="55">
        <f>VLOOKUP(G10,'[4]Dispositivos exportados de HP W'!$C:$D,2,FALSE)</f>
        <v>132828</v>
      </c>
      <c r="P10" s="55">
        <f t="shared" si="3"/>
        <v>80</v>
      </c>
      <c r="Q10" s="55">
        <f>VLOOKUP(G10,'[6]Dispositivos exportados de HP W'!$C:$D,2,FALSE)</f>
        <v>132828</v>
      </c>
      <c r="R10" s="55">
        <f t="shared" si="4"/>
        <v>0</v>
      </c>
      <c r="S10" s="90">
        <f t="shared" si="5"/>
        <v>350</v>
      </c>
      <c r="T10" s="89">
        <v>46083</v>
      </c>
      <c r="U10" s="14" t="s">
        <v>2438</v>
      </c>
      <c r="V10" s="105" t="s">
        <v>2383</v>
      </c>
      <c r="W10" s="105" t="str">
        <f>VLOOKUP(C10,'Status oficina'!$A$2:$C$208,3,FALSE)</f>
        <v>Activa</v>
      </c>
    </row>
    <row r="11" spans="1:23" ht="13.5" customHeight="1" x14ac:dyDescent="0.25">
      <c r="A11" s="53" t="s">
        <v>872</v>
      </c>
      <c r="B11" s="53" t="s">
        <v>435</v>
      </c>
      <c r="C11" s="120">
        <v>9822</v>
      </c>
      <c r="D11" s="14" t="s">
        <v>436</v>
      </c>
      <c r="E11" s="14" t="s">
        <v>416</v>
      </c>
      <c r="F11" s="14" t="s">
        <v>1082</v>
      </c>
      <c r="G11" s="14" t="s">
        <v>193</v>
      </c>
      <c r="H11" s="55">
        <v>472619</v>
      </c>
      <c r="I11" s="55">
        <f>VLOOKUP(G11,'[1]Dispositivos exportados de HP W'!$C:$D,2,FALSE)</f>
        <v>472723</v>
      </c>
      <c r="J11" s="55">
        <f t="shared" si="0"/>
        <v>104</v>
      </c>
      <c r="K11" s="55">
        <f>VLOOKUP(G11,'[2]Dispositivos exportados de HP W'!$C:$D,2,FALSE)</f>
        <v>473111</v>
      </c>
      <c r="L11" s="55">
        <f t="shared" si="1"/>
        <v>388</v>
      </c>
      <c r="M11" s="55">
        <f>VLOOKUP(G11,'[3]Dispositivos exportados de HP W'!$C:$D,2,FALSE)</f>
        <v>473237</v>
      </c>
      <c r="N11" s="55">
        <f t="shared" si="2"/>
        <v>126</v>
      </c>
      <c r="O11" s="55">
        <f>VLOOKUP(G11,'[4]Dispositivos exportados de HP W'!$C:$D,2,FALSE)</f>
        <v>473452</v>
      </c>
      <c r="P11" s="55">
        <f t="shared" si="3"/>
        <v>215</v>
      </c>
      <c r="Q11" s="55">
        <f>VLOOKUP(G11,'[6]Dispositivos exportados de HP W'!$C:$D,2,FALSE)</f>
        <v>473523</v>
      </c>
      <c r="R11" s="55">
        <f t="shared" si="4"/>
        <v>71</v>
      </c>
      <c r="S11" s="90">
        <f t="shared" si="5"/>
        <v>904</v>
      </c>
      <c r="T11" s="89">
        <v>46083</v>
      </c>
      <c r="U11" s="14"/>
      <c r="V11" s="105" t="s">
        <v>2383</v>
      </c>
      <c r="W11" s="105" t="str">
        <f>VLOOKUP(C11,'Status oficina'!$A$2:$C$208,3,FALSE)</f>
        <v>Activa</v>
      </c>
    </row>
    <row r="12" spans="1:23" ht="13.5" customHeight="1" x14ac:dyDescent="0.25">
      <c r="A12" s="53" t="s">
        <v>2450</v>
      </c>
      <c r="B12" s="14" t="s">
        <v>702</v>
      </c>
      <c r="C12" s="120">
        <v>9232</v>
      </c>
      <c r="D12" s="14" t="s">
        <v>2159</v>
      </c>
      <c r="E12" s="14" t="s">
        <v>416</v>
      </c>
      <c r="F12" s="14" t="s">
        <v>1241</v>
      </c>
      <c r="G12" s="14" t="s">
        <v>129</v>
      </c>
      <c r="H12" s="55">
        <v>178561</v>
      </c>
      <c r="I12" s="55">
        <f>VLOOKUP(G12,'[1]Dispositivos exportados de HP W'!$C:$D,2,FALSE)</f>
        <v>178642</v>
      </c>
      <c r="J12" s="55">
        <f t="shared" si="0"/>
        <v>81</v>
      </c>
      <c r="K12" s="55">
        <f>VLOOKUP(G12,'[2]Dispositivos exportados de HP W'!$C:$D,2,FALSE)</f>
        <v>178697</v>
      </c>
      <c r="L12" s="55">
        <f t="shared" si="1"/>
        <v>55</v>
      </c>
      <c r="M12" s="55">
        <f>VLOOKUP(G12,'[3]Dispositivos exportados de HP W'!$C:$D,2,FALSE)</f>
        <v>178758</v>
      </c>
      <c r="N12" s="55">
        <f t="shared" si="2"/>
        <v>61</v>
      </c>
      <c r="O12" s="55">
        <f>VLOOKUP(G12,'[4]Dispositivos exportados de HP W'!$C:$D,2,FALSE)</f>
        <v>178815</v>
      </c>
      <c r="P12" s="55">
        <f t="shared" si="3"/>
        <v>57</v>
      </c>
      <c r="Q12" s="55">
        <f>VLOOKUP(G12,'[6]Dispositivos exportados de HP W'!$C:$D,2,FALSE)</f>
        <v>178846</v>
      </c>
      <c r="R12" s="55">
        <f t="shared" si="4"/>
        <v>31</v>
      </c>
      <c r="S12" s="90">
        <f t="shared" si="5"/>
        <v>285</v>
      </c>
      <c r="T12" s="89">
        <v>46083</v>
      </c>
      <c r="U12" s="14"/>
      <c r="V12" s="105" t="s">
        <v>2383</v>
      </c>
      <c r="W12" s="105" t="str">
        <f>VLOOKUP(C12,'Status oficina'!$A$2:$C$208,3,FALSE)</f>
        <v>Activa</v>
      </c>
    </row>
    <row r="13" spans="1:23" ht="13.5" customHeight="1" x14ac:dyDescent="0.25">
      <c r="A13" s="53" t="s">
        <v>2450</v>
      </c>
      <c r="B13" s="14" t="s">
        <v>761</v>
      </c>
      <c r="C13" s="120">
        <v>9211</v>
      </c>
      <c r="D13" s="14" t="s">
        <v>2099</v>
      </c>
      <c r="E13" s="14" t="s">
        <v>416</v>
      </c>
      <c r="F13" s="14" t="s">
        <v>1473</v>
      </c>
      <c r="G13" s="14" t="s">
        <v>293</v>
      </c>
      <c r="H13" s="55">
        <v>133052</v>
      </c>
      <c r="I13" s="55">
        <f>VLOOKUP(G13,'[1]Dispositivos exportados de HP W'!$C:$D,2,FALSE)</f>
        <v>133126</v>
      </c>
      <c r="J13" s="55">
        <f t="shared" si="0"/>
        <v>74</v>
      </c>
      <c r="K13" s="55">
        <f>VLOOKUP(G13,'[2]Dispositivos exportados de HP W'!$C:$D,2,FALSE)</f>
        <v>133250</v>
      </c>
      <c r="L13" s="55">
        <f t="shared" si="1"/>
        <v>124</v>
      </c>
      <c r="M13" s="55">
        <f>VLOOKUP(G13,'[3]Dispositivos exportados de HP W'!$C:$D,2,FALSE)</f>
        <v>133315</v>
      </c>
      <c r="N13" s="55">
        <f t="shared" si="2"/>
        <v>65</v>
      </c>
      <c r="O13" s="55">
        <f>VLOOKUP(G13,'[4]Dispositivos exportados de HP W'!$C:$D,2,FALSE)</f>
        <v>133384</v>
      </c>
      <c r="P13" s="55">
        <f t="shared" si="3"/>
        <v>69</v>
      </c>
      <c r="Q13" s="55">
        <f>VLOOKUP(G13,'[6]Dispositivos exportados de HP W'!$C:$D,2,FALSE)</f>
        <v>133438</v>
      </c>
      <c r="R13" s="55">
        <f t="shared" si="4"/>
        <v>54</v>
      </c>
      <c r="S13" s="90">
        <f t="shared" si="5"/>
        <v>386</v>
      </c>
      <c r="T13" s="89">
        <v>46083</v>
      </c>
      <c r="U13" s="14"/>
      <c r="V13" s="108" t="s">
        <v>2383</v>
      </c>
      <c r="W13" s="105" t="str">
        <f>VLOOKUP(C13,'Status oficina'!$A$2:$C$208,3,FALSE)</f>
        <v>Activa</v>
      </c>
    </row>
    <row r="14" spans="1:23" ht="13.5" customHeight="1" x14ac:dyDescent="0.25">
      <c r="A14" s="14" t="s">
        <v>2451</v>
      </c>
      <c r="B14" s="14" t="s">
        <v>671</v>
      </c>
      <c r="C14" s="19">
        <v>9224</v>
      </c>
      <c r="D14" s="14" t="s">
        <v>673</v>
      </c>
      <c r="E14" s="14" t="s">
        <v>416</v>
      </c>
      <c r="F14" s="14" t="s">
        <v>1222</v>
      </c>
      <c r="G14" s="14" t="s">
        <v>296</v>
      </c>
      <c r="H14" s="55">
        <v>153842</v>
      </c>
      <c r="I14" s="55">
        <f>VLOOKUP(G14,'[1]Dispositivos exportados de HP W'!$C:$D,2,FALSE)</f>
        <v>153997</v>
      </c>
      <c r="J14" s="55">
        <f t="shared" si="0"/>
        <v>155</v>
      </c>
      <c r="K14" s="55">
        <f>VLOOKUP(G14,'[2]Dispositivos exportados de HP W'!$C:$D,2,FALSE)</f>
        <v>154079</v>
      </c>
      <c r="L14" s="55">
        <f t="shared" si="1"/>
        <v>82</v>
      </c>
      <c r="M14" s="55">
        <f>VLOOKUP(G14,'[3]Dispositivos exportados de HP W'!$C:$D,2,FALSE)</f>
        <v>154234</v>
      </c>
      <c r="N14" s="55">
        <f t="shared" si="2"/>
        <v>155</v>
      </c>
      <c r="O14" s="55">
        <f>VLOOKUP(G14,'[4]Dispositivos exportados de HP W'!$C:$D,2,FALSE)</f>
        <v>154290</v>
      </c>
      <c r="P14" s="55">
        <f t="shared" si="3"/>
        <v>56</v>
      </c>
      <c r="Q14" s="55">
        <f>VLOOKUP(G14,'[6]Dispositivos exportados de HP W'!$C:$D,2,FALSE)</f>
        <v>154313</v>
      </c>
      <c r="R14" s="55">
        <f t="shared" si="4"/>
        <v>23</v>
      </c>
      <c r="S14" s="90">
        <f t="shared" si="5"/>
        <v>471</v>
      </c>
      <c r="T14" s="89">
        <v>46083</v>
      </c>
      <c r="U14" s="14"/>
      <c r="V14" s="105" t="s">
        <v>2383</v>
      </c>
      <c r="W14" s="105" t="str">
        <f>VLOOKUP(C14,'Status oficina'!$A$2:$C$208,3,FALSE)</f>
        <v>Activa</v>
      </c>
    </row>
    <row r="15" spans="1:23" ht="13.5" customHeight="1" x14ac:dyDescent="0.25">
      <c r="A15" s="14" t="s">
        <v>2451</v>
      </c>
      <c r="B15" s="14" t="s">
        <v>671</v>
      </c>
      <c r="C15" s="19">
        <v>9224</v>
      </c>
      <c r="D15" s="14" t="s">
        <v>674</v>
      </c>
      <c r="E15" s="14" t="s">
        <v>416</v>
      </c>
      <c r="F15" s="14" t="s">
        <v>2220</v>
      </c>
      <c r="G15" s="14" t="s">
        <v>338</v>
      </c>
      <c r="H15" s="55">
        <v>307305</v>
      </c>
      <c r="I15" s="55">
        <f>VLOOKUP(G15,'[1]Dispositivos exportados de HP W'!$C:$D,2,FALSE)</f>
        <v>308033</v>
      </c>
      <c r="J15" s="55">
        <f t="shared" si="0"/>
        <v>728</v>
      </c>
      <c r="K15" s="55">
        <f>VLOOKUP(G15,'[2]Dispositivos exportados de HP W'!$C:$D,2,FALSE)</f>
        <v>309001</v>
      </c>
      <c r="L15" s="55">
        <f t="shared" si="1"/>
        <v>968</v>
      </c>
      <c r="M15" s="55">
        <f>VLOOKUP(G15,'[3]Dispositivos exportados de HP W'!$C:$D,2,FALSE)</f>
        <v>309769</v>
      </c>
      <c r="N15" s="55">
        <f t="shared" si="2"/>
        <v>768</v>
      </c>
      <c r="O15" s="55">
        <f>VLOOKUP(G15,'[4]Dispositivos exportados de HP W'!$C:$D,2,FALSE)</f>
        <v>311010</v>
      </c>
      <c r="P15" s="55">
        <f t="shared" si="3"/>
        <v>1241</v>
      </c>
      <c r="Q15" s="55">
        <f>VLOOKUP(G15,'[6]Dispositivos exportados de HP W'!$C:$D,2,FALSE)</f>
        <v>311358</v>
      </c>
      <c r="R15" s="55">
        <f t="shared" si="4"/>
        <v>348</v>
      </c>
      <c r="S15" s="90">
        <f t="shared" si="5"/>
        <v>4053</v>
      </c>
      <c r="T15" s="89">
        <v>46083</v>
      </c>
      <c r="U15" s="14"/>
      <c r="V15" s="105" t="s">
        <v>2383</v>
      </c>
      <c r="W15" s="105" t="str">
        <f>VLOOKUP(C15,'Status oficina'!$A$2:$C$208,3,FALSE)</f>
        <v>Activa</v>
      </c>
    </row>
    <row r="16" spans="1:23" ht="12" customHeight="1" x14ac:dyDescent="0.25">
      <c r="A16" s="53" t="s">
        <v>2450</v>
      </c>
      <c r="B16" s="15" t="s">
        <v>657</v>
      </c>
      <c r="C16" s="19">
        <v>9203</v>
      </c>
      <c r="D16" s="14" t="s">
        <v>659</v>
      </c>
      <c r="E16" s="15" t="s">
        <v>416</v>
      </c>
      <c r="F16" s="14" t="s">
        <v>660</v>
      </c>
      <c r="G16" s="15" t="s">
        <v>379</v>
      </c>
      <c r="H16" s="55">
        <v>306785</v>
      </c>
      <c r="I16" s="55">
        <f>VLOOKUP(G16,'[1]Dispositivos exportados de HP W'!$C:$D,2,FALSE)</f>
        <v>306785</v>
      </c>
      <c r="J16" s="55">
        <f t="shared" si="0"/>
        <v>0</v>
      </c>
      <c r="K16" s="55">
        <f>VLOOKUP(G16,'[2]Dispositivos exportados de HP W'!$C:$D,2,FALSE)</f>
        <v>306785</v>
      </c>
      <c r="L16" s="55">
        <f t="shared" si="1"/>
        <v>0</v>
      </c>
      <c r="M16" s="55">
        <f>VLOOKUP(G16,'[3]Dispositivos exportados de HP W'!$C:$D,2,FALSE)</f>
        <v>306785</v>
      </c>
      <c r="N16" s="55">
        <f t="shared" si="2"/>
        <v>0</v>
      </c>
      <c r="O16" s="55">
        <f>VLOOKUP(G16,'[4]Dispositivos exportados de HP W'!$C:$D,2,FALSE)</f>
        <v>306785</v>
      </c>
      <c r="P16" s="55">
        <f t="shared" si="3"/>
        <v>0</v>
      </c>
      <c r="Q16" s="55">
        <f>VLOOKUP(G16,'[6]Dispositivos exportados de HP W'!$C:$D,2,FALSE)</f>
        <v>306785</v>
      </c>
      <c r="R16" s="55">
        <f t="shared" si="4"/>
        <v>0</v>
      </c>
      <c r="S16" s="90">
        <f t="shared" si="5"/>
        <v>0</v>
      </c>
      <c r="T16" s="89">
        <v>46083</v>
      </c>
      <c r="U16" s="14" t="s">
        <v>2479</v>
      </c>
      <c r="V16" s="105" t="s">
        <v>2246</v>
      </c>
      <c r="W16" s="105" t="s">
        <v>2246</v>
      </c>
    </row>
    <row r="17" spans="1:23" ht="13.5" customHeight="1" x14ac:dyDescent="0.25">
      <c r="A17" s="53" t="s">
        <v>872</v>
      </c>
      <c r="B17" s="53" t="s">
        <v>417</v>
      </c>
      <c r="C17" s="19">
        <v>9963</v>
      </c>
      <c r="D17" s="53" t="s">
        <v>418</v>
      </c>
      <c r="E17" s="53" t="s">
        <v>416</v>
      </c>
      <c r="F17" s="53" t="s">
        <v>1071</v>
      </c>
      <c r="G17" s="53" t="s">
        <v>106</v>
      </c>
      <c r="H17" s="55">
        <v>124430</v>
      </c>
      <c r="I17" s="55">
        <f>VLOOKUP(G17,'[1]Dispositivos exportados de HP W'!$C:$D,2,FALSE)</f>
        <v>124769</v>
      </c>
      <c r="J17" s="55">
        <f t="shared" si="0"/>
        <v>339</v>
      </c>
      <c r="K17" s="55">
        <f>VLOOKUP(G17,'[2]Dispositivos exportados de HP W'!$C:$D,2,FALSE)</f>
        <v>125141</v>
      </c>
      <c r="L17" s="55">
        <f t="shared" si="1"/>
        <v>372</v>
      </c>
      <c r="M17" s="55">
        <f>VLOOKUP(G17,'[3]Dispositivos exportados de HP W'!$C:$D,2,FALSE)</f>
        <v>125256</v>
      </c>
      <c r="N17" s="55">
        <f t="shared" si="2"/>
        <v>115</v>
      </c>
      <c r="O17" s="55">
        <f>VLOOKUP(G17,'[4]Dispositivos exportados de HP W'!$C:$D,2,FALSE)</f>
        <v>125525</v>
      </c>
      <c r="P17" s="55">
        <f t="shared" si="3"/>
        <v>269</v>
      </c>
      <c r="Q17" s="55">
        <f>VLOOKUP(G17,'[6]Dispositivos exportados de HP W'!$C:$D,2,FALSE)</f>
        <v>125644</v>
      </c>
      <c r="R17" s="55">
        <f t="shared" si="4"/>
        <v>119</v>
      </c>
      <c r="S17" s="90">
        <f t="shared" si="5"/>
        <v>1214</v>
      </c>
      <c r="T17" s="89">
        <v>46083</v>
      </c>
      <c r="U17" s="57"/>
      <c r="V17" s="108" t="s">
        <v>2383</v>
      </c>
      <c r="W17" s="105" t="str">
        <f>VLOOKUP(C17,'Status oficina'!$A$2:$C$208,3,FALSE)</f>
        <v>Activa</v>
      </c>
    </row>
    <row r="18" spans="1:23" ht="13.5" customHeight="1" x14ac:dyDescent="0.25">
      <c r="A18" s="53" t="s">
        <v>872</v>
      </c>
      <c r="B18" s="53" t="s">
        <v>431</v>
      </c>
      <c r="C18" s="120">
        <v>9837</v>
      </c>
      <c r="D18" s="14" t="s">
        <v>432</v>
      </c>
      <c r="E18" s="14" t="s">
        <v>416</v>
      </c>
      <c r="F18" s="14" t="s">
        <v>1079</v>
      </c>
      <c r="G18" s="14" t="s">
        <v>105</v>
      </c>
      <c r="H18" s="55">
        <v>241195</v>
      </c>
      <c r="I18" s="55">
        <f>VLOOKUP(G18,'[1]Dispositivos exportados de HP W'!$C:$D,2,FALSE)</f>
        <v>241517</v>
      </c>
      <c r="J18" s="55">
        <f t="shared" si="0"/>
        <v>322</v>
      </c>
      <c r="K18" s="55">
        <f>VLOOKUP(G18,'[2]Dispositivos exportados de HP W'!$C:$D,2,FALSE)</f>
        <v>242057</v>
      </c>
      <c r="L18" s="55">
        <f t="shared" si="1"/>
        <v>540</v>
      </c>
      <c r="M18" s="55">
        <f>VLOOKUP(G18,'[3]Dispositivos exportados de HP W'!$C:$D,2,FALSE)</f>
        <v>242801</v>
      </c>
      <c r="N18" s="55">
        <f t="shared" si="2"/>
        <v>744</v>
      </c>
      <c r="O18" s="55">
        <f>VLOOKUP(G18,'[4]Dispositivos exportados de HP W'!$C:$D,2,FALSE)</f>
        <v>243542</v>
      </c>
      <c r="P18" s="55">
        <f t="shared" si="3"/>
        <v>741</v>
      </c>
      <c r="Q18" s="55">
        <f>VLOOKUP(G18,'[6]Dispositivos exportados de HP W'!$C:$D,2,FALSE)</f>
        <v>243868</v>
      </c>
      <c r="R18" s="55">
        <f t="shared" si="4"/>
        <v>326</v>
      </c>
      <c r="S18" s="90">
        <f t="shared" si="5"/>
        <v>2673</v>
      </c>
      <c r="T18" s="89">
        <v>46083</v>
      </c>
      <c r="U18" s="14"/>
      <c r="V18" s="105" t="s">
        <v>2383</v>
      </c>
      <c r="W18" s="105" t="str">
        <f>VLOOKUP(C18,'Status oficina'!$A$2:$C$208,3,FALSE)</f>
        <v>Activa</v>
      </c>
    </row>
    <row r="19" spans="1:23" ht="13.5" customHeight="1" x14ac:dyDescent="0.25">
      <c r="A19" s="53" t="s">
        <v>872</v>
      </c>
      <c r="B19" s="53" t="s">
        <v>442</v>
      </c>
      <c r="C19" s="120">
        <v>9895</v>
      </c>
      <c r="D19" s="14" t="s">
        <v>2129</v>
      </c>
      <c r="E19" s="14" t="s">
        <v>416</v>
      </c>
      <c r="F19" s="14" t="s">
        <v>1086</v>
      </c>
      <c r="G19" s="14" t="s">
        <v>225</v>
      </c>
      <c r="H19" s="55">
        <v>93852</v>
      </c>
      <c r="I19" s="55">
        <f>VLOOKUP(G19,'[1]Dispositivos exportados de HP W'!$C:$D,2,FALSE)</f>
        <v>93852</v>
      </c>
      <c r="J19" s="55">
        <f t="shared" si="0"/>
        <v>0</v>
      </c>
      <c r="K19" s="55">
        <f>VLOOKUP(G19,'[2]Dispositivos exportados de HP W'!$C:$D,2,FALSE)</f>
        <v>93852</v>
      </c>
      <c r="L19" s="55">
        <f t="shared" si="1"/>
        <v>0</v>
      </c>
      <c r="M19" s="55">
        <f>VLOOKUP(G19,'[3]Dispositivos exportados de HP W'!$C:$D,2,FALSE)</f>
        <v>93852</v>
      </c>
      <c r="N19" s="55">
        <f t="shared" si="2"/>
        <v>0</v>
      </c>
      <c r="O19" s="55">
        <f>VLOOKUP(G19,'[4]Dispositivos exportados de HP W'!$C:$D,2,FALSE)</f>
        <v>93852</v>
      </c>
      <c r="P19" s="55">
        <f t="shared" si="3"/>
        <v>0</v>
      </c>
      <c r="Q19" s="55">
        <f>VLOOKUP(G19,'[6]Dispositivos exportados de HP W'!$C:$D,2,FALSE)</f>
        <v>93852</v>
      </c>
      <c r="R19" s="55">
        <f t="shared" si="4"/>
        <v>0</v>
      </c>
      <c r="S19" s="90">
        <f t="shared" si="5"/>
        <v>0</v>
      </c>
      <c r="T19" s="89">
        <v>46083</v>
      </c>
      <c r="U19" s="14" t="s">
        <v>2463</v>
      </c>
      <c r="V19" s="105" t="s">
        <v>2246</v>
      </c>
      <c r="W19" s="105" t="str">
        <f>VLOOKUP(C19,'Status oficina'!$A$2:$C$208,3,FALSE)</f>
        <v>Cierre definitivo</v>
      </c>
    </row>
    <row r="20" spans="1:23" ht="13.5" customHeight="1" x14ac:dyDescent="0.25">
      <c r="A20" s="14" t="s">
        <v>2089</v>
      </c>
      <c r="B20" s="14" t="s">
        <v>495</v>
      </c>
      <c r="C20" s="120">
        <v>9410</v>
      </c>
      <c r="D20" s="14" t="s">
        <v>2499</v>
      </c>
      <c r="E20" s="14" t="s">
        <v>416</v>
      </c>
      <c r="F20" s="14" t="s">
        <v>1121</v>
      </c>
      <c r="G20" s="14" t="s">
        <v>5</v>
      </c>
      <c r="H20" s="55">
        <v>142084</v>
      </c>
      <c r="I20" s="55">
        <f>VLOOKUP(G20,'[1]Dispositivos exportados de HP W'!$C:$D,2,FALSE)</f>
        <v>142476</v>
      </c>
      <c r="J20" s="55">
        <f t="shared" si="0"/>
        <v>392</v>
      </c>
      <c r="K20" s="55">
        <f>VLOOKUP(G20,'[2]Dispositivos exportados de HP W'!$C:$D,2,FALSE)</f>
        <v>142846</v>
      </c>
      <c r="L20" s="55">
        <f t="shared" si="1"/>
        <v>370</v>
      </c>
      <c r="M20" s="55">
        <f>VLOOKUP(G20,'[3]Dispositivos exportados de HP W'!$C:$D,2,FALSE)</f>
        <v>143133</v>
      </c>
      <c r="N20" s="55">
        <f t="shared" si="2"/>
        <v>287</v>
      </c>
      <c r="O20" s="55">
        <f>VLOOKUP(G20,'[4]Dispositivos exportados de HP W'!$C:$D,2,FALSE)</f>
        <v>143579</v>
      </c>
      <c r="P20" s="55">
        <f t="shared" si="3"/>
        <v>446</v>
      </c>
      <c r="Q20" s="55">
        <f>VLOOKUP(G20,'[6]Dispositivos exportados de HP W'!$C:$D,2,FALSE)</f>
        <v>143739</v>
      </c>
      <c r="R20" s="55">
        <f t="shared" si="4"/>
        <v>160</v>
      </c>
      <c r="S20" s="90">
        <f t="shared" si="5"/>
        <v>1655</v>
      </c>
      <c r="T20" s="89">
        <v>46083</v>
      </c>
      <c r="U20" s="14"/>
      <c r="V20" s="105" t="s">
        <v>2383</v>
      </c>
      <c r="W20" s="105" t="str">
        <f>VLOOKUP(C20,'Status oficina'!$A$2:$C$208,3,FALSE)</f>
        <v>Activa</v>
      </c>
    </row>
    <row r="21" spans="1:23" s="66" customFormat="1" ht="13.5" customHeight="1" x14ac:dyDescent="0.25">
      <c r="A21" s="14" t="s">
        <v>2089</v>
      </c>
      <c r="B21" s="14" t="s">
        <v>512</v>
      </c>
      <c r="C21" s="22">
        <v>9467</v>
      </c>
      <c r="D21" s="14" t="s">
        <v>513</v>
      </c>
      <c r="E21" s="15" t="s">
        <v>416</v>
      </c>
      <c r="F21" s="14" t="s">
        <v>1137</v>
      </c>
      <c r="G21" s="15" t="s">
        <v>351</v>
      </c>
      <c r="H21" s="55">
        <v>124989</v>
      </c>
      <c r="I21" s="55">
        <f>VLOOKUP(G21,'[1]Dispositivos exportados de HP W'!$C:$D,2,FALSE)</f>
        <v>125180</v>
      </c>
      <c r="J21" s="55">
        <f t="shared" si="0"/>
        <v>191</v>
      </c>
      <c r="K21" s="55">
        <f>VLOOKUP(G21,'[2]Dispositivos exportados de HP W'!$C:$D,2,FALSE)</f>
        <v>125382</v>
      </c>
      <c r="L21" s="55">
        <f t="shared" si="1"/>
        <v>202</v>
      </c>
      <c r="M21" s="55">
        <f>VLOOKUP(G21,'[3]Dispositivos exportados de HP W'!$C:$D,2,FALSE)</f>
        <v>125546</v>
      </c>
      <c r="N21" s="55">
        <f t="shared" si="2"/>
        <v>164</v>
      </c>
      <c r="O21" s="55">
        <f>VLOOKUP(G21,'[4]Dispositivos exportados de HP W'!$C:$D,2,FALSE)</f>
        <v>125689</v>
      </c>
      <c r="P21" s="55">
        <f t="shared" si="3"/>
        <v>143</v>
      </c>
      <c r="Q21" s="55">
        <f>VLOOKUP(G21,'[6]Dispositivos exportados de HP W'!$C:$D,2,FALSE)</f>
        <v>125821</v>
      </c>
      <c r="R21" s="55">
        <f t="shared" si="4"/>
        <v>132</v>
      </c>
      <c r="S21" s="90">
        <f t="shared" si="5"/>
        <v>832</v>
      </c>
      <c r="T21" s="89">
        <v>46083</v>
      </c>
      <c r="U21" s="14"/>
      <c r="V21" s="105" t="s">
        <v>2383</v>
      </c>
      <c r="W21" s="105" t="str">
        <f>VLOOKUP(C21,'Status oficina'!$A$2:$C$208,3,FALSE)</f>
        <v>Activa</v>
      </c>
    </row>
    <row r="22" spans="1:23" ht="13.5" customHeight="1" x14ac:dyDescent="0.25">
      <c r="A22" s="14" t="s">
        <v>2089</v>
      </c>
      <c r="B22" s="14" t="s">
        <v>488</v>
      </c>
      <c r="C22" s="120">
        <v>9420</v>
      </c>
      <c r="D22" s="109" t="s">
        <v>490</v>
      </c>
      <c r="E22" s="14" t="s">
        <v>416</v>
      </c>
      <c r="F22" s="14" t="s">
        <v>1116</v>
      </c>
      <c r="G22" s="14" t="s">
        <v>199</v>
      </c>
      <c r="H22" s="55">
        <v>221210</v>
      </c>
      <c r="I22" s="55">
        <f>VLOOKUP(G22,'[1]Dispositivos exportados de HP W'!$C:$D,2,FALSE)</f>
        <v>221210</v>
      </c>
      <c r="J22" s="55">
        <f t="shared" si="0"/>
        <v>0</v>
      </c>
      <c r="K22" s="55">
        <f>VLOOKUP(G22,'[2]Dispositivos exportados de HP W'!$C:$D,2,FALSE)</f>
        <v>221210</v>
      </c>
      <c r="L22" s="55">
        <f t="shared" si="1"/>
        <v>0</v>
      </c>
      <c r="M22" s="55">
        <f>VLOOKUP(G22,'[3]Dispositivos exportados de HP W'!$C:$D,2,FALSE)</f>
        <v>221210</v>
      </c>
      <c r="N22" s="55">
        <f t="shared" si="2"/>
        <v>0</v>
      </c>
      <c r="O22" s="55">
        <f>VLOOKUP(G22,'[4]Dispositivos exportados de HP W'!$C:$D,2,FALSE)</f>
        <v>221210</v>
      </c>
      <c r="P22" s="55">
        <f t="shared" si="3"/>
        <v>0</v>
      </c>
      <c r="Q22" s="55">
        <f>VLOOKUP(G22,'[6]Dispositivos exportados de HP W'!$C:$D,2,FALSE)</f>
        <v>221210</v>
      </c>
      <c r="R22" s="55">
        <f t="shared" si="4"/>
        <v>0</v>
      </c>
      <c r="S22" s="90">
        <f t="shared" si="5"/>
        <v>0</v>
      </c>
      <c r="T22" s="89">
        <v>46083</v>
      </c>
      <c r="U22" s="14"/>
      <c r="V22" s="105" t="s">
        <v>2246</v>
      </c>
      <c r="W22" s="105" t="str">
        <f>VLOOKUP(C22,'Status oficina'!$A$2:$C$208,3,FALSE)</f>
        <v>Cierre definitivo</v>
      </c>
    </row>
    <row r="23" spans="1:23" ht="13.5" customHeight="1" x14ac:dyDescent="0.25">
      <c r="A23" s="14" t="s">
        <v>2451</v>
      </c>
      <c r="B23" s="14" t="s">
        <v>811</v>
      </c>
      <c r="C23" s="19">
        <v>9231</v>
      </c>
      <c r="D23" s="14" t="s">
        <v>814</v>
      </c>
      <c r="E23" s="14" t="s">
        <v>416</v>
      </c>
      <c r="F23" s="14" t="s">
        <v>1310</v>
      </c>
      <c r="G23" s="14" t="s">
        <v>333</v>
      </c>
      <c r="H23" s="55">
        <v>206017</v>
      </c>
      <c r="I23" s="55">
        <f>VLOOKUP(G23,'[1]Dispositivos exportados de HP W'!$C:$D,2,FALSE)</f>
        <v>206262</v>
      </c>
      <c r="J23" s="55">
        <f t="shared" si="0"/>
        <v>245</v>
      </c>
      <c r="K23" s="55">
        <f>VLOOKUP(G23,'[2]Dispositivos exportados de HP W'!$C:$D,2,FALSE)</f>
        <v>206477</v>
      </c>
      <c r="L23" s="55">
        <f t="shared" si="1"/>
        <v>215</v>
      </c>
      <c r="M23" s="55">
        <f>VLOOKUP(G23,'[3]Dispositivos exportados de HP W'!$C:$D,2,FALSE)</f>
        <v>206633</v>
      </c>
      <c r="N23" s="55">
        <f t="shared" si="2"/>
        <v>156</v>
      </c>
      <c r="O23" s="55">
        <f>VLOOKUP(G23,'[4]Dispositivos exportados de HP W'!$C:$D,2,FALSE)</f>
        <v>206840</v>
      </c>
      <c r="P23" s="55">
        <f t="shared" si="3"/>
        <v>207</v>
      </c>
      <c r="Q23" s="55">
        <f>VLOOKUP(G23,'[6]Dispositivos exportados de HP W'!$C:$D,2,FALSE)</f>
        <v>206911</v>
      </c>
      <c r="R23" s="55">
        <f t="shared" si="4"/>
        <v>71</v>
      </c>
      <c r="S23" s="90">
        <f t="shared" si="5"/>
        <v>894</v>
      </c>
      <c r="T23" s="89">
        <v>46083</v>
      </c>
      <c r="U23" s="14"/>
      <c r="V23" s="105" t="s">
        <v>2383</v>
      </c>
      <c r="W23" s="105" t="str">
        <f>VLOOKUP(C23,'Status oficina'!$A$2:$C$208,3,FALSE)</f>
        <v>Activa</v>
      </c>
    </row>
    <row r="24" spans="1:23" ht="13.5" customHeight="1" x14ac:dyDescent="0.25">
      <c r="A24" s="54" t="s">
        <v>2089</v>
      </c>
      <c r="B24" s="14" t="s">
        <v>478</v>
      </c>
      <c r="C24" s="19">
        <v>9425</v>
      </c>
      <c r="D24" s="14" t="s">
        <v>480</v>
      </c>
      <c r="E24" s="14" t="s">
        <v>416</v>
      </c>
      <c r="F24" s="14" t="s">
        <v>1110</v>
      </c>
      <c r="G24" s="14" t="s">
        <v>59</v>
      </c>
      <c r="H24" s="55">
        <v>259094</v>
      </c>
      <c r="I24" s="55">
        <f>VLOOKUP(G24,'[1]Dispositivos exportados de HP W'!$C:$D,2,FALSE)</f>
        <v>259826</v>
      </c>
      <c r="J24" s="55">
        <f t="shared" si="0"/>
        <v>732</v>
      </c>
      <c r="K24" s="55">
        <f>VLOOKUP(G24,'[2]Dispositivos exportados de HP W'!$C:$D,2,FALSE)</f>
        <v>260266</v>
      </c>
      <c r="L24" s="55">
        <f t="shared" si="1"/>
        <v>440</v>
      </c>
      <c r="M24" s="55">
        <f>VLOOKUP(G24,'[3]Dispositivos exportados de HP W'!$C:$D,2,FALSE)</f>
        <v>260858</v>
      </c>
      <c r="N24" s="55">
        <f t="shared" si="2"/>
        <v>592</v>
      </c>
      <c r="O24" s="55">
        <f>VLOOKUP(G24,'[4]Dispositivos exportados de HP W'!$C:$D,2,FALSE)</f>
        <v>261137</v>
      </c>
      <c r="P24" s="55">
        <f t="shared" si="3"/>
        <v>279</v>
      </c>
      <c r="Q24" s="55">
        <f>VLOOKUP(G24,'[6]Dispositivos exportados de HP W'!$C:$D,2,FALSE)</f>
        <v>261281</v>
      </c>
      <c r="R24" s="55">
        <f t="shared" si="4"/>
        <v>144</v>
      </c>
      <c r="S24" s="90">
        <f t="shared" si="5"/>
        <v>2187</v>
      </c>
      <c r="T24" s="89">
        <v>46083</v>
      </c>
      <c r="U24" s="14"/>
      <c r="V24" s="105" t="s">
        <v>2383</v>
      </c>
      <c r="W24" s="105" t="str">
        <f>VLOOKUP(C24,'Status oficina'!$A$2:$C$208,3,FALSE)</f>
        <v>Activa</v>
      </c>
    </row>
    <row r="25" spans="1:23" ht="13.5" customHeight="1" x14ac:dyDescent="0.25">
      <c r="A25" s="14" t="s">
        <v>2451</v>
      </c>
      <c r="B25" s="14" t="s">
        <v>797</v>
      </c>
      <c r="C25" s="19">
        <v>9294</v>
      </c>
      <c r="D25" s="14" t="s">
        <v>800</v>
      </c>
      <c r="E25" s="14" t="s">
        <v>416</v>
      </c>
      <c r="F25" s="14" t="s">
        <v>1299</v>
      </c>
      <c r="G25" s="14" t="s">
        <v>327</v>
      </c>
      <c r="H25" s="55">
        <v>283084</v>
      </c>
      <c r="I25" s="55">
        <f>VLOOKUP(G25,'[1]Dispositivos exportados de HP W'!$C:$D,2,FALSE)</f>
        <v>283087</v>
      </c>
      <c r="J25" s="55">
        <f t="shared" si="0"/>
        <v>3</v>
      </c>
      <c r="K25" s="55">
        <f>VLOOKUP(G25,'[2]Dispositivos exportados de HP W'!$C:$D,2,FALSE)</f>
        <v>283087</v>
      </c>
      <c r="L25" s="55">
        <f t="shared" si="1"/>
        <v>0</v>
      </c>
      <c r="M25" s="55">
        <f>VLOOKUP(G25,'[3]Dispositivos exportados de HP W'!$C:$D,2,FALSE)</f>
        <v>283091</v>
      </c>
      <c r="N25" s="55">
        <f t="shared" si="2"/>
        <v>4</v>
      </c>
      <c r="O25" s="55">
        <f>VLOOKUP(G25,'[4]Dispositivos exportados de HP W'!$C:$D,2,FALSE)</f>
        <v>283119</v>
      </c>
      <c r="P25" s="55">
        <f t="shared" si="3"/>
        <v>28</v>
      </c>
      <c r="Q25" s="55">
        <f>VLOOKUP(G25,'[6]Dispositivos exportados de HP W'!$C:$D,2,FALSE)</f>
        <v>283137</v>
      </c>
      <c r="R25" s="55">
        <f t="shared" si="4"/>
        <v>18</v>
      </c>
      <c r="S25" s="90">
        <f t="shared" si="5"/>
        <v>53</v>
      </c>
      <c r="T25" s="89">
        <v>46083</v>
      </c>
      <c r="U25" s="14"/>
      <c r="V25" s="105" t="s">
        <v>2383</v>
      </c>
      <c r="W25" s="105" t="str">
        <f>VLOOKUP(C25,'Status oficina'!$A$2:$C$208,3,FALSE)</f>
        <v>Activa</v>
      </c>
    </row>
    <row r="26" spans="1:23" ht="13.5" customHeight="1" x14ac:dyDescent="0.25">
      <c r="A26" s="14" t="s">
        <v>2451</v>
      </c>
      <c r="B26" s="14" t="s">
        <v>834</v>
      </c>
      <c r="C26" s="120">
        <v>9228</v>
      </c>
      <c r="D26" s="14" t="s">
        <v>835</v>
      </c>
      <c r="E26" s="14" t="s">
        <v>420</v>
      </c>
      <c r="F26" s="14" t="s">
        <v>1324</v>
      </c>
      <c r="G26" s="14" t="s">
        <v>161</v>
      </c>
      <c r="H26" s="55">
        <v>376708</v>
      </c>
      <c r="I26" s="55">
        <f>VLOOKUP(G26,'[1]Dispositivos exportados de HP W'!$C:$D,2,FALSE)</f>
        <v>377563</v>
      </c>
      <c r="J26" s="55">
        <f t="shared" si="0"/>
        <v>855</v>
      </c>
      <c r="K26" s="55">
        <f>VLOOKUP(G26,'[2]Dispositivos exportados de HP W'!$C:$D,2,FALSE)</f>
        <v>378349</v>
      </c>
      <c r="L26" s="55">
        <f t="shared" si="1"/>
        <v>786</v>
      </c>
      <c r="M26" s="55">
        <f>VLOOKUP(G26,'[3]Dispositivos exportados de HP W'!$C:$D,2,FALSE)</f>
        <v>378903</v>
      </c>
      <c r="N26" s="55">
        <f t="shared" si="2"/>
        <v>554</v>
      </c>
      <c r="O26" s="55">
        <f>VLOOKUP(G26,'[4]Dispositivos exportados de HP W'!$C:$D,2,FALSE)</f>
        <v>380340</v>
      </c>
      <c r="P26" s="55">
        <f t="shared" si="3"/>
        <v>1437</v>
      </c>
      <c r="Q26" s="55">
        <f>VLOOKUP(G26,'[6]Dispositivos exportados de HP W'!$C:$D,2,FALSE)</f>
        <v>380696</v>
      </c>
      <c r="R26" s="55">
        <f t="shared" si="4"/>
        <v>356</v>
      </c>
      <c r="S26" s="90">
        <f t="shared" si="5"/>
        <v>3988</v>
      </c>
      <c r="T26" s="89">
        <v>46083</v>
      </c>
      <c r="U26" s="14"/>
      <c r="V26" s="105" t="s">
        <v>2383</v>
      </c>
      <c r="W26" s="105" t="str">
        <f>VLOOKUP(C26,'Status oficina'!$A$2:$C$208,3,FALSE)</f>
        <v>Activa</v>
      </c>
    </row>
    <row r="27" spans="1:23" ht="13.5" customHeight="1" x14ac:dyDescent="0.25">
      <c r="A27" s="14" t="s">
        <v>2451</v>
      </c>
      <c r="B27" s="14" t="s">
        <v>867</v>
      </c>
      <c r="C27" s="120">
        <v>9927</v>
      </c>
      <c r="D27" s="14" t="s">
        <v>868</v>
      </c>
      <c r="E27" s="14" t="s">
        <v>416</v>
      </c>
      <c r="F27" s="14" t="s">
        <v>1342</v>
      </c>
      <c r="G27" s="14" t="s">
        <v>99</v>
      </c>
      <c r="H27" s="55">
        <v>185710</v>
      </c>
      <c r="I27" s="55">
        <f>VLOOKUP(G27,'[1]Dispositivos exportados de HP W'!$C:$D,2,FALSE)</f>
        <v>186236</v>
      </c>
      <c r="J27" s="55">
        <f t="shared" si="0"/>
        <v>526</v>
      </c>
      <c r="K27" s="55">
        <f>VLOOKUP(G27,'[2]Dispositivos exportados de HP W'!$C:$D,2,FALSE)</f>
        <v>186680</v>
      </c>
      <c r="L27" s="55">
        <f t="shared" si="1"/>
        <v>444</v>
      </c>
      <c r="M27" s="55">
        <f>VLOOKUP(G27,'[3]Dispositivos exportados de HP W'!$C:$D,2,FALSE)</f>
        <v>187050</v>
      </c>
      <c r="N27" s="55">
        <f t="shared" si="2"/>
        <v>370</v>
      </c>
      <c r="O27" s="55">
        <f>VLOOKUP(G27,'[4]Dispositivos exportados de HP W'!$C:$D,2,FALSE)</f>
        <v>187224</v>
      </c>
      <c r="P27" s="55">
        <f t="shared" si="3"/>
        <v>174</v>
      </c>
      <c r="Q27" s="55">
        <f>VLOOKUP(G27,'[6]Dispositivos exportados de HP W'!$C:$D,2,FALSE)</f>
        <v>187224</v>
      </c>
      <c r="R27" s="55">
        <f t="shared" si="4"/>
        <v>0</v>
      </c>
      <c r="S27" s="90">
        <f t="shared" si="5"/>
        <v>1514</v>
      </c>
      <c r="T27" s="89">
        <v>46083</v>
      </c>
      <c r="U27" s="14"/>
      <c r="V27" s="105" t="s">
        <v>2383</v>
      </c>
      <c r="W27" s="105" t="str">
        <f>VLOOKUP(C27,'Status oficina'!$A$2:$C$208,3,FALSE)</f>
        <v>Activa</v>
      </c>
    </row>
    <row r="28" spans="1:23" ht="13.5" customHeight="1" x14ac:dyDescent="0.25">
      <c r="A28" s="14" t="s">
        <v>946</v>
      </c>
      <c r="B28" s="14" t="s">
        <v>997</v>
      </c>
      <c r="C28" s="120">
        <v>9538</v>
      </c>
      <c r="D28" s="14" t="s">
        <v>998</v>
      </c>
      <c r="E28" s="14" t="s">
        <v>416</v>
      </c>
      <c r="F28" s="14" t="s">
        <v>1431</v>
      </c>
      <c r="G28" s="14" t="s">
        <v>110</v>
      </c>
      <c r="H28" s="55">
        <v>250936</v>
      </c>
      <c r="I28" s="55">
        <f>VLOOKUP(G28,'[1]Dispositivos exportados de HP W'!$C:$D,2,FALSE)</f>
        <v>250936</v>
      </c>
      <c r="J28" s="55">
        <f t="shared" si="0"/>
        <v>0</v>
      </c>
      <c r="K28" s="55">
        <f>VLOOKUP(G28,'[2]Dispositivos exportados de HP W'!$C:$D,2,FALSE)</f>
        <v>250936</v>
      </c>
      <c r="L28" s="55">
        <f t="shared" si="1"/>
        <v>0</v>
      </c>
      <c r="M28" s="55">
        <f>VLOOKUP(G28,'[3]Dispositivos exportados de HP W'!$C:$D,2,FALSE)</f>
        <v>250936</v>
      </c>
      <c r="N28" s="55">
        <f t="shared" si="2"/>
        <v>0</v>
      </c>
      <c r="O28" s="55">
        <f>VLOOKUP(G28,'[4]Dispositivos exportados de HP W'!$C:$D,2,FALSE)</f>
        <v>250936</v>
      </c>
      <c r="P28" s="55">
        <f t="shared" si="3"/>
        <v>0</v>
      </c>
      <c r="Q28" s="55">
        <f>VLOOKUP(G28,'[6]Dispositivos exportados de HP W'!$C:$D,2,FALSE)</f>
        <v>250936</v>
      </c>
      <c r="R28" s="55">
        <f t="shared" si="4"/>
        <v>0</v>
      </c>
      <c r="S28" s="90">
        <f t="shared" si="5"/>
        <v>0</v>
      </c>
      <c r="T28" s="89">
        <v>46083</v>
      </c>
      <c r="U28" s="14"/>
      <c r="V28" s="105" t="s">
        <v>2239</v>
      </c>
      <c r="W28" s="105" t="str">
        <f>VLOOKUP(C28,'Status oficina'!$A$2:$C$208,3,FALSE)</f>
        <v>Cierre temporal</v>
      </c>
    </row>
    <row r="29" spans="1:23" ht="13.5" customHeight="1" x14ac:dyDescent="0.25">
      <c r="A29" s="14" t="s">
        <v>2089</v>
      </c>
      <c r="B29" s="14" t="s">
        <v>507</v>
      </c>
      <c r="C29" s="120">
        <v>9430</v>
      </c>
      <c r="D29" s="14" t="s">
        <v>2213</v>
      </c>
      <c r="E29" s="14" t="s">
        <v>416</v>
      </c>
      <c r="F29" s="14" t="s">
        <v>1132</v>
      </c>
      <c r="G29" s="14" t="s">
        <v>53</v>
      </c>
      <c r="H29" s="55">
        <v>151686</v>
      </c>
      <c r="I29" s="55">
        <f>VLOOKUP(G29,'[1]Dispositivos exportados de HP W'!$C:$D,2,FALSE)</f>
        <v>152225</v>
      </c>
      <c r="J29" s="55">
        <f t="shared" si="0"/>
        <v>539</v>
      </c>
      <c r="K29" s="55">
        <f>VLOOKUP(G29,'[2]Dispositivos exportados de HP W'!$C:$D,2,FALSE)</f>
        <v>152816</v>
      </c>
      <c r="L29" s="55">
        <f t="shared" si="1"/>
        <v>591</v>
      </c>
      <c r="M29" s="55">
        <f>VLOOKUP(G29,'[3]Dispositivos exportados de HP W'!$C:$D,2,FALSE)</f>
        <v>153161</v>
      </c>
      <c r="N29" s="55">
        <f t="shared" si="2"/>
        <v>345</v>
      </c>
      <c r="O29" s="55">
        <f>VLOOKUP(G29,'[4]Dispositivos exportados de HP W'!$C:$D,2,FALSE)</f>
        <v>153607</v>
      </c>
      <c r="P29" s="55">
        <f t="shared" si="3"/>
        <v>446</v>
      </c>
      <c r="Q29" s="55">
        <f>VLOOKUP(G29,'[6]Dispositivos exportados de HP W'!$C:$D,2,FALSE)</f>
        <v>153786</v>
      </c>
      <c r="R29" s="55">
        <f t="shared" si="4"/>
        <v>179</v>
      </c>
      <c r="S29" s="90">
        <f t="shared" si="5"/>
        <v>2100</v>
      </c>
      <c r="T29" s="89">
        <v>46083</v>
      </c>
      <c r="U29" s="14"/>
      <c r="V29" s="105" t="s">
        <v>2383</v>
      </c>
      <c r="W29" s="105" t="str">
        <f>VLOOKUP(C29,'Status oficina'!$A$2:$C$208,3,FALSE)</f>
        <v>Activa</v>
      </c>
    </row>
    <row r="30" spans="1:23" ht="13.5" customHeight="1" x14ac:dyDescent="0.25">
      <c r="A30" s="14" t="s">
        <v>2089</v>
      </c>
      <c r="B30" s="14" t="s">
        <v>603</v>
      </c>
      <c r="C30" s="19">
        <v>9833</v>
      </c>
      <c r="D30" s="14" t="s">
        <v>604</v>
      </c>
      <c r="E30" s="14" t="s">
        <v>416</v>
      </c>
      <c r="F30" s="14" t="s">
        <v>605</v>
      </c>
      <c r="G30" s="14" t="s">
        <v>4</v>
      </c>
      <c r="H30" s="55">
        <v>426870</v>
      </c>
      <c r="I30" s="55">
        <f>VLOOKUP(G30,'[1]Dispositivos exportados de HP W'!$C:$D,2,FALSE)</f>
        <v>426870</v>
      </c>
      <c r="J30" s="55">
        <f t="shared" si="0"/>
        <v>0</v>
      </c>
      <c r="K30" s="55">
        <f>VLOOKUP(G30,'[2]Dispositivos exportados de HP W'!$C:$D,2,FALSE)</f>
        <v>426870</v>
      </c>
      <c r="L30" s="55">
        <f t="shared" si="1"/>
        <v>0</v>
      </c>
      <c r="M30" s="55">
        <f>VLOOKUP(G30,'[3]Dispositivos exportados de HP W'!$C:$D,2,FALSE)</f>
        <v>426870</v>
      </c>
      <c r="N30" s="55">
        <f t="shared" si="2"/>
        <v>0</v>
      </c>
      <c r="O30" s="55">
        <f>VLOOKUP(G30,'[4]Dispositivos exportados de HP W'!$C:$D,2,FALSE)</f>
        <v>426870</v>
      </c>
      <c r="P30" s="55">
        <f t="shared" si="3"/>
        <v>0</v>
      </c>
      <c r="Q30" s="55">
        <f>VLOOKUP(G30,'[6]Dispositivos exportados de HP W'!$C:$D,2,FALSE)</f>
        <v>426870</v>
      </c>
      <c r="R30" s="55">
        <f t="shared" si="4"/>
        <v>0</v>
      </c>
      <c r="S30" s="90">
        <f t="shared" si="5"/>
        <v>0</v>
      </c>
      <c r="T30" s="89">
        <v>46083</v>
      </c>
      <c r="U30" s="14" t="s">
        <v>2406</v>
      </c>
      <c r="V30" s="105" t="s">
        <v>2382</v>
      </c>
      <c r="W30" s="105" t="str">
        <f>VLOOKUP(C30,'Status oficina'!$A$2:$C$208,3,FALSE)</f>
        <v>Activa</v>
      </c>
    </row>
    <row r="31" spans="1:23" ht="13.5" customHeight="1" x14ac:dyDescent="0.25">
      <c r="A31" s="54" t="s">
        <v>2089</v>
      </c>
      <c r="B31" s="14" t="s">
        <v>597</v>
      </c>
      <c r="C31" s="19">
        <v>9831</v>
      </c>
      <c r="D31" s="54" t="s">
        <v>2503</v>
      </c>
      <c r="E31" s="54" t="s">
        <v>416</v>
      </c>
      <c r="F31" s="54" t="s">
        <v>1194</v>
      </c>
      <c r="G31" s="54" t="s">
        <v>298</v>
      </c>
      <c r="H31" s="55">
        <v>127382</v>
      </c>
      <c r="I31" s="55">
        <f>VLOOKUP(G31,'[1]Dispositivos exportados de HP W'!$C:$D,2,FALSE)</f>
        <v>127614</v>
      </c>
      <c r="J31" s="55">
        <f t="shared" si="0"/>
        <v>232</v>
      </c>
      <c r="K31" s="55">
        <f>VLOOKUP(G31,'[2]Dispositivos exportados de HP W'!$C:$D,2,FALSE)</f>
        <v>127625</v>
      </c>
      <c r="L31" s="55">
        <f t="shared" si="1"/>
        <v>11</v>
      </c>
      <c r="M31" s="55">
        <f>VLOOKUP(G31,'[3]Dispositivos exportados de HP W'!$C:$D,2,FALSE)</f>
        <v>127647</v>
      </c>
      <c r="N31" s="55">
        <f t="shared" si="2"/>
        <v>22</v>
      </c>
      <c r="O31" s="55">
        <f>VLOOKUP(G31,'[4]Dispositivos exportados de HP W'!$C:$D,2,FALSE)</f>
        <v>127673</v>
      </c>
      <c r="P31" s="55">
        <f t="shared" si="3"/>
        <v>26</v>
      </c>
      <c r="Q31" s="55">
        <f>VLOOKUP(G31,'[6]Dispositivos exportados de HP W'!$C:$D,2,FALSE)</f>
        <v>127681</v>
      </c>
      <c r="R31" s="55">
        <f t="shared" si="4"/>
        <v>8</v>
      </c>
      <c r="S31" s="90">
        <f t="shared" si="5"/>
        <v>299</v>
      </c>
      <c r="T31" s="89">
        <v>46083</v>
      </c>
      <c r="U31" s="14"/>
      <c r="V31" s="105" t="s">
        <v>2383</v>
      </c>
      <c r="W31" s="105" t="str">
        <f>VLOOKUP(C31,'Status oficina'!$A$2:$C$208,3,FALSE)</f>
        <v>Activa</v>
      </c>
    </row>
    <row r="32" spans="1:23" ht="13.5" customHeight="1" x14ac:dyDescent="0.25">
      <c r="A32" s="14" t="s">
        <v>2451</v>
      </c>
      <c r="B32" s="14" t="s">
        <v>772</v>
      </c>
      <c r="C32" s="19">
        <v>9221</v>
      </c>
      <c r="D32" s="14" t="s">
        <v>2476</v>
      </c>
      <c r="E32" s="14" t="s">
        <v>416</v>
      </c>
      <c r="F32" s="14" t="s">
        <v>1304</v>
      </c>
      <c r="G32" s="14" t="s">
        <v>1718</v>
      </c>
      <c r="H32" s="55">
        <v>136091</v>
      </c>
      <c r="I32" s="55">
        <f>VLOOKUP(G32,'[1]Dispositivos exportados de HP W'!$C:$D,2,FALSE)</f>
        <v>136091</v>
      </c>
      <c r="J32" s="55">
        <f t="shared" si="0"/>
        <v>0</v>
      </c>
      <c r="K32" s="55">
        <f>VLOOKUP(G32,'[2]Dispositivos exportados de HP W'!$C:$D,2,FALSE)</f>
        <v>136091</v>
      </c>
      <c r="L32" s="55">
        <f t="shared" si="1"/>
        <v>0</v>
      </c>
      <c r="M32" s="55">
        <f>VLOOKUP(G32,'[3]Dispositivos exportados de HP W'!$C:$D,2,FALSE)</f>
        <v>136091</v>
      </c>
      <c r="N32" s="55">
        <f t="shared" si="2"/>
        <v>0</v>
      </c>
      <c r="O32" s="55">
        <f>VLOOKUP(G32,'[4]Dispositivos exportados de HP W'!$C:$D,2,FALSE)</f>
        <v>136091</v>
      </c>
      <c r="P32" s="55">
        <f t="shared" si="3"/>
        <v>0</v>
      </c>
      <c r="Q32" s="55">
        <f>VLOOKUP(G32,'[6]Dispositivos exportados de HP W'!$C:$D,2,FALSE)</f>
        <v>136091</v>
      </c>
      <c r="R32" s="55">
        <f t="shared" si="4"/>
        <v>0</v>
      </c>
      <c r="S32" s="90">
        <f t="shared" si="5"/>
        <v>0</v>
      </c>
      <c r="T32" s="89">
        <v>46083</v>
      </c>
      <c r="U32" s="14" t="s">
        <v>2477</v>
      </c>
      <c r="V32" s="105" t="s">
        <v>2246</v>
      </c>
      <c r="W32" s="105" t="str">
        <f>VLOOKUP(C32,'Status oficina'!$A$2:$C$208,3,FALSE)</f>
        <v>Cierre definitivo</v>
      </c>
    </row>
    <row r="33" spans="1:23" ht="13.5" customHeight="1" x14ac:dyDescent="0.25">
      <c r="A33" s="53" t="s">
        <v>2450</v>
      </c>
      <c r="B33" s="14" t="s">
        <v>746</v>
      </c>
      <c r="C33" s="120">
        <v>9264</v>
      </c>
      <c r="D33" s="14" t="s">
        <v>750</v>
      </c>
      <c r="E33" s="14" t="s">
        <v>416</v>
      </c>
      <c r="F33" s="14" t="s">
        <v>1270</v>
      </c>
      <c r="G33" s="14" t="s">
        <v>395</v>
      </c>
      <c r="H33" s="55">
        <v>203921</v>
      </c>
      <c r="I33" s="55">
        <f>VLOOKUP(G33,'[1]Dispositivos exportados de HP W'!$C:$D,2,FALSE)</f>
        <v>203965</v>
      </c>
      <c r="J33" s="55">
        <f t="shared" si="0"/>
        <v>44</v>
      </c>
      <c r="K33" s="55">
        <f>VLOOKUP(G33,'[2]Dispositivos exportados de HP W'!$C:$D,2,FALSE)</f>
        <v>204023</v>
      </c>
      <c r="L33" s="55">
        <f t="shared" si="1"/>
        <v>58</v>
      </c>
      <c r="M33" s="55">
        <f>VLOOKUP(G33,'[3]Dispositivos exportados de HP W'!$C:$D,2,FALSE)</f>
        <v>204056</v>
      </c>
      <c r="N33" s="55">
        <f t="shared" si="2"/>
        <v>33</v>
      </c>
      <c r="O33" s="55">
        <f>VLOOKUP(G33,'[4]Dispositivos exportados de HP W'!$C:$D,2,FALSE)</f>
        <v>204083</v>
      </c>
      <c r="P33" s="55">
        <f t="shared" si="3"/>
        <v>27</v>
      </c>
      <c r="Q33" s="55">
        <f>VLOOKUP(G33,'[6]Dispositivos exportados de HP W'!$C:$D,2,FALSE)</f>
        <v>204095</v>
      </c>
      <c r="R33" s="55">
        <f t="shared" si="4"/>
        <v>12</v>
      </c>
      <c r="S33" s="90">
        <f t="shared" si="5"/>
        <v>174</v>
      </c>
      <c r="T33" s="89">
        <v>46083</v>
      </c>
      <c r="U33" s="14"/>
      <c r="V33" s="105" t="s">
        <v>2383</v>
      </c>
      <c r="W33" s="105" t="str">
        <f>VLOOKUP(C33,'Status oficina'!$A$2:$C$208,3,FALSE)</f>
        <v>Activa</v>
      </c>
    </row>
    <row r="34" spans="1:23" ht="13.5" customHeight="1" x14ac:dyDescent="0.25">
      <c r="A34" s="53" t="s">
        <v>2450</v>
      </c>
      <c r="B34" s="14" t="s">
        <v>734</v>
      </c>
      <c r="C34" s="120">
        <v>9241</v>
      </c>
      <c r="D34" s="14" t="s">
        <v>735</v>
      </c>
      <c r="E34" s="14" t="s">
        <v>420</v>
      </c>
      <c r="F34" s="14" t="s">
        <v>1259</v>
      </c>
      <c r="G34" s="14" t="s">
        <v>1937</v>
      </c>
      <c r="H34" s="55">
        <v>497108</v>
      </c>
      <c r="I34" s="55">
        <f>VLOOKUP(G34,'[1]Dispositivos exportados de HP W'!$C:$D,2,FALSE)</f>
        <v>497108</v>
      </c>
      <c r="J34" s="55">
        <f t="shared" si="0"/>
        <v>0</v>
      </c>
      <c r="K34" s="55">
        <f>VLOOKUP(G34,'[2]Dispositivos exportados de HP W'!$C:$D,2,FALSE)</f>
        <v>497108</v>
      </c>
      <c r="L34" s="55">
        <f t="shared" si="1"/>
        <v>0</v>
      </c>
      <c r="M34" s="55">
        <f>VLOOKUP(G34,'[3]Dispositivos exportados de HP W'!$C:$D,2,FALSE)</f>
        <v>497108</v>
      </c>
      <c r="N34" s="55">
        <f t="shared" si="2"/>
        <v>0</v>
      </c>
      <c r="O34" s="55">
        <f>VLOOKUP(G34,'[4]Dispositivos exportados de HP W'!$C:$D,2,FALSE)</f>
        <v>497108</v>
      </c>
      <c r="P34" s="55">
        <f t="shared" si="3"/>
        <v>0</v>
      </c>
      <c r="Q34" s="55">
        <f>VLOOKUP(G34,'[6]Dispositivos exportados de HP W'!$C:$D,2,FALSE)</f>
        <v>497108</v>
      </c>
      <c r="R34" s="55">
        <f t="shared" si="4"/>
        <v>0</v>
      </c>
      <c r="S34" s="90">
        <f t="shared" si="5"/>
        <v>0</v>
      </c>
      <c r="T34" s="89">
        <v>46083</v>
      </c>
      <c r="U34" s="14"/>
      <c r="V34" s="105" t="s">
        <v>2239</v>
      </c>
      <c r="W34" s="105" t="str">
        <f>VLOOKUP(C34,'Status oficina'!$A$2:$C$208,3,FALSE)</f>
        <v>Cierre temporal</v>
      </c>
    </row>
    <row r="35" spans="1:23" ht="13.5" customHeight="1" x14ac:dyDescent="0.25">
      <c r="A35" s="53" t="s">
        <v>2450</v>
      </c>
      <c r="B35" s="14" t="s">
        <v>734</v>
      </c>
      <c r="C35" s="120">
        <v>9241</v>
      </c>
      <c r="D35" s="14" t="s">
        <v>736</v>
      </c>
      <c r="E35" s="14" t="s">
        <v>416</v>
      </c>
      <c r="F35" s="14" t="s">
        <v>1260</v>
      </c>
      <c r="G35" s="14" t="s">
        <v>319</v>
      </c>
      <c r="H35" s="55">
        <v>85823</v>
      </c>
      <c r="I35" s="55">
        <f>VLOOKUP(G35,'[1]Dispositivos exportados de HP W'!$C:$D,2,FALSE)</f>
        <v>85823</v>
      </c>
      <c r="J35" s="55">
        <f t="shared" si="0"/>
        <v>0</v>
      </c>
      <c r="K35" s="55">
        <f>VLOOKUP(G35,'[2]Dispositivos exportados de HP W'!$C:$D,2,FALSE)</f>
        <v>85823</v>
      </c>
      <c r="L35" s="55">
        <f t="shared" si="1"/>
        <v>0</v>
      </c>
      <c r="M35" s="55">
        <f>VLOOKUP(G35,'[3]Dispositivos exportados de HP W'!$C:$D,2,FALSE)</f>
        <v>85823</v>
      </c>
      <c r="N35" s="55">
        <f t="shared" si="2"/>
        <v>0</v>
      </c>
      <c r="O35" s="55">
        <f>VLOOKUP(G35,'[4]Dispositivos exportados de HP W'!$C:$D,2,FALSE)</f>
        <v>85823</v>
      </c>
      <c r="P35" s="55">
        <f t="shared" si="3"/>
        <v>0</v>
      </c>
      <c r="Q35" s="55">
        <f>VLOOKUP(G35,'[6]Dispositivos exportados de HP W'!$C:$D,2,FALSE)</f>
        <v>85823</v>
      </c>
      <c r="R35" s="55">
        <f t="shared" si="4"/>
        <v>0</v>
      </c>
      <c r="S35" s="90">
        <f t="shared" si="5"/>
        <v>0</v>
      </c>
      <c r="T35" s="89">
        <v>46083</v>
      </c>
      <c r="U35" s="14"/>
      <c r="V35" s="105" t="s">
        <v>2239</v>
      </c>
      <c r="W35" s="105" t="str">
        <f>VLOOKUP(C35,'Status oficina'!$A$2:$C$208,3,FALSE)</f>
        <v>Cierre temporal</v>
      </c>
    </row>
    <row r="36" spans="1:23" ht="13.5" customHeight="1" x14ac:dyDescent="0.25">
      <c r="A36" s="14" t="s">
        <v>2451</v>
      </c>
      <c r="B36" s="14" t="s">
        <v>809</v>
      </c>
      <c r="C36" s="19">
        <v>9940</v>
      </c>
      <c r="D36" s="14" t="s">
        <v>810</v>
      </c>
      <c r="E36" s="14" t="s">
        <v>416</v>
      </c>
      <c r="F36" s="14" t="s">
        <v>1307</v>
      </c>
      <c r="G36" s="14" t="s">
        <v>315</v>
      </c>
      <c r="H36" s="55">
        <v>271346</v>
      </c>
      <c r="I36" s="55">
        <f>VLOOKUP(G36,'[1]Dispositivos exportados de HP W'!$C:$D,2,FALSE)</f>
        <v>271559</v>
      </c>
      <c r="J36" s="55">
        <f t="shared" si="0"/>
        <v>213</v>
      </c>
      <c r="K36" s="55">
        <f>VLOOKUP(G36,'[2]Dispositivos exportados de HP W'!$C:$D,2,FALSE)</f>
        <v>271729</v>
      </c>
      <c r="L36" s="55">
        <f t="shared" si="1"/>
        <v>170</v>
      </c>
      <c r="M36" s="55">
        <f>VLOOKUP(G36,'[3]Dispositivos exportados de HP W'!$C:$D,2,FALSE)</f>
        <v>271938</v>
      </c>
      <c r="N36" s="55">
        <f t="shared" si="2"/>
        <v>209</v>
      </c>
      <c r="O36" s="55">
        <f>VLOOKUP(G36,'[4]Dispositivos exportados de HP W'!$C:$D,2,FALSE)</f>
        <v>272072</v>
      </c>
      <c r="P36" s="55">
        <f t="shared" si="3"/>
        <v>134</v>
      </c>
      <c r="Q36" s="55">
        <f>VLOOKUP(G36,'[6]Dispositivos exportados de HP W'!$C:$D,2,FALSE)</f>
        <v>272112</v>
      </c>
      <c r="R36" s="55">
        <f t="shared" si="4"/>
        <v>40</v>
      </c>
      <c r="S36" s="90">
        <f t="shared" si="5"/>
        <v>766</v>
      </c>
      <c r="T36" s="89">
        <v>46083</v>
      </c>
      <c r="U36" s="14"/>
      <c r="V36" s="108" t="s">
        <v>2383</v>
      </c>
      <c r="W36" s="105" t="str">
        <f>VLOOKUP(C36,'Status oficina'!$A$2:$C$208,3,FALSE)</f>
        <v>Activa</v>
      </c>
    </row>
    <row r="37" spans="1:23" ht="13.5" customHeight="1" x14ac:dyDescent="0.25">
      <c r="A37" s="14" t="s">
        <v>872</v>
      </c>
      <c r="B37" s="14" t="s">
        <v>927</v>
      </c>
      <c r="C37" s="120">
        <v>9499</v>
      </c>
      <c r="D37" s="14" t="s">
        <v>2439</v>
      </c>
      <c r="E37" s="14" t="s">
        <v>416</v>
      </c>
      <c r="F37" s="14" t="s">
        <v>1385</v>
      </c>
      <c r="G37" s="14" t="s">
        <v>266</v>
      </c>
      <c r="H37" s="55">
        <v>97084</v>
      </c>
      <c r="I37" s="55">
        <f>VLOOKUP(G37,'[1]Dispositivos exportados de HP W'!$C:$D,2,FALSE)</f>
        <v>97182</v>
      </c>
      <c r="J37" s="55">
        <f t="shared" si="0"/>
        <v>98</v>
      </c>
      <c r="K37" s="55">
        <f>VLOOKUP(G37,'[2]Dispositivos exportados de HP W'!$C:$D,2,FALSE)</f>
        <v>97269</v>
      </c>
      <c r="L37" s="55">
        <f t="shared" si="1"/>
        <v>87</v>
      </c>
      <c r="M37" s="55">
        <f>VLOOKUP(G37,'[3]Dispositivos exportados de HP W'!$C:$D,2,FALSE)</f>
        <v>97324</v>
      </c>
      <c r="N37" s="55">
        <f t="shared" si="2"/>
        <v>55</v>
      </c>
      <c r="O37" s="55">
        <f>VLOOKUP(G37,'[4]Dispositivos exportados de HP W'!$C:$D,2,FALSE)</f>
        <v>97376</v>
      </c>
      <c r="P37" s="55">
        <f t="shared" si="3"/>
        <v>52</v>
      </c>
      <c r="Q37" s="55">
        <f>VLOOKUP(G37,'[6]Dispositivos exportados de HP W'!$C:$D,2,FALSE)</f>
        <v>97397</v>
      </c>
      <c r="R37" s="55">
        <f t="shared" si="4"/>
        <v>21</v>
      </c>
      <c r="S37" s="90">
        <f t="shared" si="5"/>
        <v>313</v>
      </c>
      <c r="T37" s="89">
        <v>46083</v>
      </c>
      <c r="U37" s="14"/>
      <c r="V37" s="108" t="s">
        <v>2383</v>
      </c>
      <c r="W37" s="105" t="str">
        <f>VLOOKUP(C37,'Status oficina'!$A$2:$C$208,3,FALSE)</f>
        <v>Activa</v>
      </c>
    </row>
    <row r="38" spans="1:23" ht="13.5" customHeight="1" x14ac:dyDescent="0.25">
      <c r="A38" s="15" t="s">
        <v>946</v>
      </c>
      <c r="B38" s="15" t="s">
        <v>983</v>
      </c>
      <c r="C38" s="22">
        <v>9567</v>
      </c>
      <c r="D38" s="14" t="s">
        <v>984</v>
      </c>
      <c r="E38" s="15" t="s">
        <v>416</v>
      </c>
      <c r="F38" s="14" t="s">
        <v>1421</v>
      </c>
      <c r="G38" s="15" t="s">
        <v>371</v>
      </c>
      <c r="H38" s="55">
        <v>205883</v>
      </c>
      <c r="I38" s="55">
        <f>VLOOKUP(G38,'[1]Dispositivos exportados de HP W'!$C:$D,2,FALSE)</f>
        <v>206092</v>
      </c>
      <c r="J38" s="55">
        <f t="shared" si="0"/>
        <v>209</v>
      </c>
      <c r="K38" s="55">
        <f>VLOOKUP(G38,'[2]Dispositivos exportados de HP W'!$C:$D,2,FALSE)</f>
        <v>206187</v>
      </c>
      <c r="L38" s="55">
        <f t="shared" si="1"/>
        <v>95</v>
      </c>
      <c r="M38" s="55">
        <f>VLOOKUP(G38,'[3]Dispositivos exportados de HP W'!$C:$D,2,FALSE)</f>
        <v>206223</v>
      </c>
      <c r="N38" s="55">
        <f t="shared" si="2"/>
        <v>36</v>
      </c>
      <c r="O38" s="55">
        <f>VLOOKUP(G38,'[4]Dispositivos exportados de HP W'!$C:$D,2,FALSE)</f>
        <v>206301</v>
      </c>
      <c r="P38" s="55">
        <f t="shared" si="3"/>
        <v>78</v>
      </c>
      <c r="Q38" s="55">
        <f>VLOOKUP(G38,'[6]Dispositivos exportados de HP W'!$C:$D,2,FALSE)</f>
        <v>206332</v>
      </c>
      <c r="R38" s="55">
        <f t="shared" si="4"/>
        <v>31</v>
      </c>
      <c r="S38" s="90">
        <f t="shared" si="5"/>
        <v>449</v>
      </c>
      <c r="T38" s="89">
        <v>46083</v>
      </c>
      <c r="U38" s="14"/>
      <c r="V38" s="105" t="s">
        <v>2383</v>
      </c>
      <c r="W38" s="105" t="str">
        <f>VLOOKUP(C38,'Status oficina'!$A$2:$C$208,3,FALSE)</f>
        <v>Activa</v>
      </c>
    </row>
    <row r="39" spans="1:23" ht="13.5" customHeight="1" x14ac:dyDescent="0.25">
      <c r="A39" s="14" t="s">
        <v>872</v>
      </c>
      <c r="B39" s="14" t="s">
        <v>892</v>
      </c>
      <c r="C39" s="19">
        <v>9826</v>
      </c>
      <c r="D39" s="14" t="s">
        <v>2103</v>
      </c>
      <c r="E39" s="14" t="s">
        <v>416</v>
      </c>
      <c r="F39" s="14" t="s">
        <v>1359</v>
      </c>
      <c r="G39" s="14" t="s">
        <v>274</v>
      </c>
      <c r="H39" s="55">
        <v>197842</v>
      </c>
      <c r="I39" s="55">
        <f>VLOOKUP(G39,'[1]Dispositivos exportados de HP W'!$C:$D,2,FALSE)</f>
        <v>198183</v>
      </c>
      <c r="J39" s="55">
        <f t="shared" si="0"/>
        <v>341</v>
      </c>
      <c r="K39" s="55">
        <f>VLOOKUP(G39,'[2]Dispositivos exportados de HP W'!$C:$D,2,FALSE)</f>
        <v>198398</v>
      </c>
      <c r="L39" s="55">
        <f t="shared" si="1"/>
        <v>215</v>
      </c>
      <c r="M39" s="55">
        <f>VLOOKUP(G39,'[3]Dispositivos exportados de HP W'!$C:$D,2,FALSE)</f>
        <v>198510</v>
      </c>
      <c r="N39" s="55">
        <f t="shared" si="2"/>
        <v>112</v>
      </c>
      <c r="O39" s="55">
        <f>VLOOKUP(G39,'[4]Dispositivos exportados de HP W'!$C:$D,2,FALSE)</f>
        <v>198910</v>
      </c>
      <c r="P39" s="55">
        <f t="shared" si="3"/>
        <v>400</v>
      </c>
      <c r="Q39" s="55">
        <f>VLOOKUP(G39,'[6]Dispositivos exportados de HP W'!$C:$D,2,FALSE)</f>
        <v>198965</v>
      </c>
      <c r="R39" s="55">
        <f t="shared" si="4"/>
        <v>55</v>
      </c>
      <c r="S39" s="90">
        <f t="shared" si="5"/>
        <v>1123</v>
      </c>
      <c r="T39" s="89">
        <v>46083</v>
      </c>
      <c r="U39" s="14"/>
      <c r="V39" s="105" t="s">
        <v>2383</v>
      </c>
      <c r="W39" s="105" t="str">
        <f>VLOOKUP(C39,'Status oficina'!$A$2:$C$208,3,FALSE)</f>
        <v>Activa</v>
      </c>
    </row>
    <row r="40" spans="1:23" ht="13.5" customHeight="1" x14ac:dyDescent="0.25">
      <c r="A40" s="53" t="s">
        <v>2450</v>
      </c>
      <c r="B40" s="14" t="s">
        <v>678</v>
      </c>
      <c r="C40" s="94">
        <v>9252</v>
      </c>
      <c r="D40" s="14" t="s">
        <v>679</v>
      </c>
      <c r="E40" s="14" t="s">
        <v>420</v>
      </c>
      <c r="F40" s="14" t="s">
        <v>1226</v>
      </c>
      <c r="G40" s="14" t="s">
        <v>114</v>
      </c>
      <c r="H40" s="55">
        <v>666565</v>
      </c>
      <c r="I40" s="55">
        <f>VLOOKUP(G40,'[1]Dispositivos exportados de HP W'!$C:$D,2,FALSE)</f>
        <v>666565</v>
      </c>
      <c r="J40" s="55">
        <f t="shared" si="0"/>
        <v>0</v>
      </c>
      <c r="K40" s="55">
        <f>VLOOKUP(G40,'[2]Dispositivos exportados de HP W'!$C:$D,2,FALSE)</f>
        <v>666565</v>
      </c>
      <c r="L40" s="55">
        <f t="shared" si="1"/>
        <v>0</v>
      </c>
      <c r="M40" s="55">
        <f>VLOOKUP(G40,'[3]Dispositivos exportados de HP W'!$C:$D,2,FALSE)</f>
        <v>666565</v>
      </c>
      <c r="N40" s="55">
        <f t="shared" si="2"/>
        <v>0</v>
      </c>
      <c r="O40" s="55">
        <f>VLOOKUP(G40,'[4]Dispositivos exportados de HP W'!$C:$D,2,FALSE)</f>
        <v>666565</v>
      </c>
      <c r="P40" s="55">
        <f t="shared" si="3"/>
        <v>0</v>
      </c>
      <c r="Q40" s="55">
        <f>VLOOKUP(G40,'[6]Dispositivos exportados de HP W'!$C:$D,2,FALSE)</f>
        <v>666565</v>
      </c>
      <c r="R40" s="55">
        <f t="shared" si="4"/>
        <v>0</v>
      </c>
      <c r="S40" s="90">
        <f t="shared" si="5"/>
        <v>0</v>
      </c>
      <c r="T40" s="89">
        <v>46083</v>
      </c>
      <c r="U40" s="14" t="s">
        <v>2174</v>
      </c>
      <c r="V40" s="105" t="s">
        <v>2246</v>
      </c>
      <c r="W40" s="105" t="str">
        <f>VLOOKUP(C40,'Status oficina'!$A$2:$C$208,3,FALSE)</f>
        <v>Cierre definitivo</v>
      </c>
    </row>
    <row r="41" spans="1:23" ht="13.5" customHeight="1" x14ac:dyDescent="0.25">
      <c r="A41" s="53" t="s">
        <v>2450</v>
      </c>
      <c r="B41" s="14" t="s">
        <v>678</v>
      </c>
      <c r="C41" s="97">
        <v>9252</v>
      </c>
      <c r="D41" s="14" t="s">
        <v>680</v>
      </c>
      <c r="E41" s="14" t="s">
        <v>416</v>
      </c>
      <c r="F41" s="14" t="s">
        <v>1227</v>
      </c>
      <c r="G41" s="14" t="s">
        <v>264</v>
      </c>
      <c r="H41" s="55">
        <v>106018</v>
      </c>
      <c r="I41" s="55">
        <f>VLOOKUP(G41,'[1]Dispositivos exportados de HP W'!$C:$D,2,FALSE)</f>
        <v>106018</v>
      </c>
      <c r="J41" s="55">
        <f t="shared" si="0"/>
        <v>0</v>
      </c>
      <c r="K41" s="55">
        <f>VLOOKUP(G41,'[2]Dispositivos exportados de HP W'!$C:$D,2,FALSE)</f>
        <v>106018</v>
      </c>
      <c r="L41" s="55">
        <f t="shared" si="1"/>
        <v>0</v>
      </c>
      <c r="M41" s="55">
        <f>VLOOKUP(G41,'[3]Dispositivos exportados de HP W'!$C:$D,2,FALSE)</f>
        <v>106018</v>
      </c>
      <c r="N41" s="55">
        <f t="shared" si="2"/>
        <v>0</v>
      </c>
      <c r="O41" s="55">
        <f>VLOOKUP(G41,'[4]Dispositivos exportados de HP W'!$C:$D,2,FALSE)</f>
        <v>106018</v>
      </c>
      <c r="P41" s="55">
        <f t="shared" si="3"/>
        <v>0</v>
      </c>
      <c r="Q41" s="55">
        <f>VLOOKUP(G41,'[6]Dispositivos exportados de HP W'!$C:$D,2,FALSE)</f>
        <v>106018</v>
      </c>
      <c r="R41" s="55">
        <f t="shared" si="4"/>
        <v>0</v>
      </c>
      <c r="S41" s="90">
        <f t="shared" si="5"/>
        <v>0</v>
      </c>
      <c r="T41" s="89">
        <v>46083</v>
      </c>
      <c r="U41" s="14" t="s">
        <v>2174</v>
      </c>
      <c r="V41" s="105" t="s">
        <v>2246</v>
      </c>
      <c r="W41" s="105" t="str">
        <f>VLOOKUP(C41,'Status oficina'!$A$2:$C$208,3,FALSE)</f>
        <v>Cierre definitivo</v>
      </c>
    </row>
    <row r="42" spans="1:23" ht="13.5" customHeight="1" x14ac:dyDescent="0.25">
      <c r="A42" s="15" t="s">
        <v>872</v>
      </c>
      <c r="B42" s="15" t="s">
        <v>918</v>
      </c>
      <c r="C42" s="120">
        <v>9813</v>
      </c>
      <c r="D42" s="14" t="s">
        <v>2114</v>
      </c>
      <c r="E42" s="15" t="s">
        <v>416</v>
      </c>
      <c r="F42" s="14" t="s">
        <v>1376</v>
      </c>
      <c r="G42" s="15" t="s">
        <v>25</v>
      </c>
      <c r="H42" s="55">
        <v>327696</v>
      </c>
      <c r="I42" s="55">
        <f>VLOOKUP(G42,'[1]Dispositivos exportados de HP W'!$C:$D,2,FALSE)</f>
        <v>327854</v>
      </c>
      <c r="J42" s="55">
        <f t="shared" si="0"/>
        <v>158</v>
      </c>
      <c r="K42" s="55">
        <f>VLOOKUP(G42,'[2]Dispositivos exportados de HP W'!$C:$D,2,FALSE)</f>
        <v>328042</v>
      </c>
      <c r="L42" s="55">
        <f t="shared" si="1"/>
        <v>188</v>
      </c>
      <c r="M42" s="55">
        <f>VLOOKUP(G42,'[3]Dispositivos exportados de HP W'!$C:$D,2,FALSE)</f>
        <v>328185</v>
      </c>
      <c r="N42" s="55">
        <f t="shared" si="2"/>
        <v>143</v>
      </c>
      <c r="O42" s="55">
        <f>VLOOKUP(G42,'[4]Dispositivos exportados de HP W'!$C:$D,2,FALSE)</f>
        <v>328478</v>
      </c>
      <c r="P42" s="55">
        <f t="shared" si="3"/>
        <v>293</v>
      </c>
      <c r="Q42" s="55">
        <f>VLOOKUP(G42,'[6]Dispositivos exportados de HP W'!$C:$D,2,FALSE)</f>
        <v>328613</v>
      </c>
      <c r="R42" s="55">
        <f t="shared" si="4"/>
        <v>135</v>
      </c>
      <c r="S42" s="90">
        <f t="shared" si="5"/>
        <v>917</v>
      </c>
      <c r="T42" s="89">
        <v>46083</v>
      </c>
      <c r="U42" s="57"/>
      <c r="V42" s="105" t="s">
        <v>2383</v>
      </c>
      <c r="W42" s="105" t="str">
        <f>VLOOKUP(C42,'Status oficina'!$A$2:$C$208,3,FALSE)</f>
        <v>Activa</v>
      </c>
    </row>
    <row r="43" spans="1:23" ht="13.5" customHeight="1" x14ac:dyDescent="0.25">
      <c r="A43" s="53" t="s">
        <v>2089</v>
      </c>
      <c r="B43" s="53" t="s">
        <v>463</v>
      </c>
      <c r="C43" s="19">
        <v>9485</v>
      </c>
      <c r="D43" s="53" t="s">
        <v>2440</v>
      </c>
      <c r="E43" s="53" t="s">
        <v>416</v>
      </c>
      <c r="F43" s="53" t="s">
        <v>1098</v>
      </c>
      <c r="G43" s="53" t="s">
        <v>195</v>
      </c>
      <c r="H43" s="55">
        <v>164642</v>
      </c>
      <c r="I43" s="55">
        <f>VLOOKUP(G43,'[1]Dispositivos exportados de HP W'!$C:$D,2,FALSE)</f>
        <v>164936</v>
      </c>
      <c r="J43" s="55">
        <f t="shared" si="0"/>
        <v>294</v>
      </c>
      <c r="K43" s="55">
        <f>VLOOKUP(G43,'[2]Dispositivos exportados de HP W'!$C:$D,2,FALSE)</f>
        <v>165182</v>
      </c>
      <c r="L43" s="55">
        <f t="shared" si="1"/>
        <v>246</v>
      </c>
      <c r="M43" s="55">
        <f>VLOOKUP(G43,'[3]Dispositivos exportados de HP W'!$C:$D,2,FALSE)</f>
        <v>165303</v>
      </c>
      <c r="N43" s="55">
        <f t="shared" si="2"/>
        <v>121</v>
      </c>
      <c r="O43" s="55">
        <f>VLOOKUP(G43,'[4]Dispositivos exportados de HP W'!$C:$D,2,FALSE)</f>
        <v>165439</v>
      </c>
      <c r="P43" s="55">
        <f t="shared" si="3"/>
        <v>136</v>
      </c>
      <c r="Q43" s="55">
        <f>VLOOKUP(G43,'[6]Dispositivos exportados de HP W'!$C:$D,2,FALSE)</f>
        <v>165484</v>
      </c>
      <c r="R43" s="55">
        <f t="shared" si="4"/>
        <v>45</v>
      </c>
      <c r="S43" s="90">
        <f t="shared" si="5"/>
        <v>842</v>
      </c>
      <c r="T43" s="89">
        <v>46083</v>
      </c>
      <c r="U43" s="57"/>
      <c r="V43" s="108" t="s">
        <v>2383</v>
      </c>
      <c r="W43" s="105" t="str">
        <f>VLOOKUP(C43,'Status oficina'!$A$2:$C$208,3,FALSE)</f>
        <v>Activa</v>
      </c>
    </row>
    <row r="44" spans="1:23" ht="13.5" customHeight="1" x14ac:dyDescent="0.25">
      <c r="A44" s="14" t="s">
        <v>2089</v>
      </c>
      <c r="B44" s="14" t="s">
        <v>501</v>
      </c>
      <c r="C44" s="120">
        <v>9470</v>
      </c>
      <c r="D44" s="14" t="s">
        <v>2500</v>
      </c>
      <c r="E44" s="14" t="s">
        <v>416</v>
      </c>
      <c r="F44" s="14" t="s">
        <v>1128</v>
      </c>
      <c r="G44" s="14" t="s">
        <v>216</v>
      </c>
      <c r="H44" s="55">
        <v>180011</v>
      </c>
      <c r="I44" s="55">
        <f>VLOOKUP(G44,'[1]Dispositivos exportados de HP W'!$C:$D,2,FALSE)</f>
        <v>180294</v>
      </c>
      <c r="J44" s="55">
        <f t="shared" si="0"/>
        <v>283</v>
      </c>
      <c r="K44" s="55">
        <f>VLOOKUP(G44,'[2]Dispositivos exportados de HP W'!$C:$D,2,FALSE)</f>
        <v>180590</v>
      </c>
      <c r="L44" s="55">
        <f t="shared" si="1"/>
        <v>296</v>
      </c>
      <c r="M44" s="55">
        <f>VLOOKUP(G44,'[3]Dispositivos exportados de HP W'!$C:$D,2,FALSE)</f>
        <v>180739</v>
      </c>
      <c r="N44" s="55">
        <f t="shared" si="2"/>
        <v>149</v>
      </c>
      <c r="O44" s="55">
        <f>VLOOKUP(G44,'[4]Dispositivos exportados de HP W'!$C:$D,2,FALSE)</f>
        <v>180927</v>
      </c>
      <c r="P44" s="55">
        <f t="shared" si="3"/>
        <v>188</v>
      </c>
      <c r="Q44" s="55">
        <f>VLOOKUP(G44,'[6]Dispositivos exportados de HP W'!$C:$D,2,FALSE)</f>
        <v>181004</v>
      </c>
      <c r="R44" s="55">
        <f t="shared" si="4"/>
        <v>77</v>
      </c>
      <c r="S44" s="90">
        <f t="shared" si="5"/>
        <v>993</v>
      </c>
      <c r="T44" s="89">
        <v>46083</v>
      </c>
      <c r="U44" s="57"/>
      <c r="V44" s="108" t="s">
        <v>2383</v>
      </c>
      <c r="W44" s="105" t="str">
        <f>VLOOKUP(C44,'Status oficina'!$A$2:$C$208,3,FALSE)</f>
        <v>Activa</v>
      </c>
    </row>
    <row r="45" spans="1:23" ht="13.5" customHeight="1" x14ac:dyDescent="0.25">
      <c r="A45" s="53" t="s">
        <v>2450</v>
      </c>
      <c r="B45" s="53" t="s">
        <v>2384</v>
      </c>
      <c r="C45" s="19">
        <v>9219</v>
      </c>
      <c r="D45" s="14" t="s">
        <v>2385</v>
      </c>
      <c r="E45" s="14" t="s">
        <v>416</v>
      </c>
      <c r="F45" s="14" t="s">
        <v>1997</v>
      </c>
      <c r="G45" s="14" t="s">
        <v>2386</v>
      </c>
      <c r="H45" s="55">
        <v>115729</v>
      </c>
      <c r="I45" s="55">
        <f>VLOOKUP(G45,'[1]Dispositivos exportados de HP W'!$C:$D,2,FALSE)</f>
        <v>116008</v>
      </c>
      <c r="J45" s="55">
        <f t="shared" si="0"/>
        <v>279</v>
      </c>
      <c r="K45" s="55">
        <f>VLOOKUP(G45,'[2]Dispositivos exportados de HP W'!$C:$D,2,FALSE)</f>
        <v>116402</v>
      </c>
      <c r="L45" s="55">
        <f t="shared" si="1"/>
        <v>394</v>
      </c>
      <c r="M45" s="55">
        <f>VLOOKUP(G45,'[3]Dispositivos exportados de HP W'!$C:$D,2,FALSE)</f>
        <v>116517</v>
      </c>
      <c r="N45" s="55">
        <f t="shared" si="2"/>
        <v>115</v>
      </c>
      <c r="O45" s="55">
        <f>VLOOKUP(G45,'[4]Dispositivos exportados de HP W'!$C:$D,2,FALSE)</f>
        <v>116803</v>
      </c>
      <c r="P45" s="55">
        <f t="shared" si="3"/>
        <v>286</v>
      </c>
      <c r="Q45" s="55">
        <f>VLOOKUP(G45,'[6]Dispositivos exportados de HP W'!$C:$D,2,FALSE)</f>
        <v>116896</v>
      </c>
      <c r="R45" s="55">
        <f t="shared" si="4"/>
        <v>93</v>
      </c>
      <c r="S45" s="90">
        <f t="shared" si="5"/>
        <v>1167</v>
      </c>
      <c r="T45" s="89">
        <v>46083</v>
      </c>
      <c r="U45" s="14"/>
      <c r="V45" s="108" t="s">
        <v>2383</v>
      </c>
      <c r="W45" s="105" t="str">
        <f>VLOOKUP(C45,'Status oficina'!$A$2:$C$208,3,FALSE)</f>
        <v>Activa</v>
      </c>
    </row>
    <row r="46" spans="1:23" ht="13.5" customHeight="1" x14ac:dyDescent="0.25">
      <c r="A46" s="14" t="s">
        <v>872</v>
      </c>
      <c r="B46" s="14" t="s">
        <v>889</v>
      </c>
      <c r="C46" s="19">
        <v>9816</v>
      </c>
      <c r="D46" s="14" t="s">
        <v>891</v>
      </c>
      <c r="E46" s="14" t="s">
        <v>416</v>
      </c>
      <c r="F46" s="14" t="s">
        <v>1357</v>
      </c>
      <c r="G46" s="14" t="s">
        <v>209</v>
      </c>
      <c r="H46" s="55">
        <v>161261</v>
      </c>
      <c r="I46" s="55">
        <f>VLOOKUP(G46,'[1]Dispositivos exportados de HP W'!$C:$D,2,FALSE)</f>
        <v>161371</v>
      </c>
      <c r="J46" s="55">
        <f t="shared" si="0"/>
        <v>110</v>
      </c>
      <c r="K46" s="55">
        <f>VLOOKUP(G46,'[2]Dispositivos exportados de HP W'!$C:$D,2,FALSE)</f>
        <v>161548</v>
      </c>
      <c r="L46" s="55">
        <f t="shared" si="1"/>
        <v>177</v>
      </c>
      <c r="M46" s="55">
        <f>VLOOKUP(G46,'[3]Dispositivos exportados de HP W'!$C:$D,2,FALSE)</f>
        <v>161718</v>
      </c>
      <c r="N46" s="55">
        <f t="shared" si="2"/>
        <v>170</v>
      </c>
      <c r="O46" s="55">
        <f>VLOOKUP(G46,'[4]Dispositivos exportados de HP W'!$C:$D,2,FALSE)</f>
        <v>161902</v>
      </c>
      <c r="P46" s="55">
        <f t="shared" si="3"/>
        <v>184</v>
      </c>
      <c r="Q46" s="55">
        <f>VLOOKUP(G46,'[6]Dispositivos exportados de HP W'!$C:$D,2,FALSE)</f>
        <v>161991</v>
      </c>
      <c r="R46" s="55">
        <f t="shared" si="4"/>
        <v>89</v>
      </c>
      <c r="S46" s="90">
        <f t="shared" si="5"/>
        <v>730</v>
      </c>
      <c r="T46" s="89">
        <v>46083</v>
      </c>
      <c r="U46" s="14"/>
      <c r="V46" s="105" t="s">
        <v>2383</v>
      </c>
      <c r="W46" s="105" t="str">
        <f>VLOOKUP(C46,'Status oficina'!$A$2:$C$208,3,FALSE)</f>
        <v>Activa</v>
      </c>
    </row>
    <row r="47" spans="1:23" ht="13.5" customHeight="1" x14ac:dyDescent="0.25">
      <c r="A47" s="14" t="s">
        <v>872</v>
      </c>
      <c r="B47" s="14" t="s">
        <v>929</v>
      </c>
      <c r="C47" s="120">
        <v>9814</v>
      </c>
      <c r="D47" s="14" t="s">
        <v>930</v>
      </c>
      <c r="E47" s="14" t="s">
        <v>416</v>
      </c>
      <c r="F47" s="14" t="s">
        <v>1387</v>
      </c>
      <c r="G47" s="14" t="s">
        <v>115</v>
      </c>
      <c r="H47" s="55">
        <v>324342</v>
      </c>
      <c r="I47" s="55">
        <f>VLOOKUP(G47,'[1]Dispositivos exportados de HP W'!$C:$D,2,FALSE)</f>
        <v>324779</v>
      </c>
      <c r="J47" s="55">
        <f t="shared" si="0"/>
        <v>437</v>
      </c>
      <c r="K47" s="55">
        <f>VLOOKUP(G47,'[2]Dispositivos exportados de HP W'!$C:$D,2,FALSE)</f>
        <v>325305</v>
      </c>
      <c r="L47" s="55">
        <f t="shared" si="1"/>
        <v>526</v>
      </c>
      <c r="M47" s="55">
        <f>VLOOKUP(G47,'[3]Dispositivos exportados de HP W'!$C:$D,2,FALSE)</f>
        <v>325732</v>
      </c>
      <c r="N47" s="55">
        <f t="shared" si="2"/>
        <v>427</v>
      </c>
      <c r="O47" s="55">
        <f>VLOOKUP(G47,'[4]Dispositivos exportados de HP W'!$C:$D,2,FALSE)</f>
        <v>326218</v>
      </c>
      <c r="P47" s="55">
        <f t="shared" si="3"/>
        <v>486</v>
      </c>
      <c r="Q47" s="55">
        <f>VLOOKUP(G47,'[6]Dispositivos exportados de HP W'!$C:$D,2,FALSE)</f>
        <v>326469</v>
      </c>
      <c r="R47" s="55">
        <f t="shared" si="4"/>
        <v>251</v>
      </c>
      <c r="S47" s="90">
        <f t="shared" si="5"/>
        <v>2127</v>
      </c>
      <c r="T47" s="89">
        <v>46083</v>
      </c>
      <c r="U47" s="14"/>
      <c r="V47" s="105" t="s">
        <v>2383</v>
      </c>
      <c r="W47" s="105" t="str">
        <f>VLOOKUP(C47,'Status oficina'!$A$2:$C$208,3,FALSE)</f>
        <v>Activa</v>
      </c>
    </row>
    <row r="48" spans="1:23" ht="13.5" customHeight="1" x14ac:dyDescent="0.25">
      <c r="A48" s="14" t="s">
        <v>872</v>
      </c>
      <c r="B48" s="14" t="s">
        <v>903</v>
      </c>
      <c r="C48" s="120">
        <v>9884</v>
      </c>
      <c r="D48" s="10" t="s">
        <v>904</v>
      </c>
      <c r="E48" s="14" t="s">
        <v>416</v>
      </c>
      <c r="F48" s="14" t="s">
        <v>1364</v>
      </c>
      <c r="G48" s="14" t="s">
        <v>81</v>
      </c>
      <c r="H48" s="55">
        <v>146060</v>
      </c>
      <c r="I48" s="55">
        <f>VLOOKUP(G48,'[1]Dispositivos exportados de HP W'!$C:$D,2,FALSE)</f>
        <v>146525</v>
      </c>
      <c r="J48" s="55">
        <f t="shared" si="0"/>
        <v>465</v>
      </c>
      <c r="K48" s="55">
        <f>VLOOKUP(G48,'[2]Dispositivos exportados de HP W'!$C:$D,2,FALSE)</f>
        <v>146890</v>
      </c>
      <c r="L48" s="55">
        <f t="shared" si="1"/>
        <v>365</v>
      </c>
      <c r="M48" s="55">
        <f>VLOOKUP(G48,'[3]Dispositivos exportados de HP W'!$C:$D,2,FALSE)</f>
        <v>147252</v>
      </c>
      <c r="N48" s="55">
        <f t="shared" si="2"/>
        <v>362</v>
      </c>
      <c r="O48" s="55">
        <f>VLOOKUP(G48,'[4]Dispositivos exportados de HP W'!$C:$D,2,FALSE)</f>
        <v>147938</v>
      </c>
      <c r="P48" s="55">
        <f t="shared" si="3"/>
        <v>686</v>
      </c>
      <c r="Q48" s="55">
        <f>VLOOKUP(G48,'[6]Dispositivos exportados de HP W'!$C:$D,2,FALSE)</f>
        <v>148188</v>
      </c>
      <c r="R48" s="55">
        <f t="shared" si="4"/>
        <v>250</v>
      </c>
      <c r="S48" s="90">
        <f t="shared" si="5"/>
        <v>2128</v>
      </c>
      <c r="T48" s="89">
        <v>46083</v>
      </c>
      <c r="U48" s="14" t="s">
        <v>2404</v>
      </c>
      <c r="V48" s="105" t="s">
        <v>2382</v>
      </c>
      <c r="W48" s="105" t="str">
        <f>VLOOKUP(C48,'Status oficina'!$A$2:$C$208,3,FALSE)</f>
        <v>Activa</v>
      </c>
    </row>
    <row r="49" spans="1:23" ht="13.5" customHeight="1" x14ac:dyDescent="0.25">
      <c r="A49" s="53" t="s">
        <v>2450</v>
      </c>
      <c r="B49" s="14" t="s">
        <v>713</v>
      </c>
      <c r="C49" s="19">
        <v>9268</v>
      </c>
      <c r="D49" s="14" t="s">
        <v>714</v>
      </c>
      <c r="E49" s="14" t="s">
        <v>416</v>
      </c>
      <c r="F49" s="14" t="s">
        <v>715</v>
      </c>
      <c r="G49" s="14" t="s">
        <v>329</v>
      </c>
      <c r="H49" s="55">
        <v>276689</v>
      </c>
      <c r="I49" s="55">
        <f>VLOOKUP(G49,'[1]Dispositivos exportados de HP W'!$C:$D,2,FALSE)</f>
        <v>276689</v>
      </c>
      <c r="J49" s="55">
        <f t="shared" si="0"/>
        <v>0</v>
      </c>
      <c r="K49" s="55">
        <f>VLOOKUP(G49,'[2]Dispositivos exportados de HP W'!$C:$D,2,FALSE)</f>
        <v>276689</v>
      </c>
      <c r="L49" s="55">
        <f t="shared" si="1"/>
        <v>0</v>
      </c>
      <c r="M49" s="55">
        <f>VLOOKUP(G49,'[3]Dispositivos exportados de HP W'!$C:$D,2,FALSE)</f>
        <v>276689</v>
      </c>
      <c r="N49" s="55">
        <f t="shared" si="2"/>
        <v>0</v>
      </c>
      <c r="O49" s="55">
        <f>VLOOKUP(G49,'[4]Dispositivos exportados de HP W'!$C:$D,2,FALSE)</f>
        <v>276689</v>
      </c>
      <c r="P49" s="55">
        <f t="shared" si="3"/>
        <v>0</v>
      </c>
      <c r="Q49" s="55">
        <f>VLOOKUP(G49,'[6]Dispositivos exportados de HP W'!$C:$D,2,FALSE)</f>
        <v>276689</v>
      </c>
      <c r="R49" s="55">
        <f t="shared" si="4"/>
        <v>0</v>
      </c>
      <c r="S49" s="90">
        <f t="shared" si="5"/>
        <v>0</v>
      </c>
      <c r="T49" s="89">
        <v>46083</v>
      </c>
      <c r="U49" s="14" t="s">
        <v>2087</v>
      </c>
      <c r="V49" s="105" t="s">
        <v>2239</v>
      </c>
      <c r="W49" s="105" t="str">
        <f>VLOOKUP(C49,'Status oficina'!$A$2:$C$208,3,FALSE)</f>
        <v>Cierre temporal</v>
      </c>
    </row>
    <row r="50" spans="1:23" ht="13.5" customHeight="1" x14ac:dyDescent="0.25">
      <c r="A50" s="14" t="s">
        <v>2451</v>
      </c>
      <c r="B50" s="14" t="s">
        <v>700</v>
      </c>
      <c r="C50" s="120">
        <v>9269</v>
      </c>
      <c r="D50" s="14" t="s">
        <v>701</v>
      </c>
      <c r="E50" s="14" t="s">
        <v>416</v>
      </c>
      <c r="F50" s="14" t="s">
        <v>1239</v>
      </c>
      <c r="G50" s="14" t="s">
        <v>187</v>
      </c>
      <c r="H50" s="55">
        <v>272787</v>
      </c>
      <c r="I50" s="55">
        <f>VLOOKUP(G50,'[1]Dispositivos exportados de HP W'!$C:$D,2,FALSE)</f>
        <v>272787</v>
      </c>
      <c r="J50" s="55">
        <f t="shared" si="0"/>
        <v>0</v>
      </c>
      <c r="K50" s="55">
        <f>VLOOKUP(G50,'[2]Dispositivos exportados de HP W'!$C:$D,2,FALSE)</f>
        <v>272787</v>
      </c>
      <c r="L50" s="55">
        <f t="shared" si="1"/>
        <v>0</v>
      </c>
      <c r="M50" s="55">
        <f>VLOOKUP(G50,'[3]Dispositivos exportados de HP W'!$C:$D,2,FALSE)</f>
        <v>272787</v>
      </c>
      <c r="N50" s="55">
        <f t="shared" si="2"/>
        <v>0</v>
      </c>
      <c r="O50" s="55">
        <f>VLOOKUP(G50,'[4]Dispositivos exportados de HP W'!$C:$D,2,FALSE)</f>
        <v>272787</v>
      </c>
      <c r="P50" s="55">
        <f t="shared" si="3"/>
        <v>0</v>
      </c>
      <c r="Q50" s="55">
        <f>VLOOKUP(G50,'[6]Dispositivos exportados de HP W'!$C:$D,2,FALSE)</f>
        <v>272787</v>
      </c>
      <c r="R50" s="55">
        <f t="shared" si="4"/>
        <v>0</v>
      </c>
      <c r="S50" s="90">
        <f t="shared" si="5"/>
        <v>0</v>
      </c>
      <c r="T50" s="89">
        <v>46083</v>
      </c>
      <c r="U50" s="14"/>
      <c r="V50" s="105" t="s">
        <v>2239</v>
      </c>
      <c r="W50" s="105" t="str">
        <f>VLOOKUP(C50,'Status oficina'!$A$2:$C$208,3,FALSE)</f>
        <v>Cierre temporal</v>
      </c>
    </row>
    <row r="51" spans="1:23" ht="13.5" customHeight="1" x14ac:dyDescent="0.25">
      <c r="A51" s="53" t="s">
        <v>2450</v>
      </c>
      <c r="B51" s="14" t="s">
        <v>646</v>
      </c>
      <c r="C51" s="19">
        <v>9905</v>
      </c>
      <c r="D51" s="14" t="s">
        <v>648</v>
      </c>
      <c r="E51" s="14" t="s">
        <v>416</v>
      </c>
      <c r="F51" s="14" t="s">
        <v>1209</v>
      </c>
      <c r="G51" s="14" t="s">
        <v>131</v>
      </c>
      <c r="H51" s="55">
        <v>117508</v>
      </c>
      <c r="I51" s="55">
        <f>VLOOKUP(G51,'[1]Dispositivos exportados de HP W'!$C:$D,2,FALSE)</f>
        <v>117508</v>
      </c>
      <c r="J51" s="55">
        <f t="shared" si="0"/>
        <v>0</v>
      </c>
      <c r="K51" s="55">
        <f>VLOOKUP(G51,'[2]Dispositivos exportados de HP W'!$C:$D,2,FALSE)</f>
        <v>117508</v>
      </c>
      <c r="L51" s="55">
        <f t="shared" si="1"/>
        <v>0</v>
      </c>
      <c r="M51" s="55">
        <f>VLOOKUP(G51,'[3]Dispositivos exportados de HP W'!$C:$D,2,FALSE)</f>
        <v>117508</v>
      </c>
      <c r="N51" s="55">
        <f t="shared" si="2"/>
        <v>0</v>
      </c>
      <c r="O51" s="55">
        <f>VLOOKUP(G51,'[4]Dispositivos exportados de HP W'!$C:$D,2,FALSE)</f>
        <v>117508</v>
      </c>
      <c r="P51" s="55">
        <f t="shared" si="3"/>
        <v>0</v>
      </c>
      <c r="Q51" s="55">
        <f>VLOOKUP(G51,'[6]Dispositivos exportados de HP W'!$C:$D,2,FALSE)</f>
        <v>117508</v>
      </c>
      <c r="R51" s="55">
        <f t="shared" si="4"/>
        <v>0</v>
      </c>
      <c r="S51" s="90">
        <f t="shared" si="5"/>
        <v>0</v>
      </c>
      <c r="T51" s="89">
        <v>46083</v>
      </c>
      <c r="U51" s="14" t="s">
        <v>2478</v>
      </c>
      <c r="V51" s="105" t="s">
        <v>2246</v>
      </c>
      <c r="W51" s="105" t="s">
        <v>2246</v>
      </c>
    </row>
    <row r="52" spans="1:23" ht="13.5" customHeight="1" x14ac:dyDescent="0.25">
      <c r="A52" s="14" t="s">
        <v>2451</v>
      </c>
      <c r="B52" s="15" t="s">
        <v>794</v>
      </c>
      <c r="C52" s="19">
        <v>9270</v>
      </c>
      <c r="D52" s="14" t="s">
        <v>796</v>
      </c>
      <c r="E52" s="15" t="s">
        <v>416</v>
      </c>
      <c r="F52" s="14" t="s">
        <v>1297</v>
      </c>
      <c r="G52" s="14"/>
      <c r="H52" s="55">
        <v>215794</v>
      </c>
      <c r="I52" s="55">
        <v>215794</v>
      </c>
      <c r="J52" s="55">
        <f t="shared" si="0"/>
        <v>0</v>
      </c>
      <c r="K52" s="55">
        <v>215794</v>
      </c>
      <c r="L52" s="55">
        <f t="shared" si="1"/>
        <v>0</v>
      </c>
      <c r="M52" s="55">
        <v>215794</v>
      </c>
      <c r="N52" s="55">
        <f t="shared" si="2"/>
        <v>0</v>
      </c>
      <c r="O52" s="55">
        <v>215794</v>
      </c>
      <c r="P52" s="55">
        <f t="shared" si="3"/>
        <v>0</v>
      </c>
      <c r="Q52" s="55">
        <v>215794</v>
      </c>
      <c r="R52" s="55">
        <f t="shared" si="4"/>
        <v>0</v>
      </c>
      <c r="S52" s="90">
        <f t="shared" si="5"/>
        <v>0</v>
      </c>
      <c r="T52" s="89">
        <v>46083</v>
      </c>
      <c r="U52" s="14" t="s">
        <v>2436</v>
      </c>
      <c r="V52" s="105" t="s">
        <v>2382</v>
      </c>
      <c r="W52" s="105" t="s">
        <v>2236</v>
      </c>
    </row>
    <row r="53" spans="1:23" ht="13.5" customHeight="1" x14ac:dyDescent="0.25">
      <c r="A53" s="53" t="s">
        <v>2451</v>
      </c>
      <c r="B53" s="15" t="s">
        <v>794</v>
      </c>
      <c r="C53" s="19">
        <v>9270</v>
      </c>
      <c r="D53" s="14" t="s">
        <v>795</v>
      </c>
      <c r="E53" s="15" t="s">
        <v>416</v>
      </c>
      <c r="F53" s="14" t="s">
        <v>2003</v>
      </c>
      <c r="G53" s="15" t="s">
        <v>345</v>
      </c>
      <c r="H53" s="55">
        <v>224904</v>
      </c>
      <c r="I53" s="55">
        <f>VLOOKUP(G53,'[1]Dispositivos exportados de HP W'!$C:$D,2,FALSE)</f>
        <v>225507</v>
      </c>
      <c r="J53" s="55">
        <f t="shared" si="0"/>
        <v>603</v>
      </c>
      <c r="K53" s="55">
        <f>VLOOKUP(G53,'[2]Dispositivos exportados de HP W'!$C:$D,2,FALSE)</f>
        <v>225914</v>
      </c>
      <c r="L53" s="55">
        <f t="shared" si="1"/>
        <v>407</v>
      </c>
      <c r="M53" s="55">
        <f>VLOOKUP(G53,'[3]Dispositivos exportados de HP W'!$C:$D,2,FALSE)</f>
        <v>226147</v>
      </c>
      <c r="N53" s="55">
        <f t="shared" si="2"/>
        <v>233</v>
      </c>
      <c r="O53" s="55">
        <f>VLOOKUP(G53,'[4]Dispositivos exportados de HP W'!$C:$D,2,FALSE)</f>
        <v>226453</v>
      </c>
      <c r="P53" s="55">
        <f t="shared" si="3"/>
        <v>306</v>
      </c>
      <c r="Q53" s="55">
        <f>VLOOKUP(G53,'[6]Dispositivos exportados de HP W'!$C:$D,2,FALSE)</f>
        <v>226640</v>
      </c>
      <c r="R53" s="55">
        <f t="shared" si="4"/>
        <v>187</v>
      </c>
      <c r="S53" s="90">
        <f t="shared" si="5"/>
        <v>1736</v>
      </c>
      <c r="T53" s="89">
        <v>46083</v>
      </c>
      <c r="U53" s="14" t="s">
        <v>2449</v>
      </c>
      <c r="V53" s="105" t="s">
        <v>2383</v>
      </c>
      <c r="W53" s="105" t="s">
        <v>2236</v>
      </c>
    </row>
    <row r="54" spans="1:23" ht="13.5" customHeight="1" x14ac:dyDescent="0.25">
      <c r="A54" s="14" t="s">
        <v>2089</v>
      </c>
      <c r="B54" s="14" t="s">
        <v>632</v>
      </c>
      <c r="C54" s="22">
        <v>9446</v>
      </c>
      <c r="D54" s="14" t="s">
        <v>634</v>
      </c>
      <c r="E54" s="15" t="s">
        <v>416</v>
      </c>
      <c r="F54" s="14" t="s">
        <v>1199</v>
      </c>
      <c r="G54" s="15" t="s">
        <v>359</v>
      </c>
      <c r="H54" s="55">
        <v>127739</v>
      </c>
      <c r="I54" s="55">
        <f>VLOOKUP(G54,'[1]Dispositivos exportados de HP W'!$C:$D,2,FALSE)</f>
        <v>127762</v>
      </c>
      <c r="J54" s="55">
        <f t="shared" si="0"/>
        <v>23</v>
      </c>
      <c r="K54" s="55">
        <f>VLOOKUP(G54,'[2]Dispositivos exportados de HP W'!$C:$D,2,FALSE)</f>
        <v>127790</v>
      </c>
      <c r="L54" s="55">
        <f t="shared" si="1"/>
        <v>28</v>
      </c>
      <c r="M54" s="55">
        <f>VLOOKUP(G54,'[3]Dispositivos exportados de HP W'!$C:$D,2,FALSE)</f>
        <v>127798</v>
      </c>
      <c r="N54" s="55">
        <f t="shared" si="2"/>
        <v>8</v>
      </c>
      <c r="O54" s="55">
        <f>VLOOKUP(G54,'[4]Dispositivos exportados de HP W'!$C:$D,2,FALSE)</f>
        <v>127819</v>
      </c>
      <c r="P54" s="55">
        <f t="shared" si="3"/>
        <v>21</v>
      </c>
      <c r="Q54" s="55">
        <f>VLOOKUP(G54,'[6]Dispositivos exportados de HP W'!$C:$D,2,FALSE)</f>
        <v>127820</v>
      </c>
      <c r="R54" s="55">
        <f t="shared" si="4"/>
        <v>1</v>
      </c>
      <c r="S54" s="90">
        <f t="shared" si="5"/>
        <v>81</v>
      </c>
      <c r="T54" s="89">
        <v>46083</v>
      </c>
      <c r="U54" s="14"/>
      <c r="V54" s="105" t="s">
        <v>2383</v>
      </c>
      <c r="W54" s="105" t="str">
        <f>VLOOKUP(C54,'Status oficina'!$A$2:$C$208,3,FALSE)</f>
        <v>Activa</v>
      </c>
    </row>
    <row r="55" spans="1:23" ht="13.5" customHeight="1" x14ac:dyDescent="0.25">
      <c r="A55" s="14" t="s">
        <v>946</v>
      </c>
      <c r="B55" s="14" t="s">
        <v>973</v>
      </c>
      <c r="C55" s="19">
        <v>9630</v>
      </c>
      <c r="D55" s="14" t="s">
        <v>975</v>
      </c>
      <c r="E55" s="14" t="s">
        <v>416</v>
      </c>
      <c r="F55" s="14" t="s">
        <v>1403</v>
      </c>
      <c r="G55" s="14" t="s">
        <v>128</v>
      </c>
      <c r="H55" s="55">
        <v>135462</v>
      </c>
      <c r="I55" s="55">
        <f>VLOOKUP(G55,'[1]Dispositivos exportados de HP W'!$C:$D,2,FALSE)</f>
        <v>135671</v>
      </c>
      <c r="J55" s="55">
        <f t="shared" si="0"/>
        <v>209</v>
      </c>
      <c r="K55" s="55">
        <f>VLOOKUP(G55,'[2]Dispositivos exportados de HP W'!$C:$D,2,FALSE)</f>
        <v>135874</v>
      </c>
      <c r="L55" s="55">
        <f t="shared" si="1"/>
        <v>203</v>
      </c>
      <c r="M55" s="55">
        <f>VLOOKUP(G55,'[3]Dispositivos exportados de HP W'!$C:$D,2,FALSE)</f>
        <v>136086</v>
      </c>
      <c r="N55" s="55">
        <f t="shared" si="2"/>
        <v>212</v>
      </c>
      <c r="O55" s="55">
        <f>VLOOKUP(G55,'[4]Dispositivos exportados de HP W'!$C:$D,2,FALSE)</f>
        <v>136279</v>
      </c>
      <c r="P55" s="55">
        <f t="shared" si="3"/>
        <v>193</v>
      </c>
      <c r="Q55" s="55">
        <f>VLOOKUP(G55,'[6]Dispositivos exportados de HP W'!$C:$D,2,FALSE)</f>
        <v>136339</v>
      </c>
      <c r="R55" s="55">
        <f t="shared" si="4"/>
        <v>60</v>
      </c>
      <c r="S55" s="90">
        <f t="shared" si="5"/>
        <v>877</v>
      </c>
      <c r="T55" s="89">
        <v>46083</v>
      </c>
      <c r="U55" s="14"/>
      <c r="V55" s="105" t="s">
        <v>2383</v>
      </c>
      <c r="W55" s="105" t="str">
        <f>VLOOKUP(C55,'Status oficina'!$A$2:$C$208,3,FALSE)</f>
        <v>Activa</v>
      </c>
    </row>
    <row r="56" spans="1:23" ht="13.5" customHeight="1" x14ac:dyDescent="0.25">
      <c r="A56" s="53" t="s">
        <v>2450</v>
      </c>
      <c r="B56" s="14" t="s">
        <v>649</v>
      </c>
      <c r="C56" s="19">
        <v>9272</v>
      </c>
      <c r="D56" s="14" t="s">
        <v>650</v>
      </c>
      <c r="E56" s="14" t="s">
        <v>416</v>
      </c>
      <c r="F56" s="14" t="s">
        <v>1210</v>
      </c>
      <c r="G56" s="14" t="s">
        <v>140</v>
      </c>
      <c r="H56" s="55">
        <v>289553</v>
      </c>
      <c r="I56" s="55">
        <f>VLOOKUP(G56,'[1]Dispositivos exportados de HP W'!$C:$D,2,FALSE)</f>
        <v>289553</v>
      </c>
      <c r="J56" s="55">
        <f t="shared" si="0"/>
        <v>0</v>
      </c>
      <c r="K56" s="55">
        <f>VLOOKUP(G56,'[2]Dispositivos exportados de HP W'!$C:$D,2,FALSE)</f>
        <v>289553</v>
      </c>
      <c r="L56" s="55">
        <f t="shared" si="1"/>
        <v>0</v>
      </c>
      <c r="M56" s="55">
        <f>VLOOKUP(G56,'[3]Dispositivos exportados de HP W'!$C:$D,2,FALSE)</f>
        <v>289553</v>
      </c>
      <c r="N56" s="55">
        <f t="shared" si="2"/>
        <v>0</v>
      </c>
      <c r="O56" s="55">
        <f>VLOOKUP(G56,'[4]Dispositivos exportados de HP W'!$C:$D,2,FALSE)</f>
        <v>289553</v>
      </c>
      <c r="P56" s="55">
        <f t="shared" si="3"/>
        <v>0</v>
      </c>
      <c r="Q56" s="55">
        <f>VLOOKUP(G56,'[6]Dispositivos exportados de HP W'!$C:$D,2,FALSE)</f>
        <v>289553</v>
      </c>
      <c r="R56" s="55">
        <f t="shared" si="4"/>
        <v>0</v>
      </c>
      <c r="S56" s="90">
        <f t="shared" si="5"/>
        <v>0</v>
      </c>
      <c r="T56" s="89">
        <v>46083</v>
      </c>
      <c r="U56" s="14" t="s">
        <v>2397</v>
      </c>
      <c r="V56" s="105" t="s">
        <v>2382</v>
      </c>
      <c r="W56" s="105" t="str">
        <f>VLOOKUP(C56,'Status oficina'!$A$2:$C$208,3,FALSE)</f>
        <v>Activa</v>
      </c>
    </row>
    <row r="57" spans="1:23" ht="13.5" customHeight="1" x14ac:dyDescent="0.25">
      <c r="A57" s="14" t="s">
        <v>946</v>
      </c>
      <c r="B57" s="14" t="s">
        <v>999</v>
      </c>
      <c r="C57" s="120">
        <v>9610</v>
      </c>
      <c r="D57" s="14" t="s">
        <v>1001</v>
      </c>
      <c r="E57" s="14" t="s">
        <v>416</v>
      </c>
      <c r="F57" s="14" t="s">
        <v>1434</v>
      </c>
      <c r="G57" s="14" t="s">
        <v>228</v>
      </c>
      <c r="H57" s="55">
        <v>322049</v>
      </c>
      <c r="I57" s="55">
        <f>VLOOKUP(G57,'[1]Dispositivos exportados de HP W'!$C:$D,2,FALSE)</f>
        <v>323113</v>
      </c>
      <c r="J57" s="55">
        <f t="shared" si="0"/>
        <v>1064</v>
      </c>
      <c r="K57" s="55">
        <f>VLOOKUP(G57,'[2]Dispositivos exportados de HP W'!$C:$D,2,FALSE)</f>
        <v>324231</v>
      </c>
      <c r="L57" s="55">
        <f t="shared" si="1"/>
        <v>1118</v>
      </c>
      <c r="M57" s="55">
        <f>VLOOKUP(G57,'[3]Dispositivos exportados de HP W'!$C:$D,2,FALSE)</f>
        <v>324810</v>
      </c>
      <c r="N57" s="55">
        <f t="shared" si="2"/>
        <v>579</v>
      </c>
      <c r="O57" s="55">
        <f>VLOOKUP(G57,'[4]Dispositivos exportados de HP W'!$C:$D,2,FALSE)</f>
        <v>325671</v>
      </c>
      <c r="P57" s="55">
        <f t="shared" si="3"/>
        <v>861</v>
      </c>
      <c r="Q57" s="55">
        <f>VLOOKUP(G57,'[6]Dispositivos exportados de HP W'!$C:$D,2,FALSE)</f>
        <v>326077</v>
      </c>
      <c r="R57" s="55">
        <f t="shared" si="4"/>
        <v>406</v>
      </c>
      <c r="S57" s="90">
        <f t="shared" si="5"/>
        <v>4028</v>
      </c>
      <c r="T57" s="89">
        <v>46083</v>
      </c>
      <c r="U57" s="14"/>
      <c r="V57" s="105" t="s">
        <v>2383</v>
      </c>
      <c r="W57" s="105" t="str">
        <f>VLOOKUP(C57,'Status oficina'!$A$2:$C$208,3,FALSE)</f>
        <v>Activa</v>
      </c>
    </row>
    <row r="58" spans="1:23" ht="13.5" customHeight="1" x14ac:dyDescent="0.25">
      <c r="A58" s="53" t="s">
        <v>2450</v>
      </c>
      <c r="B58" s="14" t="s">
        <v>756</v>
      </c>
      <c r="C58" s="120">
        <v>9299</v>
      </c>
      <c r="D58" s="14" t="s">
        <v>2441</v>
      </c>
      <c r="E58" s="14" t="s">
        <v>416</v>
      </c>
      <c r="F58" s="14" t="s">
        <v>758</v>
      </c>
      <c r="G58" s="14"/>
      <c r="H58" s="55">
        <v>121368</v>
      </c>
      <c r="I58" s="55">
        <v>121368</v>
      </c>
      <c r="J58" s="55">
        <f t="shared" si="0"/>
        <v>0</v>
      </c>
      <c r="K58" s="55">
        <v>121368</v>
      </c>
      <c r="L58" s="55">
        <f t="shared" si="1"/>
        <v>0</v>
      </c>
      <c r="M58" s="55">
        <v>121368</v>
      </c>
      <c r="N58" s="55">
        <f t="shared" si="2"/>
        <v>0</v>
      </c>
      <c r="O58" s="55">
        <v>121368</v>
      </c>
      <c r="P58" s="55">
        <f t="shared" si="3"/>
        <v>0</v>
      </c>
      <c r="Q58" s="55">
        <v>121368</v>
      </c>
      <c r="R58" s="55">
        <f t="shared" si="4"/>
        <v>0</v>
      </c>
      <c r="S58" s="90">
        <f t="shared" si="5"/>
        <v>0</v>
      </c>
      <c r="T58" s="89">
        <v>46083</v>
      </c>
      <c r="U58" s="14" t="s">
        <v>2495</v>
      </c>
      <c r="V58" s="105" t="s">
        <v>2382</v>
      </c>
      <c r="W58" s="105" t="str">
        <f>VLOOKUP(C58,'Status oficina'!$A$2:$C$208,3,FALSE)</f>
        <v>Activa</v>
      </c>
    </row>
    <row r="59" spans="1:23" ht="13.5" customHeight="1" x14ac:dyDescent="0.25">
      <c r="A59" s="14" t="s">
        <v>2451</v>
      </c>
      <c r="B59" s="14" t="s">
        <v>784</v>
      </c>
      <c r="C59" s="19">
        <v>9282</v>
      </c>
      <c r="D59" s="14" t="s">
        <v>787</v>
      </c>
      <c r="E59" s="14" t="s">
        <v>416</v>
      </c>
      <c r="F59" s="14" t="s">
        <v>1291</v>
      </c>
      <c r="G59" s="14" t="s">
        <v>318</v>
      </c>
      <c r="H59" s="55">
        <v>256868</v>
      </c>
      <c r="I59" s="55">
        <f>VLOOKUP(G59,'[1]Dispositivos exportados de HP W'!$C:$D,2,FALSE)</f>
        <v>256868</v>
      </c>
      <c r="J59" s="55">
        <f t="shared" si="0"/>
        <v>0</v>
      </c>
      <c r="K59" s="55">
        <f>VLOOKUP(G59,'[2]Dispositivos exportados de HP W'!$C:$D,2,FALSE)</f>
        <v>256868</v>
      </c>
      <c r="L59" s="55">
        <f t="shared" si="1"/>
        <v>0</v>
      </c>
      <c r="M59" s="55">
        <f>VLOOKUP(G59,'[3]Dispositivos exportados de HP W'!$C:$D,2,FALSE)</f>
        <v>256868</v>
      </c>
      <c r="N59" s="55">
        <f t="shared" si="2"/>
        <v>0</v>
      </c>
      <c r="O59" s="55">
        <f>VLOOKUP(G59,'[4]Dispositivos exportados de HP W'!$C:$D,2,FALSE)</f>
        <v>256868</v>
      </c>
      <c r="P59" s="55">
        <f t="shared" si="3"/>
        <v>0</v>
      </c>
      <c r="Q59" s="55">
        <f>VLOOKUP(G59,'[6]Dispositivos exportados de HP W'!$C:$D,2,FALSE)</f>
        <v>256868</v>
      </c>
      <c r="R59" s="55">
        <f t="shared" si="4"/>
        <v>0</v>
      </c>
      <c r="S59" s="90">
        <f t="shared" si="5"/>
        <v>0</v>
      </c>
      <c r="T59" s="89">
        <v>46083</v>
      </c>
      <c r="U59" s="14" t="s">
        <v>2132</v>
      </c>
      <c r="V59" s="105" t="s">
        <v>2382</v>
      </c>
      <c r="W59" s="105" t="str">
        <f>VLOOKUP(C59,'Status oficina'!$A$2:$C$208,3,FALSE)</f>
        <v>Activa</v>
      </c>
    </row>
    <row r="60" spans="1:23" ht="13.5" customHeight="1" x14ac:dyDescent="0.25">
      <c r="A60" s="14" t="s">
        <v>946</v>
      </c>
      <c r="B60" s="14" t="s">
        <v>987</v>
      </c>
      <c r="C60" s="120">
        <v>9655</v>
      </c>
      <c r="D60" s="54" t="s">
        <v>996</v>
      </c>
      <c r="E60" s="54" t="s">
        <v>416</v>
      </c>
      <c r="F60" s="54" t="s">
        <v>1429</v>
      </c>
      <c r="G60" s="54" t="s">
        <v>396</v>
      </c>
      <c r="H60" s="55">
        <v>399013</v>
      </c>
      <c r="I60" s="55">
        <f>VLOOKUP(G60,'[1]Dispositivos exportados de HP W'!$C:$D,2,FALSE)</f>
        <v>400016</v>
      </c>
      <c r="J60" s="55">
        <f t="shared" si="0"/>
        <v>1003</v>
      </c>
      <c r="K60" s="55">
        <f>VLOOKUP(G60,'[2]Dispositivos exportados de HP W'!$C:$D,2,FALSE)</f>
        <v>400863</v>
      </c>
      <c r="L60" s="55">
        <f t="shared" si="1"/>
        <v>847</v>
      </c>
      <c r="M60" s="55">
        <f>VLOOKUP(G60,'[3]Dispositivos exportados de HP W'!$C:$D,2,FALSE)</f>
        <v>401683</v>
      </c>
      <c r="N60" s="55">
        <f t="shared" si="2"/>
        <v>820</v>
      </c>
      <c r="O60" s="55">
        <f>VLOOKUP(G60,'[4]Dispositivos exportados de HP W'!$C:$D,2,FALSE)</f>
        <v>402739</v>
      </c>
      <c r="P60" s="55">
        <f t="shared" si="3"/>
        <v>1056</v>
      </c>
      <c r="Q60" s="55">
        <f>VLOOKUP(G60,'[6]Dispositivos exportados de HP W'!$C:$D,2,FALSE)</f>
        <v>402981</v>
      </c>
      <c r="R60" s="55">
        <f t="shared" si="4"/>
        <v>242</v>
      </c>
      <c r="S60" s="90">
        <f t="shared" si="5"/>
        <v>3968</v>
      </c>
      <c r="T60" s="89">
        <v>46083</v>
      </c>
      <c r="U60" s="14"/>
      <c r="V60" s="108" t="s">
        <v>2383</v>
      </c>
      <c r="W60" s="105" t="str">
        <f>VLOOKUP(C60,'Status oficina'!$A$2:$C$208,3,FALSE)</f>
        <v>Activa</v>
      </c>
    </row>
    <row r="61" spans="1:23" ht="13.5" customHeight="1" x14ac:dyDescent="0.25">
      <c r="A61" s="14" t="s">
        <v>2451</v>
      </c>
      <c r="B61" s="14" t="s">
        <v>784</v>
      </c>
      <c r="C61" s="19">
        <v>9282</v>
      </c>
      <c r="D61" s="14" t="s">
        <v>786</v>
      </c>
      <c r="E61" s="14" t="s">
        <v>420</v>
      </c>
      <c r="F61" s="14" t="s">
        <v>1290</v>
      </c>
      <c r="G61" s="14"/>
      <c r="H61" s="55">
        <v>483177</v>
      </c>
      <c r="I61" s="55">
        <v>483177</v>
      </c>
      <c r="J61" s="55">
        <f t="shared" si="0"/>
        <v>0</v>
      </c>
      <c r="K61" s="55">
        <v>483177</v>
      </c>
      <c r="L61" s="55">
        <f t="shared" si="1"/>
        <v>0</v>
      </c>
      <c r="M61" s="55">
        <v>483177</v>
      </c>
      <c r="N61" s="55">
        <f t="shared" si="2"/>
        <v>0</v>
      </c>
      <c r="O61" s="55">
        <v>483177</v>
      </c>
      <c r="P61" s="55">
        <f t="shared" si="3"/>
        <v>0</v>
      </c>
      <c r="Q61" s="55">
        <v>483177</v>
      </c>
      <c r="R61" s="55">
        <f t="shared" si="4"/>
        <v>0</v>
      </c>
      <c r="S61" s="90">
        <f t="shared" si="5"/>
        <v>0</v>
      </c>
      <c r="T61" s="89">
        <v>46083</v>
      </c>
      <c r="U61" s="14" t="s">
        <v>2110</v>
      </c>
      <c r="V61" s="105" t="s">
        <v>2382</v>
      </c>
      <c r="W61" s="105" t="str">
        <f>VLOOKUP(C61,'Status oficina'!$A$2:$C$208,3,FALSE)</f>
        <v>Activa</v>
      </c>
    </row>
    <row r="62" spans="1:23" ht="13.5" customHeight="1" x14ac:dyDescent="0.25">
      <c r="A62" s="53" t="s">
        <v>2450</v>
      </c>
      <c r="B62" s="14" t="s">
        <v>769</v>
      </c>
      <c r="C62" s="120">
        <v>9929</v>
      </c>
      <c r="D62" s="14" t="s">
        <v>770</v>
      </c>
      <c r="E62" s="14" t="s">
        <v>416</v>
      </c>
      <c r="F62" s="14" t="s">
        <v>1280</v>
      </c>
      <c r="G62" s="14" t="s">
        <v>325</v>
      </c>
      <c r="H62" s="55">
        <v>296148</v>
      </c>
      <c r="I62" s="55">
        <f>VLOOKUP(G62,'[1]Dispositivos exportados de HP W'!$C:$D,2,FALSE)</f>
        <v>296613</v>
      </c>
      <c r="J62" s="55">
        <f t="shared" si="0"/>
        <v>465</v>
      </c>
      <c r="K62" s="55">
        <f>VLOOKUP(G62,'[2]Dispositivos exportados de HP W'!$C:$D,2,FALSE)</f>
        <v>297008</v>
      </c>
      <c r="L62" s="55">
        <f t="shared" si="1"/>
        <v>395</v>
      </c>
      <c r="M62" s="55">
        <f>VLOOKUP(G62,'[3]Dispositivos exportados de HP W'!$C:$D,2,FALSE)</f>
        <v>297143</v>
      </c>
      <c r="N62" s="55">
        <f t="shared" si="2"/>
        <v>135</v>
      </c>
      <c r="O62" s="55">
        <f>VLOOKUP(G62,'[4]Dispositivos exportados de HP W'!$C:$D,2,FALSE)</f>
        <v>297536</v>
      </c>
      <c r="P62" s="55">
        <f t="shared" si="3"/>
        <v>393</v>
      </c>
      <c r="Q62" s="55">
        <f>VLOOKUP(G62,'[6]Dispositivos exportados de HP W'!$C:$D,2,FALSE)</f>
        <v>297536</v>
      </c>
      <c r="R62" s="55">
        <f t="shared" si="4"/>
        <v>0</v>
      </c>
      <c r="S62" s="90">
        <f t="shared" si="5"/>
        <v>1388</v>
      </c>
      <c r="T62" s="89">
        <v>46083</v>
      </c>
      <c r="U62" s="14"/>
      <c r="V62" s="105" t="s">
        <v>2383</v>
      </c>
      <c r="W62" s="105" t="str">
        <f>VLOOKUP(C62,'Status oficina'!$A$2:$C$208,3,FALSE)</f>
        <v>Activa</v>
      </c>
    </row>
    <row r="63" spans="1:23" ht="13.5" customHeight="1" x14ac:dyDescent="0.25">
      <c r="A63" s="14" t="s">
        <v>2451</v>
      </c>
      <c r="B63" s="14" t="s">
        <v>849</v>
      </c>
      <c r="C63" s="120">
        <v>9283</v>
      </c>
      <c r="D63" s="14" t="s">
        <v>850</v>
      </c>
      <c r="E63" s="14" t="s">
        <v>420</v>
      </c>
      <c r="F63" s="14" t="s">
        <v>1332</v>
      </c>
      <c r="G63" s="14" t="s">
        <v>236</v>
      </c>
      <c r="H63" s="55">
        <v>450762</v>
      </c>
      <c r="I63" s="55">
        <f>VLOOKUP(G63,'[1]Dispositivos exportados de HP W'!$C:$D,2,FALSE)</f>
        <v>450762</v>
      </c>
      <c r="J63" s="55">
        <f t="shared" si="0"/>
        <v>0</v>
      </c>
      <c r="K63" s="55">
        <f>VLOOKUP(G63,'[2]Dispositivos exportados de HP W'!$C:$D,2,FALSE)</f>
        <v>450762</v>
      </c>
      <c r="L63" s="55">
        <f t="shared" si="1"/>
        <v>0</v>
      </c>
      <c r="M63" s="55">
        <f>VLOOKUP(G63,'[3]Dispositivos exportados de HP W'!$C:$D,2,FALSE)</f>
        <v>450762</v>
      </c>
      <c r="N63" s="55">
        <f t="shared" si="2"/>
        <v>0</v>
      </c>
      <c r="O63" s="55">
        <f>VLOOKUP(G63,'[4]Dispositivos exportados de HP W'!$C:$D,2,FALSE)</f>
        <v>450762</v>
      </c>
      <c r="P63" s="55">
        <f t="shared" si="3"/>
        <v>0</v>
      </c>
      <c r="Q63" s="55">
        <f>VLOOKUP(G63,'[6]Dispositivos exportados de HP W'!$C:$D,2,FALSE)</f>
        <v>450762</v>
      </c>
      <c r="R63" s="55">
        <f t="shared" si="4"/>
        <v>0</v>
      </c>
      <c r="S63" s="90">
        <f t="shared" si="5"/>
        <v>0</v>
      </c>
      <c r="T63" s="89">
        <v>46083</v>
      </c>
      <c r="U63" s="14"/>
      <c r="V63" s="105" t="s">
        <v>2239</v>
      </c>
      <c r="W63" s="105" t="str">
        <f>VLOOKUP(C63,'Status oficina'!$A$2:$C$208,3,FALSE)</f>
        <v>Cierre temporal</v>
      </c>
    </row>
    <row r="64" spans="1:23" ht="13.5" customHeight="1" x14ac:dyDescent="0.25">
      <c r="A64" s="14" t="s">
        <v>2451</v>
      </c>
      <c r="B64" s="14" t="s">
        <v>849</v>
      </c>
      <c r="C64" s="120">
        <v>9283</v>
      </c>
      <c r="D64" s="14" t="s">
        <v>851</v>
      </c>
      <c r="E64" s="14" t="s">
        <v>416</v>
      </c>
      <c r="F64" s="14" t="s">
        <v>1333</v>
      </c>
      <c r="G64" s="14" t="s">
        <v>386</v>
      </c>
      <c r="H64" s="55">
        <v>95129</v>
      </c>
      <c r="I64" s="55">
        <f>VLOOKUP(G64,'[1]Dispositivos exportados de HP W'!$C:$D,2,FALSE)</f>
        <v>95129</v>
      </c>
      <c r="J64" s="55">
        <f t="shared" si="0"/>
        <v>0</v>
      </c>
      <c r="K64" s="55">
        <f>VLOOKUP(G64,'[2]Dispositivos exportados de HP W'!$C:$D,2,FALSE)</f>
        <v>95129</v>
      </c>
      <c r="L64" s="55">
        <f t="shared" si="1"/>
        <v>0</v>
      </c>
      <c r="M64" s="55">
        <f>VLOOKUP(G64,'[3]Dispositivos exportados de HP W'!$C:$D,2,FALSE)</f>
        <v>95129</v>
      </c>
      <c r="N64" s="55">
        <f t="shared" si="2"/>
        <v>0</v>
      </c>
      <c r="O64" s="55">
        <f>VLOOKUP(G64,'[4]Dispositivos exportados de HP W'!$C:$D,2,FALSE)</f>
        <v>95129</v>
      </c>
      <c r="P64" s="55">
        <f t="shared" si="3"/>
        <v>0</v>
      </c>
      <c r="Q64" s="55">
        <f>VLOOKUP(G64,'[6]Dispositivos exportados de HP W'!$C:$D,2,FALSE)</f>
        <v>95129</v>
      </c>
      <c r="R64" s="55">
        <f t="shared" si="4"/>
        <v>0</v>
      </c>
      <c r="S64" s="90">
        <f t="shared" si="5"/>
        <v>0</v>
      </c>
      <c r="T64" s="89">
        <v>46083</v>
      </c>
      <c r="U64" s="14"/>
      <c r="V64" s="105" t="s">
        <v>2239</v>
      </c>
      <c r="W64" s="105" t="str">
        <f>VLOOKUP(C64,'Status oficina'!$A$2:$C$208,3,FALSE)</f>
        <v>Cierre temporal</v>
      </c>
    </row>
    <row r="65" spans="1:23" ht="13.5" customHeight="1" x14ac:dyDescent="0.25">
      <c r="A65" s="14" t="s">
        <v>2451</v>
      </c>
      <c r="B65" s="14" t="s">
        <v>836</v>
      </c>
      <c r="C65" s="120">
        <v>9284</v>
      </c>
      <c r="D65" s="14" t="s">
        <v>837</v>
      </c>
      <c r="E65" s="14" t="s">
        <v>416</v>
      </c>
      <c r="F65" s="14" t="s">
        <v>1321</v>
      </c>
      <c r="G65" s="14"/>
      <c r="H65" s="55">
        <v>159175</v>
      </c>
      <c r="I65" s="55">
        <v>159175</v>
      </c>
      <c r="J65" s="55">
        <f t="shared" si="0"/>
        <v>0</v>
      </c>
      <c r="K65" s="55">
        <v>159175</v>
      </c>
      <c r="L65" s="55">
        <f t="shared" si="1"/>
        <v>0</v>
      </c>
      <c r="M65" s="55">
        <v>159175</v>
      </c>
      <c r="N65" s="55">
        <f t="shared" si="2"/>
        <v>0</v>
      </c>
      <c r="O65" s="55">
        <v>159175</v>
      </c>
      <c r="P65" s="55">
        <f t="shared" si="3"/>
        <v>0</v>
      </c>
      <c r="Q65" s="55">
        <v>159175</v>
      </c>
      <c r="R65" s="55">
        <f t="shared" si="4"/>
        <v>0</v>
      </c>
      <c r="S65" s="90">
        <f t="shared" si="5"/>
        <v>0</v>
      </c>
      <c r="T65" s="89">
        <v>46083</v>
      </c>
      <c r="U65" s="8" t="s">
        <v>2389</v>
      </c>
      <c r="V65" s="105" t="s">
        <v>2382</v>
      </c>
      <c r="W65" s="105" t="str">
        <f>VLOOKUP(C65,'Status oficina'!$A$2:$C$208,3,FALSE)</f>
        <v>Cierre temporal</v>
      </c>
    </row>
    <row r="66" spans="1:23" ht="13.5" customHeight="1" x14ac:dyDescent="0.25">
      <c r="A66" s="14" t="s">
        <v>2451</v>
      </c>
      <c r="B66" s="14" t="s">
        <v>836</v>
      </c>
      <c r="C66" s="120">
        <v>9284</v>
      </c>
      <c r="D66" s="14" t="s">
        <v>837</v>
      </c>
      <c r="E66" s="14" t="s">
        <v>420</v>
      </c>
      <c r="F66" s="14" t="s">
        <v>838</v>
      </c>
      <c r="G66" s="14"/>
      <c r="H66" s="55">
        <v>158235</v>
      </c>
      <c r="I66" s="55">
        <v>158235</v>
      </c>
      <c r="J66" s="55">
        <f t="shared" si="0"/>
        <v>0</v>
      </c>
      <c r="K66" s="55">
        <v>158235</v>
      </c>
      <c r="L66" s="55">
        <f t="shared" si="1"/>
        <v>0</v>
      </c>
      <c r="M66" s="55">
        <v>158235</v>
      </c>
      <c r="N66" s="55">
        <f t="shared" si="2"/>
        <v>0</v>
      </c>
      <c r="O66" s="55">
        <v>158235</v>
      </c>
      <c r="P66" s="55">
        <f t="shared" si="3"/>
        <v>0</v>
      </c>
      <c r="Q66" s="55">
        <v>158235</v>
      </c>
      <c r="R66" s="55">
        <f t="shared" si="4"/>
        <v>0</v>
      </c>
      <c r="S66" s="90">
        <f t="shared" si="5"/>
        <v>0</v>
      </c>
      <c r="T66" s="89">
        <v>46083</v>
      </c>
      <c r="U66" s="14" t="s">
        <v>2399</v>
      </c>
      <c r="V66" s="105" t="s">
        <v>2382</v>
      </c>
      <c r="W66" s="105" t="str">
        <f>VLOOKUP(C66,'Status oficina'!$A$2:$C$208,3,FALSE)</f>
        <v>Cierre temporal</v>
      </c>
    </row>
    <row r="67" spans="1:23" ht="13.5" customHeight="1" x14ac:dyDescent="0.25">
      <c r="A67" s="14" t="s">
        <v>946</v>
      </c>
      <c r="B67" s="14" t="s">
        <v>969</v>
      </c>
      <c r="C67" s="19">
        <v>9570</v>
      </c>
      <c r="D67" s="14" t="s">
        <v>2442</v>
      </c>
      <c r="E67" s="14" t="s">
        <v>416</v>
      </c>
      <c r="F67" s="14" t="s">
        <v>1411</v>
      </c>
      <c r="G67" s="14" t="s">
        <v>177</v>
      </c>
      <c r="H67" s="55">
        <v>162807</v>
      </c>
      <c r="I67" s="55">
        <f>VLOOKUP(G67,'[1]Dispositivos exportados de HP W'!$C:$D,2,FALSE)</f>
        <v>163037</v>
      </c>
      <c r="J67" s="55">
        <f t="shared" ref="J67:J130" si="6">I67-H67</f>
        <v>230</v>
      </c>
      <c r="K67" s="55">
        <f>VLOOKUP(G67,'[2]Dispositivos exportados de HP W'!$C:$D,2,FALSE)</f>
        <v>163470</v>
      </c>
      <c r="L67" s="55">
        <f t="shared" ref="L67:L130" si="7">K67-I67</f>
        <v>433</v>
      </c>
      <c r="M67" s="55">
        <f>VLOOKUP(G67,'[3]Dispositivos exportados de HP W'!$C:$D,2,FALSE)</f>
        <v>163544</v>
      </c>
      <c r="N67" s="55">
        <f t="shared" ref="N67:N130" si="8">M67-K67</f>
        <v>74</v>
      </c>
      <c r="O67" s="55">
        <f>VLOOKUP(G67,'[4]Dispositivos exportados de HP W'!$C:$D,2,FALSE)</f>
        <v>163721</v>
      </c>
      <c r="P67" s="55">
        <f t="shared" ref="P67:P130" si="9">O67-M67</f>
        <v>177</v>
      </c>
      <c r="Q67" s="55">
        <f>VLOOKUP(G67,'[6]Dispositivos exportados de HP W'!$C:$D,2,FALSE)</f>
        <v>163770</v>
      </c>
      <c r="R67" s="55">
        <f t="shared" ref="R67:R130" si="10">Q67-O67</f>
        <v>49</v>
      </c>
      <c r="S67" s="90">
        <f t="shared" ref="S67:S130" si="11">R67+P67+N67+L67+J67</f>
        <v>963</v>
      </c>
      <c r="T67" s="89">
        <v>46083</v>
      </c>
      <c r="U67" s="14"/>
      <c r="V67" s="105" t="s">
        <v>2383</v>
      </c>
      <c r="W67" s="105" t="str">
        <f>VLOOKUP(C67,'Status oficina'!$A$2:$C$208,3,FALSE)</f>
        <v>Activa</v>
      </c>
    </row>
    <row r="68" spans="1:23" ht="13.5" customHeight="1" x14ac:dyDescent="0.25">
      <c r="A68" s="14" t="s">
        <v>2451</v>
      </c>
      <c r="B68" s="14" t="s">
        <v>834</v>
      </c>
      <c r="C68" s="120">
        <v>9228</v>
      </c>
      <c r="D68" s="13" t="s">
        <v>2198</v>
      </c>
      <c r="E68" s="14" t="s">
        <v>416</v>
      </c>
      <c r="F68" s="14" t="s">
        <v>1325</v>
      </c>
      <c r="G68" s="14" t="s">
        <v>285</v>
      </c>
      <c r="H68" s="55">
        <v>199138</v>
      </c>
      <c r="I68" s="55">
        <f>VLOOKUP(G68,'[1]Dispositivos exportados de HP W'!$C:$D,2,FALSE)</f>
        <v>199350</v>
      </c>
      <c r="J68" s="55">
        <f t="shared" si="6"/>
        <v>212</v>
      </c>
      <c r="K68" s="55">
        <f>VLOOKUP(G68,'[2]Dispositivos exportados de HP W'!$C:$D,2,FALSE)</f>
        <v>199831</v>
      </c>
      <c r="L68" s="55">
        <f t="shared" si="7"/>
        <v>481</v>
      </c>
      <c r="M68" s="55">
        <f>VLOOKUP(G68,'[3]Dispositivos exportados de HP W'!$C:$D,2,FALSE)</f>
        <v>200099</v>
      </c>
      <c r="N68" s="55">
        <f t="shared" si="8"/>
        <v>268</v>
      </c>
      <c r="O68" s="55">
        <f>VLOOKUP(G68,'[4]Dispositivos exportados de HP W'!$C:$D,2,FALSE)</f>
        <v>200322</v>
      </c>
      <c r="P68" s="55">
        <f t="shared" si="9"/>
        <v>223</v>
      </c>
      <c r="Q68" s="55">
        <f>VLOOKUP(G68,'[6]Dispositivos exportados de HP W'!$C:$D,2,FALSE)</f>
        <v>200394</v>
      </c>
      <c r="R68" s="55">
        <f t="shared" si="10"/>
        <v>72</v>
      </c>
      <c r="S68" s="90">
        <f t="shared" si="11"/>
        <v>1256</v>
      </c>
      <c r="T68" s="89">
        <v>46083</v>
      </c>
      <c r="U68" s="57"/>
      <c r="V68" s="105" t="s">
        <v>2383</v>
      </c>
      <c r="W68" s="105" t="str">
        <f>VLOOKUP(C68,'Status oficina'!$A$2:$C$208,3,FALSE)</f>
        <v>Activa</v>
      </c>
    </row>
    <row r="69" spans="1:23" ht="13.5" customHeight="1" x14ac:dyDescent="0.25">
      <c r="A69" s="53" t="s">
        <v>2450</v>
      </c>
      <c r="B69" s="14" t="s">
        <v>661</v>
      </c>
      <c r="C69" s="19">
        <v>9914</v>
      </c>
      <c r="D69" s="14" t="s">
        <v>662</v>
      </c>
      <c r="E69" s="14" t="s">
        <v>416</v>
      </c>
      <c r="F69" s="14" t="s">
        <v>1267</v>
      </c>
      <c r="G69" s="14" t="s">
        <v>255</v>
      </c>
      <c r="H69" s="55">
        <v>105255</v>
      </c>
      <c r="I69" s="55">
        <f>VLOOKUP(G69,'[1]Dispositivos exportados de HP W'!$C:$D,2,FALSE)</f>
        <v>105744</v>
      </c>
      <c r="J69" s="55">
        <f t="shared" si="6"/>
        <v>489</v>
      </c>
      <c r="K69" s="55">
        <f>VLOOKUP(G69,'[2]Dispositivos exportados de HP W'!$C:$D,2,FALSE)</f>
        <v>106387</v>
      </c>
      <c r="L69" s="55">
        <f t="shared" si="7"/>
        <v>643</v>
      </c>
      <c r="M69" s="55">
        <f>VLOOKUP(G69,'[3]Dispositivos exportados de HP W'!$C:$D,2,FALSE)</f>
        <v>106792</v>
      </c>
      <c r="N69" s="55">
        <f t="shared" si="8"/>
        <v>405</v>
      </c>
      <c r="O69" s="55">
        <f>VLOOKUP(G69,'[4]Dispositivos exportados de HP W'!$C:$D,2,FALSE)</f>
        <v>107212</v>
      </c>
      <c r="P69" s="55">
        <f t="shared" si="9"/>
        <v>420</v>
      </c>
      <c r="Q69" s="55">
        <f>VLOOKUP(G69,'[6]Dispositivos exportados de HP W'!$C:$D,2,FALSE)</f>
        <v>107313</v>
      </c>
      <c r="R69" s="55">
        <f t="shared" si="10"/>
        <v>101</v>
      </c>
      <c r="S69" s="90">
        <f t="shared" si="11"/>
        <v>2058</v>
      </c>
      <c r="T69" s="89">
        <v>46083</v>
      </c>
      <c r="U69" s="14"/>
      <c r="V69" s="105" t="s">
        <v>2383</v>
      </c>
      <c r="W69" s="105" t="str">
        <f>VLOOKUP(C69,'Status oficina'!$A$2:$C$208,3,FALSE)</f>
        <v>Activa</v>
      </c>
    </row>
    <row r="70" spans="1:23" ht="13.5" customHeight="1" x14ac:dyDescent="0.25">
      <c r="A70" s="53" t="s">
        <v>2450</v>
      </c>
      <c r="B70" s="14" t="s">
        <v>718</v>
      </c>
      <c r="C70" s="19">
        <v>9226</v>
      </c>
      <c r="D70" s="14" t="s">
        <v>720</v>
      </c>
      <c r="E70" s="14" t="s">
        <v>416</v>
      </c>
      <c r="F70" s="14" t="s">
        <v>1249</v>
      </c>
      <c r="G70" s="14" t="s">
        <v>292</v>
      </c>
      <c r="H70" s="55">
        <v>126118</v>
      </c>
      <c r="I70" s="55">
        <f>VLOOKUP(G70,'[1]Dispositivos exportados de HP W'!$C:$D,2,FALSE)</f>
        <v>126349</v>
      </c>
      <c r="J70" s="55">
        <f t="shared" si="6"/>
        <v>231</v>
      </c>
      <c r="K70" s="55">
        <f>VLOOKUP(G70,'[2]Dispositivos exportados de HP W'!$C:$D,2,FALSE)</f>
        <v>126486</v>
      </c>
      <c r="L70" s="55">
        <f t="shared" si="7"/>
        <v>137</v>
      </c>
      <c r="M70" s="55">
        <f>VLOOKUP(G70,'[3]Dispositivos exportados de HP W'!$C:$D,2,FALSE)</f>
        <v>126565</v>
      </c>
      <c r="N70" s="55">
        <f t="shared" si="8"/>
        <v>79</v>
      </c>
      <c r="O70" s="55">
        <f>VLOOKUP(G70,'[4]Dispositivos exportados de HP W'!$C:$D,2,FALSE)</f>
        <v>126701</v>
      </c>
      <c r="P70" s="55">
        <f t="shared" si="9"/>
        <v>136</v>
      </c>
      <c r="Q70" s="55">
        <f>VLOOKUP(G70,'[6]Dispositivos exportados de HP W'!$C:$D,2,FALSE)</f>
        <v>126756</v>
      </c>
      <c r="R70" s="55">
        <f t="shared" si="10"/>
        <v>55</v>
      </c>
      <c r="S70" s="90">
        <f t="shared" si="11"/>
        <v>638</v>
      </c>
      <c r="T70" s="89">
        <v>46083</v>
      </c>
      <c r="U70" s="14"/>
      <c r="V70" s="105" t="s">
        <v>2383</v>
      </c>
      <c r="W70" s="105" t="str">
        <f>VLOOKUP(C70,'Status oficina'!$A$2:$C$208,3,FALSE)</f>
        <v>Activa</v>
      </c>
    </row>
    <row r="71" spans="1:23" ht="13.5" customHeight="1" x14ac:dyDescent="0.25">
      <c r="A71" s="14" t="s">
        <v>872</v>
      </c>
      <c r="B71" s="14" t="s">
        <v>880</v>
      </c>
      <c r="C71" s="19">
        <v>9818</v>
      </c>
      <c r="D71" s="14" t="s">
        <v>2420</v>
      </c>
      <c r="E71" s="14" t="s">
        <v>416</v>
      </c>
      <c r="F71" s="14" t="s">
        <v>1346</v>
      </c>
      <c r="G71" s="14" t="s">
        <v>2421</v>
      </c>
      <c r="H71" s="55">
        <v>163446</v>
      </c>
      <c r="I71" s="55">
        <f>VLOOKUP(G71,'[1]Dispositivos exportados de HP W'!$C:$D,2,FALSE)</f>
        <v>163526</v>
      </c>
      <c r="J71" s="55">
        <f t="shared" si="6"/>
        <v>80</v>
      </c>
      <c r="K71" s="55">
        <f>VLOOKUP(G71,'[2]Dispositivos exportados de HP W'!$C:$D,2,FALSE)</f>
        <v>163732</v>
      </c>
      <c r="L71" s="55">
        <f t="shared" si="7"/>
        <v>206</v>
      </c>
      <c r="M71" s="55">
        <f>VLOOKUP(G71,'[3]Dispositivos exportados de HP W'!$C:$D,2,FALSE)</f>
        <v>163796</v>
      </c>
      <c r="N71" s="55">
        <f t="shared" si="8"/>
        <v>64</v>
      </c>
      <c r="O71" s="55">
        <f>VLOOKUP(G71,'[4]Dispositivos exportados de HP W'!$C:$D,2,FALSE)</f>
        <v>163907</v>
      </c>
      <c r="P71" s="55">
        <f t="shared" si="9"/>
        <v>111</v>
      </c>
      <c r="Q71" s="55">
        <f>VLOOKUP(G71,'[6]Dispositivos exportados de HP W'!$C:$D,2,FALSE)</f>
        <v>163939</v>
      </c>
      <c r="R71" s="55">
        <f t="shared" si="10"/>
        <v>32</v>
      </c>
      <c r="S71" s="90">
        <f t="shared" si="11"/>
        <v>493</v>
      </c>
      <c r="T71" s="89">
        <v>46083</v>
      </c>
      <c r="U71" s="14"/>
      <c r="V71" s="105" t="s">
        <v>2383</v>
      </c>
      <c r="W71" s="105" t="s">
        <v>2236</v>
      </c>
    </row>
    <row r="72" spans="1:23" ht="13.5" customHeight="1" x14ac:dyDescent="0.25">
      <c r="A72" s="14" t="s">
        <v>2451</v>
      </c>
      <c r="B72" s="15" t="s">
        <v>2073</v>
      </c>
      <c r="C72" s="19">
        <v>9221</v>
      </c>
      <c r="D72" s="14" t="s">
        <v>775</v>
      </c>
      <c r="E72" s="15" t="s">
        <v>416</v>
      </c>
      <c r="F72" s="14" t="s">
        <v>1283</v>
      </c>
      <c r="G72" s="1" t="s">
        <v>2195</v>
      </c>
      <c r="H72" s="55">
        <v>88547</v>
      </c>
      <c r="I72" s="55">
        <v>88547</v>
      </c>
      <c r="J72" s="55">
        <f t="shared" si="6"/>
        <v>0</v>
      </c>
      <c r="K72" s="55">
        <v>88547</v>
      </c>
      <c r="L72" s="55">
        <f t="shared" si="7"/>
        <v>0</v>
      </c>
      <c r="M72" s="55">
        <v>88547</v>
      </c>
      <c r="N72" s="55">
        <f t="shared" si="8"/>
        <v>0</v>
      </c>
      <c r="O72" s="55">
        <v>88547</v>
      </c>
      <c r="P72" s="55">
        <f t="shared" si="9"/>
        <v>0</v>
      </c>
      <c r="Q72" s="55">
        <v>88547</v>
      </c>
      <c r="R72" s="55">
        <f t="shared" si="10"/>
        <v>0</v>
      </c>
      <c r="S72" s="90">
        <f t="shared" si="11"/>
        <v>0</v>
      </c>
      <c r="T72" s="89">
        <v>46083</v>
      </c>
      <c r="U72" s="14" t="s">
        <v>2196</v>
      </c>
      <c r="V72" s="105" t="s">
        <v>2383</v>
      </c>
      <c r="W72" s="105" t="str">
        <f>VLOOKUP(C72,'Status oficina'!$A$2:$C$208,3,FALSE)</f>
        <v>Cierre definitivo</v>
      </c>
    </row>
    <row r="73" spans="1:23" ht="13.5" customHeight="1" x14ac:dyDescent="0.25">
      <c r="A73" s="14" t="s">
        <v>2089</v>
      </c>
      <c r="B73" s="14" t="s">
        <v>550</v>
      </c>
      <c r="C73" s="120">
        <v>9311</v>
      </c>
      <c r="D73" s="54" t="s">
        <v>551</v>
      </c>
      <c r="E73" s="54" t="s">
        <v>416</v>
      </c>
      <c r="F73" s="54" t="s">
        <v>552</v>
      </c>
      <c r="G73" s="54" t="s">
        <v>342</v>
      </c>
      <c r="H73" s="55">
        <v>265722</v>
      </c>
      <c r="I73" s="55">
        <f>VLOOKUP(G73,'[1]Dispositivos exportados de HP W'!$C:$D,2,FALSE)</f>
        <v>265860</v>
      </c>
      <c r="J73" s="55">
        <f t="shared" si="6"/>
        <v>138</v>
      </c>
      <c r="K73" s="55">
        <f>VLOOKUP(G73,'[2]Dispositivos exportados de HP W'!$C:$D,2,FALSE)</f>
        <v>266362</v>
      </c>
      <c r="L73" s="55">
        <f t="shared" si="7"/>
        <v>502</v>
      </c>
      <c r="M73" s="55">
        <f>VLOOKUP(G73,'[3]Dispositivos exportados de HP W'!$C:$D,2,FALSE)</f>
        <v>266751</v>
      </c>
      <c r="N73" s="55">
        <f t="shared" si="8"/>
        <v>389</v>
      </c>
      <c r="O73" s="55">
        <f>VLOOKUP(G73,'[4]Dispositivos exportados de HP W'!$C:$D,2,FALSE)</f>
        <v>267239</v>
      </c>
      <c r="P73" s="55">
        <f t="shared" si="9"/>
        <v>488</v>
      </c>
      <c r="Q73" s="55">
        <f>VLOOKUP(G73,'[6]Dispositivos exportados de HP W'!$C:$D,2,FALSE)</f>
        <v>267402</v>
      </c>
      <c r="R73" s="55">
        <f t="shared" si="10"/>
        <v>163</v>
      </c>
      <c r="S73" s="90">
        <f t="shared" si="11"/>
        <v>1680</v>
      </c>
      <c r="T73" s="89">
        <v>46083</v>
      </c>
      <c r="U73" s="14"/>
      <c r="V73" s="105" t="s">
        <v>2383</v>
      </c>
      <c r="W73" s="105" t="str">
        <f>VLOOKUP(C73,'Status oficina'!$A$2:$C$208,3,FALSE)</f>
        <v>Activa</v>
      </c>
    </row>
    <row r="74" spans="1:23" ht="13.5" customHeight="1" x14ac:dyDescent="0.25">
      <c r="A74" s="14" t="s">
        <v>2451</v>
      </c>
      <c r="B74" s="14" t="s">
        <v>865</v>
      </c>
      <c r="C74" s="120">
        <v>9218</v>
      </c>
      <c r="D74" s="14" t="s">
        <v>866</v>
      </c>
      <c r="E74" s="14" t="s">
        <v>416</v>
      </c>
      <c r="F74" s="14" t="s">
        <v>1341</v>
      </c>
      <c r="G74" s="14" t="s">
        <v>192</v>
      </c>
      <c r="H74" s="55">
        <v>209700</v>
      </c>
      <c r="I74" s="55">
        <f>VLOOKUP(G74,'[1]Dispositivos exportados de HP W'!$C:$D,2,FALSE)</f>
        <v>210255</v>
      </c>
      <c r="J74" s="55">
        <f t="shared" si="6"/>
        <v>555</v>
      </c>
      <c r="K74" s="55">
        <f>VLOOKUP(G74,'[2]Dispositivos exportados de HP W'!$C:$D,2,FALSE)</f>
        <v>210699</v>
      </c>
      <c r="L74" s="55">
        <f t="shared" si="7"/>
        <v>444</v>
      </c>
      <c r="M74" s="55">
        <f>VLOOKUP(G74,'[3]Dispositivos exportados de HP W'!$C:$D,2,FALSE)</f>
        <v>211051</v>
      </c>
      <c r="N74" s="55">
        <f t="shared" si="8"/>
        <v>352</v>
      </c>
      <c r="O74" s="55">
        <f>VLOOKUP(G74,'[4]Dispositivos exportados de HP W'!$C:$D,2,FALSE)</f>
        <v>211570</v>
      </c>
      <c r="P74" s="55">
        <f t="shared" si="9"/>
        <v>519</v>
      </c>
      <c r="Q74" s="55">
        <f>VLOOKUP(G74,'[6]Dispositivos exportados de HP W'!$C:$D,2,FALSE)</f>
        <v>211723</v>
      </c>
      <c r="R74" s="55">
        <f t="shared" si="10"/>
        <v>153</v>
      </c>
      <c r="S74" s="90">
        <f t="shared" si="11"/>
        <v>2023</v>
      </c>
      <c r="T74" s="89">
        <v>46083</v>
      </c>
      <c r="U74" s="14"/>
      <c r="V74" s="105" t="s">
        <v>2383</v>
      </c>
      <c r="W74" s="105" t="str">
        <f>VLOOKUP(C74,'Status oficina'!$A$2:$C$208,3,FALSE)</f>
        <v>Activa</v>
      </c>
    </row>
    <row r="75" spans="1:23" ht="13.5" customHeight="1" x14ac:dyDescent="0.25">
      <c r="A75" s="14" t="s">
        <v>872</v>
      </c>
      <c r="B75" s="14" t="s">
        <v>938</v>
      </c>
      <c r="C75" s="120">
        <v>9827</v>
      </c>
      <c r="D75" s="14" t="s">
        <v>2443</v>
      </c>
      <c r="E75" s="14" t="s">
        <v>416</v>
      </c>
      <c r="F75" s="14" t="s">
        <v>1392</v>
      </c>
      <c r="G75" s="14" t="s">
        <v>28</v>
      </c>
      <c r="H75" s="55">
        <v>206611</v>
      </c>
      <c r="I75" s="55">
        <f>VLOOKUP(G75,'[1]Dispositivos exportados de HP W'!$C:$D,2,FALSE)</f>
        <v>206627</v>
      </c>
      <c r="J75" s="55">
        <f t="shared" si="6"/>
        <v>16</v>
      </c>
      <c r="K75" s="55">
        <f>VLOOKUP(G75,'[2]Dispositivos exportados de HP W'!$C:$D,2,FALSE)</f>
        <v>206897</v>
      </c>
      <c r="L75" s="55">
        <f t="shared" si="7"/>
        <v>270</v>
      </c>
      <c r="M75" s="55">
        <f>VLOOKUP(G75,'[3]Dispositivos exportados de HP W'!$C:$D,2,FALSE)</f>
        <v>206900</v>
      </c>
      <c r="N75" s="55">
        <f t="shared" si="8"/>
        <v>3</v>
      </c>
      <c r="O75" s="55">
        <f>VLOOKUP(G75,'[4]Dispositivos exportados de HP W'!$C:$D,2,FALSE)</f>
        <v>206990</v>
      </c>
      <c r="P75" s="55">
        <f t="shared" si="9"/>
        <v>90</v>
      </c>
      <c r="Q75" s="55">
        <f>VLOOKUP(G75,'[6]Dispositivos exportados de HP W'!$C:$D,2,FALSE)</f>
        <v>207011</v>
      </c>
      <c r="R75" s="55">
        <f t="shared" si="10"/>
        <v>21</v>
      </c>
      <c r="S75" s="90">
        <f t="shared" si="11"/>
        <v>400</v>
      </c>
      <c r="T75" s="89">
        <v>46083</v>
      </c>
      <c r="U75" s="14"/>
      <c r="V75" s="105" t="s">
        <v>2383</v>
      </c>
      <c r="W75" s="105" t="str">
        <f>VLOOKUP(C75,'Status oficina'!$A$2:$C$208,3,FALSE)</f>
        <v>Activa</v>
      </c>
    </row>
    <row r="76" spans="1:23" ht="13.5" customHeight="1" x14ac:dyDescent="0.25">
      <c r="A76" s="14" t="s">
        <v>2089</v>
      </c>
      <c r="B76" s="14" t="s">
        <v>541</v>
      </c>
      <c r="C76" s="120">
        <v>9397</v>
      </c>
      <c r="D76" s="54" t="s">
        <v>2504</v>
      </c>
      <c r="E76" s="54" t="s">
        <v>416</v>
      </c>
      <c r="F76" s="54" t="s">
        <v>1153</v>
      </c>
      <c r="G76" s="54" t="s">
        <v>268</v>
      </c>
      <c r="H76" s="55">
        <v>375680</v>
      </c>
      <c r="I76" s="55">
        <f>VLOOKUP(G76,'[1]Dispositivos exportados de HP W'!$C:$D,2,FALSE)</f>
        <v>375720</v>
      </c>
      <c r="J76" s="55">
        <f t="shared" si="6"/>
        <v>40</v>
      </c>
      <c r="K76" s="55">
        <f>VLOOKUP(G76,'[2]Dispositivos exportados de HP W'!$C:$D,2,FALSE)</f>
        <v>375774</v>
      </c>
      <c r="L76" s="55">
        <f t="shared" si="7"/>
        <v>54</v>
      </c>
      <c r="M76" s="55">
        <f>VLOOKUP(G76,'[3]Dispositivos exportados de HP W'!$C:$D,2,FALSE)</f>
        <v>375791</v>
      </c>
      <c r="N76" s="55">
        <f t="shared" si="8"/>
        <v>17</v>
      </c>
      <c r="O76" s="55">
        <f>VLOOKUP(G76,'[4]Dispositivos exportados de HP W'!$C:$D,2,FALSE)</f>
        <v>375852</v>
      </c>
      <c r="P76" s="55">
        <f t="shared" si="9"/>
        <v>61</v>
      </c>
      <c r="Q76" s="55">
        <f>VLOOKUP(G76,'[6]Dispositivos exportados de HP W'!$C:$D,2,FALSE)</f>
        <v>375858</v>
      </c>
      <c r="R76" s="55">
        <f t="shared" si="10"/>
        <v>6</v>
      </c>
      <c r="S76" s="90">
        <f t="shared" si="11"/>
        <v>178</v>
      </c>
      <c r="T76" s="89">
        <v>46083</v>
      </c>
      <c r="U76" s="14"/>
      <c r="V76" s="105" t="s">
        <v>2383</v>
      </c>
      <c r="W76" s="105" t="str">
        <f>VLOOKUP(C76,'Status oficina'!$A$2:$C$208,3,FALSE)</f>
        <v>Activa</v>
      </c>
    </row>
    <row r="77" spans="1:23" ht="13.5" customHeight="1" x14ac:dyDescent="0.25">
      <c r="A77" s="14" t="s">
        <v>2451</v>
      </c>
      <c r="B77" s="14" t="s">
        <v>846</v>
      </c>
      <c r="C77" s="120">
        <v>9238</v>
      </c>
      <c r="D77" s="14" t="s">
        <v>2226</v>
      </c>
      <c r="E77" s="14" t="s">
        <v>416</v>
      </c>
      <c r="F77" s="14" t="s">
        <v>1331</v>
      </c>
      <c r="G77" s="14" t="s">
        <v>73</v>
      </c>
      <c r="H77" s="55">
        <v>254942</v>
      </c>
      <c r="I77" s="55">
        <f>VLOOKUP(G77,'[1]Dispositivos exportados de HP W'!$C:$D,2,FALSE)</f>
        <v>255432</v>
      </c>
      <c r="J77" s="55">
        <f t="shared" si="6"/>
        <v>490</v>
      </c>
      <c r="K77" s="55">
        <f>VLOOKUP(G77,'[2]Dispositivos exportados de HP W'!$C:$D,2,FALSE)</f>
        <v>256147</v>
      </c>
      <c r="L77" s="55">
        <f t="shared" si="7"/>
        <v>715</v>
      </c>
      <c r="M77" s="55">
        <f>VLOOKUP(G77,'[3]Dispositivos exportados de HP W'!$C:$D,2,FALSE)</f>
        <v>256476</v>
      </c>
      <c r="N77" s="55">
        <f t="shared" si="8"/>
        <v>329</v>
      </c>
      <c r="O77" s="55">
        <f>VLOOKUP(G77,'[4]Dispositivos exportados de HP W'!$C:$D,2,FALSE)</f>
        <v>256845</v>
      </c>
      <c r="P77" s="55">
        <f t="shared" si="9"/>
        <v>369</v>
      </c>
      <c r="Q77" s="55">
        <f>VLOOKUP(G77,'[6]Dispositivos exportados de HP W'!$C:$D,2,FALSE)</f>
        <v>257194</v>
      </c>
      <c r="R77" s="55">
        <f t="shared" si="10"/>
        <v>349</v>
      </c>
      <c r="S77" s="90">
        <f t="shared" si="11"/>
        <v>2252</v>
      </c>
      <c r="T77" s="89">
        <v>46083</v>
      </c>
      <c r="U77" s="14"/>
      <c r="V77" s="105" t="s">
        <v>2383</v>
      </c>
      <c r="W77" s="105" t="str">
        <f>VLOOKUP(C77,'Status oficina'!$A$2:$C$208,3,FALSE)</f>
        <v>Activa</v>
      </c>
    </row>
    <row r="78" spans="1:23" ht="13.5" customHeight="1" x14ac:dyDescent="0.25">
      <c r="A78" s="14" t="s">
        <v>2451</v>
      </c>
      <c r="B78" s="14" t="s">
        <v>776</v>
      </c>
      <c r="C78" s="19">
        <v>9295</v>
      </c>
      <c r="D78" s="14" t="s">
        <v>777</v>
      </c>
      <c r="E78" s="14" t="s">
        <v>420</v>
      </c>
      <c r="F78" s="14" t="s">
        <v>1284</v>
      </c>
      <c r="G78" s="14" t="s">
        <v>234</v>
      </c>
      <c r="H78" s="55">
        <v>360557</v>
      </c>
      <c r="I78" s="55">
        <f>VLOOKUP(G78,'[1]Dispositivos exportados de HP W'!$C:$D,2,FALSE)</f>
        <v>360557</v>
      </c>
      <c r="J78" s="55">
        <f t="shared" si="6"/>
        <v>0</v>
      </c>
      <c r="K78" s="55">
        <f>VLOOKUP(G78,'[2]Dispositivos exportados de HP W'!$C:$D,2,FALSE)</f>
        <v>360557</v>
      </c>
      <c r="L78" s="55">
        <f t="shared" si="7"/>
        <v>0</v>
      </c>
      <c r="M78" s="55">
        <f>VLOOKUP(G78,'[3]Dispositivos exportados de HP W'!$C:$D,2,FALSE)</f>
        <v>360557</v>
      </c>
      <c r="N78" s="55">
        <f t="shared" si="8"/>
        <v>0</v>
      </c>
      <c r="O78" s="55">
        <f>VLOOKUP(G78,'[4]Dispositivos exportados de HP W'!$C:$D,2,FALSE)</f>
        <v>360557</v>
      </c>
      <c r="P78" s="55">
        <f t="shared" si="9"/>
        <v>0</v>
      </c>
      <c r="Q78" s="55">
        <f>VLOOKUP(G78,'[6]Dispositivos exportados de HP W'!$C:$D,2,FALSE)</f>
        <v>360557</v>
      </c>
      <c r="R78" s="55">
        <f t="shared" si="10"/>
        <v>0</v>
      </c>
      <c r="S78" s="90">
        <f t="shared" si="11"/>
        <v>0</v>
      </c>
      <c r="T78" s="89">
        <v>46083</v>
      </c>
      <c r="U78" s="14" t="s">
        <v>2158</v>
      </c>
      <c r="V78" s="105" t="s">
        <v>2246</v>
      </c>
      <c r="W78" s="105" t="str">
        <f>VLOOKUP(C78,'Status oficina'!$A$2:$C$208,3,FALSE)</f>
        <v>Cierre definitivo</v>
      </c>
    </row>
    <row r="79" spans="1:23" ht="13.5" customHeight="1" x14ac:dyDescent="0.25">
      <c r="A79" s="14" t="s">
        <v>2451</v>
      </c>
      <c r="B79" s="53" t="s">
        <v>776</v>
      </c>
      <c r="C79" s="19">
        <v>9295</v>
      </c>
      <c r="D79" s="53" t="s">
        <v>778</v>
      </c>
      <c r="E79" s="53" t="s">
        <v>416</v>
      </c>
      <c r="F79" s="53" t="s">
        <v>1285</v>
      </c>
      <c r="G79" s="53" t="s">
        <v>324</v>
      </c>
      <c r="H79" s="55">
        <v>79875</v>
      </c>
      <c r="I79" s="55">
        <f>VLOOKUP(G79,'[1]Dispositivos exportados de HP W'!$C:$D,2,FALSE)</f>
        <v>79875</v>
      </c>
      <c r="J79" s="55">
        <f t="shared" si="6"/>
        <v>0</v>
      </c>
      <c r="K79" s="55">
        <f>VLOOKUP(G79,'[2]Dispositivos exportados de HP W'!$C:$D,2,FALSE)</f>
        <v>79875</v>
      </c>
      <c r="L79" s="55">
        <f t="shared" si="7"/>
        <v>0</v>
      </c>
      <c r="M79" s="55">
        <f>VLOOKUP(G79,'[3]Dispositivos exportados de HP W'!$C:$D,2,FALSE)</f>
        <v>79875</v>
      </c>
      <c r="N79" s="55">
        <f t="shared" si="8"/>
        <v>0</v>
      </c>
      <c r="O79" s="55">
        <f>VLOOKUP(G79,'[4]Dispositivos exportados de HP W'!$C:$D,2,FALSE)</f>
        <v>79875</v>
      </c>
      <c r="P79" s="55">
        <f t="shared" si="9"/>
        <v>0</v>
      </c>
      <c r="Q79" s="55">
        <f>VLOOKUP(G79,'[6]Dispositivos exportados de HP W'!$C:$D,2,FALSE)</f>
        <v>79875</v>
      </c>
      <c r="R79" s="55">
        <f t="shared" si="10"/>
        <v>0</v>
      </c>
      <c r="S79" s="90">
        <f t="shared" si="11"/>
        <v>0</v>
      </c>
      <c r="T79" s="89">
        <v>46083</v>
      </c>
      <c r="U79" s="53" t="s">
        <v>2157</v>
      </c>
      <c r="V79" s="105" t="s">
        <v>2246</v>
      </c>
      <c r="W79" s="105" t="str">
        <f>VLOOKUP(C79,'Status oficina'!$A$2:$C$208,3,FALSE)</f>
        <v>Cierre definitivo</v>
      </c>
    </row>
    <row r="80" spans="1:23" ht="13.5" customHeight="1" x14ac:dyDescent="0.25">
      <c r="A80" s="53" t="s">
        <v>2450</v>
      </c>
      <c r="B80" s="14" t="s">
        <v>737</v>
      </c>
      <c r="C80" s="120">
        <v>9297</v>
      </c>
      <c r="D80" s="14" t="s">
        <v>738</v>
      </c>
      <c r="E80" s="14" t="s">
        <v>420</v>
      </c>
      <c r="F80" s="14" t="s">
        <v>1261</v>
      </c>
      <c r="G80" s="14" t="s">
        <v>183</v>
      </c>
      <c r="H80" s="55">
        <v>425089</v>
      </c>
      <c r="I80" s="55">
        <f>VLOOKUP(G80,'[1]Dispositivos exportados de HP W'!$C:$D,2,FALSE)</f>
        <v>425089</v>
      </c>
      <c r="J80" s="55">
        <f t="shared" si="6"/>
        <v>0</v>
      </c>
      <c r="K80" s="55">
        <f>VLOOKUP(G80,'[2]Dispositivos exportados de HP W'!$C:$D,2,FALSE)</f>
        <v>425089</v>
      </c>
      <c r="L80" s="55">
        <f t="shared" si="7"/>
        <v>0</v>
      </c>
      <c r="M80" s="55">
        <f>VLOOKUP(G80,'[3]Dispositivos exportados de HP W'!$C:$D,2,FALSE)</f>
        <v>425089</v>
      </c>
      <c r="N80" s="55">
        <f t="shared" si="8"/>
        <v>0</v>
      </c>
      <c r="O80" s="55">
        <f>VLOOKUP(G80,'[4]Dispositivos exportados de HP W'!$C:$D,2,FALSE)</f>
        <v>425089</v>
      </c>
      <c r="P80" s="55">
        <f t="shared" si="9"/>
        <v>0</v>
      </c>
      <c r="Q80" s="55">
        <f>VLOOKUP(G80,'[6]Dispositivos exportados de HP W'!$C:$D,2,FALSE)</f>
        <v>425089</v>
      </c>
      <c r="R80" s="55">
        <f t="shared" si="10"/>
        <v>0</v>
      </c>
      <c r="S80" s="90">
        <f t="shared" si="11"/>
        <v>0</v>
      </c>
      <c r="T80" s="89">
        <v>46083</v>
      </c>
      <c r="U80" s="14" t="s">
        <v>2217</v>
      </c>
      <c r="V80" s="105" t="s">
        <v>2239</v>
      </c>
      <c r="W80" s="105" t="str">
        <f>VLOOKUP(C80,'Status oficina'!$A$2:$C$208,3,FALSE)</f>
        <v>Cierre temporal</v>
      </c>
    </row>
    <row r="81" spans="1:23" ht="13.5" customHeight="1" x14ac:dyDescent="0.25">
      <c r="A81" s="14" t="s">
        <v>2089</v>
      </c>
      <c r="B81" s="14" t="s">
        <v>639</v>
      </c>
      <c r="C81" s="120">
        <v>9858</v>
      </c>
      <c r="D81" s="14" t="s">
        <v>641</v>
      </c>
      <c r="E81" s="14" t="s">
        <v>416</v>
      </c>
      <c r="F81" s="14" t="s">
        <v>1204</v>
      </c>
      <c r="G81" s="14" t="s">
        <v>299</v>
      </c>
      <c r="H81" s="55">
        <v>236134</v>
      </c>
      <c r="I81" s="55">
        <f>VLOOKUP(G81,'[1]Dispositivos exportados de HP W'!$C:$D,2,FALSE)</f>
        <v>237082</v>
      </c>
      <c r="J81" s="55">
        <f t="shared" si="6"/>
        <v>948</v>
      </c>
      <c r="K81" s="55">
        <f>VLOOKUP(G81,'[2]Dispositivos exportados de HP W'!$C:$D,2,FALSE)</f>
        <v>237716</v>
      </c>
      <c r="L81" s="55">
        <f t="shared" si="7"/>
        <v>634</v>
      </c>
      <c r="M81" s="55">
        <f>VLOOKUP(G81,'[3]Dispositivos exportados de HP W'!$C:$D,2,FALSE)</f>
        <v>238304</v>
      </c>
      <c r="N81" s="55">
        <f t="shared" si="8"/>
        <v>588</v>
      </c>
      <c r="O81" s="55">
        <f>VLOOKUP(G81,'[4]Dispositivos exportados de HP W'!$C:$D,2,FALSE)</f>
        <v>239118</v>
      </c>
      <c r="P81" s="55">
        <f t="shared" si="9"/>
        <v>814</v>
      </c>
      <c r="Q81" s="55">
        <f>VLOOKUP(G81,'[6]Dispositivos exportados de HP W'!$C:$D,2,FALSE)</f>
        <v>239280</v>
      </c>
      <c r="R81" s="55">
        <f t="shared" si="10"/>
        <v>162</v>
      </c>
      <c r="S81" s="90">
        <f t="shared" si="11"/>
        <v>3146</v>
      </c>
      <c r="T81" s="89">
        <v>46083</v>
      </c>
      <c r="U81" s="14"/>
      <c r="V81" s="105" t="s">
        <v>2383</v>
      </c>
      <c r="W81" s="105" t="str">
        <f>VLOOKUP(C81,'Status oficina'!$A$2:$C$208,3,FALSE)</f>
        <v>Activa</v>
      </c>
    </row>
    <row r="82" spans="1:23" ht="13.5" customHeight="1" x14ac:dyDescent="0.25">
      <c r="A82" s="54" t="s">
        <v>2089</v>
      </c>
      <c r="B82" s="14" t="s">
        <v>546</v>
      </c>
      <c r="C82" s="120">
        <v>9312</v>
      </c>
      <c r="D82" s="54" t="s">
        <v>548</v>
      </c>
      <c r="E82" s="54" t="s">
        <v>416</v>
      </c>
      <c r="F82" s="54" t="s">
        <v>1158</v>
      </c>
      <c r="G82" s="54" t="s">
        <v>307</v>
      </c>
      <c r="H82" s="55">
        <v>378274</v>
      </c>
      <c r="I82" s="55">
        <f>VLOOKUP(G82,'[1]Dispositivos exportados de HP W'!$C:$D,2,FALSE)</f>
        <v>378339</v>
      </c>
      <c r="J82" s="55">
        <f t="shared" si="6"/>
        <v>65</v>
      </c>
      <c r="K82" s="55">
        <f>VLOOKUP(G82,'[2]Dispositivos exportados de HP W'!$C:$D,2,FALSE)</f>
        <v>378405</v>
      </c>
      <c r="L82" s="55">
        <f t="shared" si="7"/>
        <v>66</v>
      </c>
      <c r="M82" s="55">
        <f>VLOOKUP(G82,'[3]Dispositivos exportados de HP W'!$C:$D,2,FALSE)</f>
        <v>378506</v>
      </c>
      <c r="N82" s="55">
        <f t="shared" si="8"/>
        <v>101</v>
      </c>
      <c r="O82" s="55">
        <f>VLOOKUP(G82,'[4]Dispositivos exportados de HP W'!$C:$D,2,FALSE)</f>
        <v>378611</v>
      </c>
      <c r="P82" s="55">
        <f t="shared" si="9"/>
        <v>105</v>
      </c>
      <c r="Q82" s="55">
        <f>VLOOKUP(G82,'[6]Dispositivos exportados de HP W'!$C:$D,2,FALSE)</f>
        <v>378687</v>
      </c>
      <c r="R82" s="55">
        <f t="shared" si="10"/>
        <v>76</v>
      </c>
      <c r="S82" s="90">
        <f t="shared" si="11"/>
        <v>413</v>
      </c>
      <c r="T82" s="89">
        <v>46083</v>
      </c>
      <c r="U82" s="14"/>
      <c r="V82" s="105" t="s">
        <v>2383</v>
      </c>
      <c r="W82" s="105" t="str">
        <f>VLOOKUP(C82,'Status oficina'!$A$2:$C$208,3,FALSE)</f>
        <v>Activa</v>
      </c>
    </row>
    <row r="83" spans="1:23" ht="13.5" customHeight="1" x14ac:dyDescent="0.25">
      <c r="A83" s="14" t="s">
        <v>2089</v>
      </c>
      <c r="B83" s="14" t="s">
        <v>563</v>
      </c>
      <c r="C83" s="22">
        <v>9360</v>
      </c>
      <c r="D83" s="14" t="s">
        <v>578</v>
      </c>
      <c r="E83" s="15" t="s">
        <v>416</v>
      </c>
      <c r="F83" s="14" t="s">
        <v>1177</v>
      </c>
      <c r="G83" s="15" t="s">
        <v>364</v>
      </c>
      <c r="H83" s="55">
        <v>169883</v>
      </c>
      <c r="I83" s="55">
        <f>VLOOKUP(G83,'[1]Dispositivos exportados de HP W'!$C:$D,2,FALSE)</f>
        <v>170123</v>
      </c>
      <c r="J83" s="55">
        <f t="shared" si="6"/>
        <v>240</v>
      </c>
      <c r="K83" s="55">
        <f>VLOOKUP(G83,'[2]Dispositivos exportados de HP W'!$C:$D,2,FALSE)</f>
        <v>170389</v>
      </c>
      <c r="L83" s="55">
        <f t="shared" si="7"/>
        <v>266</v>
      </c>
      <c r="M83" s="55">
        <f>VLOOKUP(G83,'[3]Dispositivos exportados de HP W'!$C:$D,2,FALSE)</f>
        <v>170491</v>
      </c>
      <c r="N83" s="55">
        <f t="shared" si="8"/>
        <v>102</v>
      </c>
      <c r="O83" s="55">
        <f>VLOOKUP(G83,'[4]Dispositivos exportados de HP W'!$C:$D,2,FALSE)</f>
        <v>170758</v>
      </c>
      <c r="P83" s="55">
        <f t="shared" si="9"/>
        <v>267</v>
      </c>
      <c r="Q83" s="55">
        <f>VLOOKUP(G83,'[6]Dispositivos exportados de HP W'!$C:$D,2,FALSE)</f>
        <v>170840</v>
      </c>
      <c r="R83" s="55">
        <f t="shared" si="10"/>
        <v>82</v>
      </c>
      <c r="S83" s="90">
        <f t="shared" si="11"/>
        <v>957</v>
      </c>
      <c r="T83" s="89">
        <v>46083</v>
      </c>
      <c r="U83" s="14"/>
      <c r="V83" s="105" t="s">
        <v>2383</v>
      </c>
      <c r="W83" s="105" t="str">
        <f>VLOOKUP(C83,'Status oficina'!$A$2:$C$208,3,FALSE)</f>
        <v>Activa</v>
      </c>
    </row>
    <row r="84" spans="1:23" ht="13.5" customHeight="1" x14ac:dyDescent="0.25">
      <c r="A84" s="14" t="s">
        <v>2089</v>
      </c>
      <c r="B84" s="14" t="s">
        <v>586</v>
      </c>
      <c r="C84" s="19">
        <v>9834</v>
      </c>
      <c r="D84" s="14" t="s">
        <v>588</v>
      </c>
      <c r="E84" s="14" t="s">
        <v>416</v>
      </c>
      <c r="F84" s="14" t="s">
        <v>1181</v>
      </c>
      <c r="G84" s="14" t="s">
        <v>340</v>
      </c>
      <c r="H84" s="55">
        <v>407458</v>
      </c>
      <c r="I84" s="55">
        <f>VLOOKUP(G84,'[1]Dispositivos exportados de HP W'!$C:$D,2,FALSE)</f>
        <v>407469</v>
      </c>
      <c r="J84" s="55">
        <f t="shared" si="6"/>
        <v>11</v>
      </c>
      <c r="K84" s="55">
        <f>VLOOKUP(G84,'[2]Dispositivos exportados de HP W'!$C:$D,2,FALSE)</f>
        <v>407489</v>
      </c>
      <c r="L84" s="55">
        <f t="shared" si="7"/>
        <v>20</v>
      </c>
      <c r="M84" s="55">
        <f>VLOOKUP(G84,'[3]Dispositivos exportados de HP W'!$C:$D,2,FALSE)</f>
        <v>407517</v>
      </c>
      <c r="N84" s="55">
        <f t="shared" si="8"/>
        <v>28</v>
      </c>
      <c r="O84" s="55">
        <f>VLOOKUP(G84,'[4]Dispositivos exportados de HP W'!$C:$D,2,FALSE)</f>
        <v>407564</v>
      </c>
      <c r="P84" s="55">
        <f t="shared" si="9"/>
        <v>47</v>
      </c>
      <c r="Q84" s="55">
        <f>VLOOKUP(G84,'[6]Dispositivos exportados de HP W'!$C:$D,2,FALSE)</f>
        <v>407574</v>
      </c>
      <c r="R84" s="55">
        <f t="shared" si="10"/>
        <v>10</v>
      </c>
      <c r="S84" s="90">
        <f t="shared" si="11"/>
        <v>116</v>
      </c>
      <c r="T84" s="89">
        <v>46083</v>
      </c>
      <c r="U84" s="14" t="s">
        <v>2400</v>
      </c>
      <c r="V84" s="105" t="s">
        <v>2383</v>
      </c>
      <c r="W84" s="105" t="str">
        <f>VLOOKUP(C84,'Status oficina'!$A$2:$C$208,3,FALSE)</f>
        <v>Activa</v>
      </c>
    </row>
    <row r="85" spans="1:23" ht="13.5" customHeight="1" x14ac:dyDescent="0.25">
      <c r="A85" s="14" t="s">
        <v>2089</v>
      </c>
      <c r="B85" s="14" t="s">
        <v>543</v>
      </c>
      <c r="C85" s="120">
        <v>9330</v>
      </c>
      <c r="D85" s="54" t="s">
        <v>545</v>
      </c>
      <c r="E85" s="54" t="s">
        <v>416</v>
      </c>
      <c r="F85" s="54" t="s">
        <v>1155</v>
      </c>
      <c r="G85" s="54" t="s">
        <v>261</v>
      </c>
      <c r="H85" s="55">
        <v>292235</v>
      </c>
      <c r="I85" s="55">
        <f>VLOOKUP(G85,'[1]Dispositivos exportados de HP W'!$C:$D,2,FALSE)</f>
        <v>292235</v>
      </c>
      <c r="J85" s="55">
        <f t="shared" si="6"/>
        <v>0</v>
      </c>
      <c r="K85" s="55">
        <f>VLOOKUP(G85,'[2]Dispositivos exportados de HP W'!$C:$D,2,FALSE)</f>
        <v>292235</v>
      </c>
      <c r="L85" s="55">
        <f t="shared" si="7"/>
        <v>0</v>
      </c>
      <c r="M85" s="55">
        <f>VLOOKUP(G85,'[3]Dispositivos exportados de HP W'!$C:$D,2,FALSE)</f>
        <v>292235</v>
      </c>
      <c r="N85" s="55">
        <f t="shared" si="8"/>
        <v>0</v>
      </c>
      <c r="O85" s="55">
        <f>VLOOKUP(G85,'[4]Dispositivos exportados de HP W'!$C:$D,2,FALSE)</f>
        <v>292235</v>
      </c>
      <c r="P85" s="55">
        <f t="shared" si="9"/>
        <v>0</v>
      </c>
      <c r="Q85" s="55">
        <f>VLOOKUP(G85,'[6]Dispositivos exportados de HP W'!$C:$D,2,FALSE)</f>
        <v>292235</v>
      </c>
      <c r="R85" s="55">
        <f t="shared" si="10"/>
        <v>0</v>
      </c>
      <c r="S85" s="90">
        <f t="shared" si="11"/>
        <v>0</v>
      </c>
      <c r="T85" s="89">
        <v>46083</v>
      </c>
      <c r="U85" s="14" t="s">
        <v>2464</v>
      </c>
      <c r="V85" s="105" t="s">
        <v>2383</v>
      </c>
      <c r="W85" s="105" t="str">
        <f>VLOOKUP(C85,'Status oficina'!$A$2:$C$208,3,FALSE)</f>
        <v>Activa</v>
      </c>
    </row>
    <row r="86" spans="1:23" ht="13.5" customHeight="1" x14ac:dyDescent="0.25">
      <c r="A86" s="14" t="s">
        <v>2089</v>
      </c>
      <c r="B86" s="14" t="s">
        <v>546</v>
      </c>
      <c r="C86" s="120">
        <v>9312</v>
      </c>
      <c r="D86" s="14" t="s">
        <v>549</v>
      </c>
      <c r="E86" s="14" t="s">
        <v>416</v>
      </c>
      <c r="F86" s="14" t="s">
        <v>1159</v>
      </c>
      <c r="G86" s="14" t="s">
        <v>317</v>
      </c>
      <c r="H86" s="55">
        <v>92791</v>
      </c>
      <c r="I86" s="55">
        <f>VLOOKUP(G86,'[1]Dispositivos exportados de HP W'!$C:$D,2,FALSE)</f>
        <v>92791</v>
      </c>
      <c r="J86" s="55">
        <f t="shared" si="6"/>
        <v>0</v>
      </c>
      <c r="K86" s="55">
        <f>VLOOKUP(G86,'[2]Dispositivos exportados de HP W'!$C:$D,2,FALSE)</f>
        <v>92791</v>
      </c>
      <c r="L86" s="55">
        <f t="shared" si="7"/>
        <v>0</v>
      </c>
      <c r="M86" s="55">
        <f>VLOOKUP(G86,'[3]Dispositivos exportados de HP W'!$C:$D,2,FALSE)</f>
        <v>92791</v>
      </c>
      <c r="N86" s="55">
        <f t="shared" si="8"/>
        <v>0</v>
      </c>
      <c r="O86" s="55">
        <f>VLOOKUP(G86,'[4]Dispositivos exportados de HP W'!$C:$D,2,FALSE)</f>
        <v>92791</v>
      </c>
      <c r="P86" s="55">
        <f t="shared" si="9"/>
        <v>0</v>
      </c>
      <c r="Q86" s="55">
        <f>VLOOKUP(G86,'[6]Dispositivos exportados de HP W'!$C:$D,2,FALSE)</f>
        <v>92791</v>
      </c>
      <c r="R86" s="55">
        <f t="shared" si="10"/>
        <v>0</v>
      </c>
      <c r="S86" s="90">
        <f t="shared" si="11"/>
        <v>0</v>
      </c>
      <c r="T86" s="89">
        <v>46083</v>
      </c>
      <c r="U86" s="14" t="s">
        <v>2139</v>
      </c>
      <c r="V86" s="105" t="s">
        <v>2382</v>
      </c>
      <c r="W86" s="105" t="str">
        <f>VLOOKUP(C86,'Status oficina'!$A$2:$C$208,3,FALSE)</f>
        <v>Activa</v>
      </c>
    </row>
    <row r="87" spans="1:23" ht="13.5" customHeight="1" x14ac:dyDescent="0.25">
      <c r="A87" s="14" t="s">
        <v>872</v>
      </c>
      <c r="B87" s="14" t="s">
        <v>918</v>
      </c>
      <c r="C87" s="120">
        <v>9813</v>
      </c>
      <c r="D87" s="14" t="s">
        <v>2117</v>
      </c>
      <c r="E87" s="14" t="s">
        <v>416</v>
      </c>
      <c r="F87" s="14" t="s">
        <v>1352</v>
      </c>
      <c r="G87" s="14"/>
      <c r="H87" s="55">
        <v>129189</v>
      </c>
      <c r="I87" s="55">
        <v>129189</v>
      </c>
      <c r="J87" s="55">
        <f t="shared" si="6"/>
        <v>0</v>
      </c>
      <c r="K87" s="55">
        <v>129189</v>
      </c>
      <c r="L87" s="55">
        <f t="shared" si="7"/>
        <v>0</v>
      </c>
      <c r="M87" s="55">
        <v>129189</v>
      </c>
      <c r="N87" s="55">
        <f t="shared" si="8"/>
        <v>0</v>
      </c>
      <c r="O87" s="55">
        <v>129189</v>
      </c>
      <c r="P87" s="55">
        <f t="shared" si="9"/>
        <v>0</v>
      </c>
      <c r="Q87" s="55">
        <v>129189</v>
      </c>
      <c r="R87" s="55">
        <f t="shared" si="10"/>
        <v>0</v>
      </c>
      <c r="S87" s="90">
        <f t="shared" si="11"/>
        <v>0</v>
      </c>
      <c r="T87" s="89">
        <v>46083</v>
      </c>
      <c r="U87" s="14" t="s">
        <v>2417</v>
      </c>
      <c r="V87" s="105" t="s">
        <v>2382</v>
      </c>
      <c r="W87" s="105" t="str">
        <f>VLOOKUP(C87,'Status oficina'!$A$2:$C$208,3,FALSE)</f>
        <v>Activa</v>
      </c>
    </row>
    <row r="88" spans="1:23" ht="13.5" customHeight="1" x14ac:dyDescent="0.25">
      <c r="A88" s="14" t="s">
        <v>2451</v>
      </c>
      <c r="B88" s="14" t="s">
        <v>815</v>
      </c>
      <c r="C88" s="19">
        <v>9260</v>
      </c>
      <c r="D88" s="14" t="s">
        <v>816</v>
      </c>
      <c r="E88" s="14" t="s">
        <v>416</v>
      </c>
      <c r="F88" s="14" t="s">
        <v>1311</v>
      </c>
      <c r="G88" s="14" t="s">
        <v>314</v>
      </c>
      <c r="H88" s="55">
        <v>57738</v>
      </c>
      <c r="I88" s="55">
        <f>VLOOKUP(G88,'[1]Dispositivos exportados de HP W'!$C:$D,2,FALSE)</f>
        <v>57763</v>
      </c>
      <c r="J88" s="55">
        <f t="shared" si="6"/>
        <v>25</v>
      </c>
      <c r="K88" s="55">
        <f>VLOOKUP(G88,'[2]Dispositivos exportados de HP W'!$C:$D,2,FALSE)</f>
        <v>57804</v>
      </c>
      <c r="L88" s="55">
        <f t="shared" si="7"/>
        <v>41</v>
      </c>
      <c r="M88" s="55">
        <f>VLOOKUP(G88,'[3]Dispositivos exportados de HP W'!$C:$D,2,FALSE)</f>
        <v>57810</v>
      </c>
      <c r="N88" s="55">
        <f t="shared" si="8"/>
        <v>6</v>
      </c>
      <c r="O88" s="55">
        <f>VLOOKUP(G88,'[4]Dispositivos exportados de HP W'!$C:$D,2,FALSE)</f>
        <v>57845</v>
      </c>
      <c r="P88" s="55">
        <f t="shared" si="9"/>
        <v>35</v>
      </c>
      <c r="Q88" s="55">
        <f>VLOOKUP(G88,'[6]Dispositivos exportados de HP W'!$C:$D,2,FALSE)</f>
        <v>57858</v>
      </c>
      <c r="R88" s="55">
        <f t="shared" si="10"/>
        <v>13</v>
      </c>
      <c r="S88" s="90">
        <f t="shared" si="11"/>
        <v>120</v>
      </c>
      <c r="T88" s="89">
        <v>46083</v>
      </c>
      <c r="U88" s="14"/>
      <c r="V88" s="105" t="s">
        <v>2383</v>
      </c>
      <c r="W88" s="105" t="str">
        <f>VLOOKUP(C88,'Status oficina'!$A$2:$C$208,3,FALSE)</f>
        <v>Activa</v>
      </c>
    </row>
    <row r="89" spans="1:23" ht="13.5" customHeight="1" x14ac:dyDescent="0.25">
      <c r="A89" s="14" t="s">
        <v>946</v>
      </c>
      <c r="B89" s="14" t="s">
        <v>967</v>
      </c>
      <c r="C89" s="19">
        <v>9555</v>
      </c>
      <c r="D89" s="14" t="s">
        <v>2473</v>
      </c>
      <c r="E89" s="14" t="s">
        <v>416</v>
      </c>
      <c r="F89" s="14" t="s">
        <v>1398</v>
      </c>
      <c r="G89" s="14" t="s">
        <v>2475</v>
      </c>
      <c r="H89" s="55">
        <v>119621</v>
      </c>
      <c r="I89" s="55">
        <f>VLOOKUP(G89,'[1]Dispositivos exportados de HP W'!$C:$D,2,FALSE)</f>
        <v>119815</v>
      </c>
      <c r="J89" s="55">
        <f t="shared" si="6"/>
        <v>194</v>
      </c>
      <c r="K89" s="55">
        <f>VLOOKUP(G89,'[2]Dispositivos exportados de HP W'!$C:$D,2,FALSE)</f>
        <v>119978</v>
      </c>
      <c r="L89" s="55">
        <f t="shared" si="7"/>
        <v>163</v>
      </c>
      <c r="M89" s="55">
        <f>VLOOKUP(G89,'[3]Dispositivos exportados de HP W'!$C:$D,2,FALSE)</f>
        <v>120072</v>
      </c>
      <c r="N89" s="55">
        <f t="shared" si="8"/>
        <v>94</v>
      </c>
      <c r="O89" s="55">
        <f>VLOOKUP(G89,'[4]Dispositivos exportados de HP W'!$C:$D,2,FALSE)</f>
        <v>120325</v>
      </c>
      <c r="P89" s="55">
        <f t="shared" si="9"/>
        <v>253</v>
      </c>
      <c r="Q89" s="55">
        <f>VLOOKUP(G89,'[6]Dispositivos exportados de HP W'!$C:$D,2,FALSE)</f>
        <v>120359</v>
      </c>
      <c r="R89" s="55">
        <f t="shared" si="10"/>
        <v>34</v>
      </c>
      <c r="S89" s="90">
        <f t="shared" si="11"/>
        <v>738</v>
      </c>
      <c r="T89" s="89">
        <v>46083</v>
      </c>
      <c r="U89" s="14" t="s">
        <v>2474</v>
      </c>
      <c r="V89" s="108" t="s">
        <v>2383</v>
      </c>
      <c r="W89" s="105" t="str">
        <f>VLOOKUP(C89,'Status oficina'!$A$2:$C$208,3,FALSE)</f>
        <v>Activa</v>
      </c>
    </row>
    <row r="90" spans="1:23" ht="13.5" customHeight="1" x14ac:dyDescent="0.25">
      <c r="A90" s="14" t="s">
        <v>2451</v>
      </c>
      <c r="B90" s="14" t="s">
        <v>821</v>
      </c>
      <c r="C90" s="120">
        <v>9291</v>
      </c>
      <c r="D90" s="54" t="s">
        <v>823</v>
      </c>
      <c r="E90" s="14" t="s">
        <v>416</v>
      </c>
      <c r="F90" s="14" t="s">
        <v>824</v>
      </c>
      <c r="G90" s="14" t="s">
        <v>405</v>
      </c>
      <c r="H90" s="55">
        <v>177864</v>
      </c>
      <c r="I90" s="55">
        <f>VLOOKUP(G90,'[1]Dispositivos exportados de HP W'!$C:$D,2,FALSE)</f>
        <v>177997</v>
      </c>
      <c r="J90" s="55">
        <f t="shared" si="6"/>
        <v>133</v>
      </c>
      <c r="K90" s="55">
        <f>VLOOKUP(G90,'[2]Dispositivos exportados de HP W'!$C:$D,2,FALSE)</f>
        <v>178101</v>
      </c>
      <c r="L90" s="55">
        <f t="shared" si="7"/>
        <v>104</v>
      </c>
      <c r="M90" s="55">
        <f>VLOOKUP(G90,'[3]Dispositivos exportados de HP W'!$C:$D,2,FALSE)</f>
        <v>178319</v>
      </c>
      <c r="N90" s="55">
        <f t="shared" si="8"/>
        <v>218</v>
      </c>
      <c r="O90" s="55">
        <f>VLOOKUP(G90,'[4]Dispositivos exportados de HP W'!$C:$D,2,FALSE)</f>
        <v>178445</v>
      </c>
      <c r="P90" s="55">
        <f t="shared" si="9"/>
        <v>126</v>
      </c>
      <c r="Q90" s="55">
        <f>VLOOKUP(G90,'[6]Dispositivos exportados de HP W'!$C:$D,2,FALSE)</f>
        <v>178521</v>
      </c>
      <c r="R90" s="55">
        <f t="shared" si="10"/>
        <v>76</v>
      </c>
      <c r="S90" s="90">
        <f t="shared" si="11"/>
        <v>657</v>
      </c>
      <c r="T90" s="89">
        <v>46083</v>
      </c>
      <c r="U90" s="14"/>
      <c r="V90" s="105" t="s">
        <v>2383</v>
      </c>
      <c r="W90" s="105" t="str">
        <f>VLOOKUP(C90,'Status oficina'!$A$2:$C$208,3,FALSE)</f>
        <v>Activa</v>
      </c>
    </row>
    <row r="91" spans="1:23" ht="13.5" customHeight="1" x14ac:dyDescent="0.25">
      <c r="A91" s="14" t="s">
        <v>2451</v>
      </c>
      <c r="B91" s="14" t="s">
        <v>797</v>
      </c>
      <c r="C91" s="19">
        <v>9294</v>
      </c>
      <c r="D91" s="14" t="s">
        <v>799</v>
      </c>
      <c r="E91" s="14" t="s">
        <v>416</v>
      </c>
      <c r="F91" s="14" t="s">
        <v>1998</v>
      </c>
      <c r="G91" s="14" t="s">
        <v>320</v>
      </c>
      <c r="H91" s="55">
        <v>155384</v>
      </c>
      <c r="I91" s="55">
        <f>VLOOKUP(G91,'[1]Dispositivos exportados de HP W'!$C:$D,2,FALSE)</f>
        <v>155527</v>
      </c>
      <c r="J91" s="55">
        <f t="shared" si="6"/>
        <v>143</v>
      </c>
      <c r="K91" s="55">
        <f>VLOOKUP(G91,'[2]Dispositivos exportados de HP W'!$C:$D,2,FALSE)</f>
        <v>155819</v>
      </c>
      <c r="L91" s="55">
        <f t="shared" si="7"/>
        <v>292</v>
      </c>
      <c r="M91" s="55">
        <f>VLOOKUP(G91,'[3]Dispositivos exportados de HP W'!$C:$D,2,FALSE)</f>
        <v>155924</v>
      </c>
      <c r="N91" s="55">
        <f t="shared" si="8"/>
        <v>105</v>
      </c>
      <c r="O91" s="55">
        <f>VLOOKUP(G91,'[4]Dispositivos exportados de HP W'!$C:$D,2,FALSE)</f>
        <v>156041</v>
      </c>
      <c r="P91" s="55">
        <f t="shared" si="9"/>
        <v>117</v>
      </c>
      <c r="Q91" s="55">
        <f>VLOOKUP(G91,'[6]Dispositivos exportados de HP W'!$C:$D,2,FALSE)</f>
        <v>156084</v>
      </c>
      <c r="R91" s="55">
        <f t="shared" si="10"/>
        <v>43</v>
      </c>
      <c r="S91" s="90">
        <f t="shared" si="11"/>
        <v>700</v>
      </c>
      <c r="T91" s="89">
        <v>46083</v>
      </c>
      <c r="U91" s="14"/>
      <c r="V91" s="105" t="s">
        <v>2383</v>
      </c>
      <c r="W91" s="105" t="str">
        <f>VLOOKUP(C91,'Status oficina'!$A$2:$C$208,3,FALSE)</f>
        <v>Activa</v>
      </c>
    </row>
    <row r="92" spans="1:23" ht="13.5" customHeight="1" x14ac:dyDescent="0.25">
      <c r="A92" s="14" t="s">
        <v>2089</v>
      </c>
      <c r="B92" s="14" t="s">
        <v>534</v>
      </c>
      <c r="C92" s="19">
        <v>9336</v>
      </c>
      <c r="D92" s="54" t="s">
        <v>535</v>
      </c>
      <c r="E92" s="54" t="s">
        <v>416</v>
      </c>
      <c r="F92" s="54" t="s">
        <v>1150</v>
      </c>
      <c r="G92" s="54" t="s">
        <v>179</v>
      </c>
      <c r="H92" s="55">
        <v>192932</v>
      </c>
      <c r="I92" s="55">
        <f>VLOOKUP(G92,'[1]Dispositivos exportados de HP W'!$C:$D,2,FALSE)</f>
        <v>192932</v>
      </c>
      <c r="J92" s="55">
        <f t="shared" si="6"/>
        <v>0</v>
      </c>
      <c r="K92" s="55">
        <f>VLOOKUP(G92,'[2]Dispositivos exportados de HP W'!$C:$D,2,FALSE)</f>
        <v>192932</v>
      </c>
      <c r="L92" s="55">
        <f t="shared" si="7"/>
        <v>0</v>
      </c>
      <c r="M92" s="55">
        <f>VLOOKUP(G92,'[3]Dispositivos exportados de HP W'!$C:$D,2,FALSE)</f>
        <v>192932</v>
      </c>
      <c r="N92" s="55">
        <f t="shared" si="8"/>
        <v>0</v>
      </c>
      <c r="O92" s="55">
        <f>VLOOKUP(G92,'[4]Dispositivos exportados de HP W'!$C:$D,2,FALSE)</f>
        <v>192932</v>
      </c>
      <c r="P92" s="55">
        <f t="shared" si="9"/>
        <v>0</v>
      </c>
      <c r="Q92" s="55">
        <f>VLOOKUP(G92,'[6]Dispositivos exportados de HP W'!$C:$D,2,FALSE)</f>
        <v>192932</v>
      </c>
      <c r="R92" s="55">
        <f t="shared" si="10"/>
        <v>0</v>
      </c>
      <c r="S92" s="90">
        <f t="shared" si="11"/>
        <v>0</v>
      </c>
      <c r="T92" s="89">
        <v>46083</v>
      </c>
      <c r="U92" s="14"/>
      <c r="V92" s="105" t="s">
        <v>2239</v>
      </c>
      <c r="W92" s="105" t="str">
        <f>VLOOKUP(C92,'Status oficina'!$A$2:$C$208,3,FALSE)</f>
        <v>Cierre temporal</v>
      </c>
    </row>
    <row r="93" spans="1:23" ht="13.5" customHeight="1" x14ac:dyDescent="0.25">
      <c r="A93" s="14" t="s">
        <v>2451</v>
      </c>
      <c r="B93" s="14" t="s">
        <v>828</v>
      </c>
      <c r="C93" s="120">
        <v>9290</v>
      </c>
      <c r="D93" s="14" t="s">
        <v>830</v>
      </c>
      <c r="E93" s="14" t="s">
        <v>416</v>
      </c>
      <c r="F93" s="14" t="s">
        <v>1320</v>
      </c>
      <c r="G93" s="14" t="s">
        <v>284</v>
      </c>
      <c r="H93" s="55">
        <v>50511</v>
      </c>
      <c r="I93" s="55">
        <f>VLOOKUP(G93,'[1]Dispositivos exportados de HP W'!$C:$D,2,FALSE)</f>
        <v>50736</v>
      </c>
      <c r="J93" s="55">
        <f t="shared" si="6"/>
        <v>225</v>
      </c>
      <c r="K93" s="55">
        <f>VLOOKUP(G93,'[2]Dispositivos exportados de HP W'!$C:$D,2,FALSE)</f>
        <v>50844</v>
      </c>
      <c r="L93" s="55">
        <f t="shared" si="7"/>
        <v>108</v>
      </c>
      <c r="M93" s="55">
        <f>VLOOKUP(G93,'[3]Dispositivos exportados de HP W'!$C:$D,2,FALSE)</f>
        <v>50917</v>
      </c>
      <c r="N93" s="55">
        <f t="shared" si="8"/>
        <v>73</v>
      </c>
      <c r="O93" s="55">
        <f>VLOOKUP(G93,'[4]Dispositivos exportados de HP W'!$C:$D,2,FALSE)</f>
        <v>51057</v>
      </c>
      <c r="P93" s="55">
        <f t="shared" si="9"/>
        <v>140</v>
      </c>
      <c r="Q93" s="55">
        <f>VLOOKUP(G93,'[6]Dispositivos exportados de HP W'!$C:$D,2,FALSE)</f>
        <v>51184</v>
      </c>
      <c r="R93" s="55">
        <f t="shared" si="10"/>
        <v>127</v>
      </c>
      <c r="S93" s="90">
        <f t="shared" si="11"/>
        <v>673</v>
      </c>
      <c r="T93" s="89">
        <v>46083</v>
      </c>
      <c r="U93" s="14"/>
      <c r="V93" s="105" t="s">
        <v>2383</v>
      </c>
      <c r="W93" s="105" t="str">
        <f>VLOOKUP(C93,'Status oficina'!$A$2:$C$208,3,FALSE)</f>
        <v>Activa</v>
      </c>
    </row>
    <row r="94" spans="1:23" ht="13.5" customHeight="1" x14ac:dyDescent="0.25">
      <c r="A94" s="14" t="s">
        <v>2451</v>
      </c>
      <c r="B94" s="15" t="s">
        <v>791</v>
      </c>
      <c r="C94" s="19">
        <v>9441</v>
      </c>
      <c r="D94" s="14" t="s">
        <v>793</v>
      </c>
      <c r="E94" s="14" t="s">
        <v>416</v>
      </c>
      <c r="F94" s="14" t="s">
        <v>1295</v>
      </c>
      <c r="G94" s="14" t="s">
        <v>310</v>
      </c>
      <c r="H94" s="55">
        <v>170473</v>
      </c>
      <c r="I94" s="55">
        <f>VLOOKUP(G94,'[1]Dispositivos exportados de HP W'!$C:$D,2,FALSE)</f>
        <v>170880</v>
      </c>
      <c r="J94" s="55">
        <f t="shared" si="6"/>
        <v>407</v>
      </c>
      <c r="K94" s="55">
        <f>VLOOKUP(G94,'[2]Dispositivos exportados de HP W'!$C:$D,2,FALSE)</f>
        <v>171188</v>
      </c>
      <c r="L94" s="55">
        <f t="shared" si="7"/>
        <v>308</v>
      </c>
      <c r="M94" s="55">
        <f>VLOOKUP(G94,'[3]Dispositivos exportados de HP W'!$C:$D,2,FALSE)</f>
        <v>171402</v>
      </c>
      <c r="N94" s="55">
        <f t="shared" si="8"/>
        <v>214</v>
      </c>
      <c r="O94" s="55">
        <f>VLOOKUP(G94,'[4]Dispositivos exportados de HP W'!$C:$D,2,FALSE)</f>
        <v>171668</v>
      </c>
      <c r="P94" s="55">
        <f t="shared" si="9"/>
        <v>266</v>
      </c>
      <c r="Q94" s="55">
        <f>VLOOKUP(G94,'[6]Dispositivos exportados de HP W'!$C:$D,2,FALSE)</f>
        <v>171841</v>
      </c>
      <c r="R94" s="55">
        <f t="shared" si="10"/>
        <v>173</v>
      </c>
      <c r="S94" s="90">
        <f t="shared" si="11"/>
        <v>1368</v>
      </c>
      <c r="T94" s="89">
        <v>46083</v>
      </c>
      <c r="U94" s="14"/>
      <c r="V94" s="105" t="s">
        <v>2383</v>
      </c>
      <c r="W94" s="105" t="str">
        <f>VLOOKUP(C94,'Status oficina'!$A$2:$C$208,3,FALSE)</f>
        <v>Activa</v>
      </c>
    </row>
    <row r="95" spans="1:23" ht="13.5" customHeight="1" x14ac:dyDescent="0.25">
      <c r="A95" s="53" t="s">
        <v>2450</v>
      </c>
      <c r="B95" s="14" t="s">
        <v>721</v>
      </c>
      <c r="C95" s="19">
        <v>9250</v>
      </c>
      <c r="D95" s="14" t="s">
        <v>2444</v>
      </c>
      <c r="E95" s="14" t="s">
        <v>416</v>
      </c>
      <c r="F95" s="14" t="s">
        <v>1251</v>
      </c>
      <c r="G95" s="14" t="s">
        <v>328</v>
      </c>
      <c r="H95" s="55">
        <v>206544</v>
      </c>
      <c r="I95" s="55">
        <f>VLOOKUP(G95,'[1]Dispositivos exportados de HP W'!$C:$D,2,FALSE)</f>
        <v>206684</v>
      </c>
      <c r="J95" s="55">
        <f t="shared" si="6"/>
        <v>140</v>
      </c>
      <c r="K95" s="55">
        <f>VLOOKUP(G95,'[2]Dispositivos exportados de HP W'!$C:$D,2,FALSE)</f>
        <v>207021</v>
      </c>
      <c r="L95" s="55">
        <f t="shared" si="7"/>
        <v>337</v>
      </c>
      <c r="M95" s="55">
        <f>VLOOKUP(G95,'[3]Dispositivos exportados de HP W'!$C:$D,2,FALSE)</f>
        <v>207214</v>
      </c>
      <c r="N95" s="55">
        <f t="shared" si="8"/>
        <v>193</v>
      </c>
      <c r="O95" s="55">
        <f>VLOOKUP(G95,'[4]Dispositivos exportados de HP W'!$C:$D,2,FALSE)</f>
        <v>207369</v>
      </c>
      <c r="P95" s="55">
        <f t="shared" si="9"/>
        <v>155</v>
      </c>
      <c r="Q95" s="55">
        <f>VLOOKUP(G95,'[6]Dispositivos exportados de HP W'!$C:$D,2,FALSE)</f>
        <v>207416</v>
      </c>
      <c r="R95" s="55">
        <f t="shared" si="10"/>
        <v>47</v>
      </c>
      <c r="S95" s="90">
        <f t="shared" si="11"/>
        <v>872</v>
      </c>
      <c r="T95" s="89">
        <v>46083</v>
      </c>
      <c r="U95" s="14"/>
      <c r="V95" s="105" t="s">
        <v>2383</v>
      </c>
      <c r="W95" s="105" t="str">
        <f>VLOOKUP(C95,'Status oficina'!$A$2:$C$208,3,FALSE)</f>
        <v>Activa</v>
      </c>
    </row>
    <row r="96" spans="1:23" ht="13.5" customHeight="1" x14ac:dyDescent="0.25">
      <c r="A96" s="14" t="s">
        <v>2089</v>
      </c>
      <c r="B96" s="14" t="s">
        <v>568</v>
      </c>
      <c r="C96" s="22">
        <v>9350</v>
      </c>
      <c r="D96" s="54" t="s">
        <v>570</v>
      </c>
      <c r="E96" s="54" t="s">
        <v>420</v>
      </c>
      <c r="F96" s="54" t="s">
        <v>1172</v>
      </c>
      <c r="G96" s="54" t="s">
        <v>262</v>
      </c>
      <c r="H96" s="55">
        <v>282366</v>
      </c>
      <c r="I96" s="55">
        <f>VLOOKUP(G96,'[1]Dispositivos exportados de HP W'!$C:$D,2,FALSE)</f>
        <v>282366</v>
      </c>
      <c r="J96" s="55">
        <f t="shared" si="6"/>
        <v>0</v>
      </c>
      <c r="K96" s="55">
        <f>VLOOKUP(G96,'[2]Dispositivos exportados de HP W'!$C:$D,2,FALSE)</f>
        <v>282366</v>
      </c>
      <c r="L96" s="55">
        <f t="shared" si="7"/>
        <v>0</v>
      </c>
      <c r="M96" s="55">
        <f>VLOOKUP(G96,'[3]Dispositivos exportados de HP W'!$C:$D,2,FALSE)</f>
        <v>282366</v>
      </c>
      <c r="N96" s="55">
        <f t="shared" si="8"/>
        <v>0</v>
      </c>
      <c r="O96" s="55">
        <f>VLOOKUP(G96,'[4]Dispositivos exportados de HP W'!$C:$D,2,FALSE)</f>
        <v>282366</v>
      </c>
      <c r="P96" s="55">
        <f t="shared" si="9"/>
        <v>0</v>
      </c>
      <c r="Q96" s="55">
        <f>VLOOKUP(G96,'[6]Dispositivos exportados de HP W'!$C:$D,2,FALSE)</f>
        <v>282366</v>
      </c>
      <c r="R96" s="55">
        <f t="shared" si="10"/>
        <v>0</v>
      </c>
      <c r="S96" s="90">
        <f t="shared" si="11"/>
        <v>0</v>
      </c>
      <c r="T96" s="89">
        <v>46083</v>
      </c>
      <c r="U96" s="14"/>
      <c r="V96" s="105" t="s">
        <v>2239</v>
      </c>
      <c r="W96" s="105" t="str">
        <f>VLOOKUP(C96,'Status oficina'!$A$2:$C$208,3,FALSE)</f>
        <v>Cierre temporal</v>
      </c>
    </row>
    <row r="97" spans="1:23" ht="13.5" customHeight="1" x14ac:dyDescent="0.25">
      <c r="A97" s="14" t="s">
        <v>2089</v>
      </c>
      <c r="B97" s="14" t="s">
        <v>568</v>
      </c>
      <c r="C97" s="22">
        <v>9350</v>
      </c>
      <c r="D97" s="54" t="s">
        <v>569</v>
      </c>
      <c r="E97" s="54" t="s">
        <v>416</v>
      </c>
      <c r="F97" s="54" t="s">
        <v>1171</v>
      </c>
      <c r="G97" s="54" t="s">
        <v>300</v>
      </c>
      <c r="H97" s="55">
        <v>94841</v>
      </c>
      <c r="I97" s="55">
        <f>VLOOKUP(G97,'[1]Dispositivos exportados de HP W'!$C:$D,2,FALSE)</f>
        <v>94841</v>
      </c>
      <c r="J97" s="55">
        <f t="shared" si="6"/>
        <v>0</v>
      </c>
      <c r="K97" s="55">
        <f>VLOOKUP(G97,'[2]Dispositivos exportados de HP W'!$C:$D,2,FALSE)</f>
        <v>94841</v>
      </c>
      <c r="L97" s="55">
        <f t="shared" si="7"/>
        <v>0</v>
      </c>
      <c r="M97" s="55">
        <f>VLOOKUP(G97,'[3]Dispositivos exportados de HP W'!$C:$D,2,FALSE)</f>
        <v>94841</v>
      </c>
      <c r="N97" s="55">
        <f t="shared" si="8"/>
        <v>0</v>
      </c>
      <c r="O97" s="55">
        <f>VLOOKUP(G97,'[4]Dispositivos exportados de HP W'!$C:$D,2,FALSE)</f>
        <v>94841</v>
      </c>
      <c r="P97" s="55">
        <f t="shared" si="9"/>
        <v>0</v>
      </c>
      <c r="Q97" s="55">
        <f>VLOOKUP(G97,'[6]Dispositivos exportados de HP W'!$C:$D,2,FALSE)</f>
        <v>94841</v>
      </c>
      <c r="R97" s="55">
        <f t="shared" si="10"/>
        <v>0</v>
      </c>
      <c r="S97" s="90">
        <f t="shared" si="11"/>
        <v>0</v>
      </c>
      <c r="T97" s="89">
        <v>46083</v>
      </c>
      <c r="U97" s="14"/>
      <c r="V97" s="105" t="s">
        <v>2239</v>
      </c>
      <c r="W97" s="105" t="str">
        <f>VLOOKUP(C97,'Status oficina'!$A$2:$C$208,3,FALSE)</f>
        <v>Cierre temporal</v>
      </c>
    </row>
    <row r="98" spans="1:23" ht="13.5" customHeight="1" x14ac:dyDescent="0.25">
      <c r="A98" s="53" t="s">
        <v>2450</v>
      </c>
      <c r="B98" s="53" t="s">
        <v>2384</v>
      </c>
      <c r="C98" s="19">
        <v>9219</v>
      </c>
      <c r="D98" s="14" t="s">
        <v>2387</v>
      </c>
      <c r="E98" s="14" t="s">
        <v>416</v>
      </c>
      <c r="F98" s="14" t="s">
        <v>2076</v>
      </c>
      <c r="G98" s="14" t="s">
        <v>2388</v>
      </c>
      <c r="H98" s="55">
        <v>56875</v>
      </c>
      <c r="I98" s="55">
        <f>VLOOKUP(G98,'[1]Dispositivos exportados de HP W'!$C:$D,2,FALSE)</f>
        <v>56979</v>
      </c>
      <c r="J98" s="55">
        <f t="shared" si="6"/>
        <v>104</v>
      </c>
      <c r="K98" s="55">
        <f>VLOOKUP(G98,'[2]Dispositivos exportados de HP W'!$C:$D,2,FALSE)</f>
        <v>57167</v>
      </c>
      <c r="L98" s="55">
        <f t="shared" si="7"/>
        <v>188</v>
      </c>
      <c r="M98" s="55">
        <f>VLOOKUP(G98,'[3]Dispositivos exportados de HP W'!$C:$D,2,FALSE)</f>
        <v>57258</v>
      </c>
      <c r="N98" s="55">
        <f t="shared" si="8"/>
        <v>91</v>
      </c>
      <c r="O98" s="55">
        <f>VLOOKUP(G98,'[4]Dispositivos exportados de HP W'!$C:$D,2,FALSE)</f>
        <v>57363</v>
      </c>
      <c r="P98" s="55">
        <f t="shared" si="9"/>
        <v>105</v>
      </c>
      <c r="Q98" s="55">
        <f>VLOOKUP(G98,'[6]Dispositivos exportados de HP W'!$C:$D,2,FALSE)</f>
        <v>57393</v>
      </c>
      <c r="R98" s="55">
        <f t="shared" si="10"/>
        <v>30</v>
      </c>
      <c r="S98" s="90">
        <f t="shared" si="11"/>
        <v>518</v>
      </c>
      <c r="T98" s="89">
        <v>46083</v>
      </c>
      <c r="U98" s="14"/>
      <c r="V98" s="108" t="s">
        <v>2383</v>
      </c>
      <c r="W98" s="105" t="str">
        <f>VLOOKUP(C98,'Status oficina'!$A$2:$C$208,3,FALSE)</f>
        <v>Activa</v>
      </c>
    </row>
    <row r="99" spans="1:23" ht="13.5" customHeight="1" x14ac:dyDescent="0.25">
      <c r="A99" s="14" t="s">
        <v>2451</v>
      </c>
      <c r="B99" s="14" t="s">
        <v>801</v>
      </c>
      <c r="C99" s="19">
        <v>9271</v>
      </c>
      <c r="D99" s="14" t="s">
        <v>805</v>
      </c>
      <c r="E99" s="14" t="s">
        <v>416</v>
      </c>
      <c r="F99" s="14" t="s">
        <v>1305</v>
      </c>
      <c r="G99" s="14" t="s">
        <v>335</v>
      </c>
      <c r="H99" s="55">
        <v>296527</v>
      </c>
      <c r="I99" s="55">
        <f>VLOOKUP(G99,'[1]Dispositivos exportados de HP W'!$C:$D,2,FALSE)</f>
        <v>297321</v>
      </c>
      <c r="J99" s="55">
        <f t="shared" si="6"/>
        <v>794</v>
      </c>
      <c r="K99" s="55">
        <f>VLOOKUP(G99,'[2]Dispositivos exportados de HP W'!$C:$D,2,FALSE)</f>
        <v>298357</v>
      </c>
      <c r="L99" s="55">
        <f t="shared" si="7"/>
        <v>1036</v>
      </c>
      <c r="M99" s="55">
        <f>VLOOKUP(G99,'[3]Dispositivos exportados de HP W'!$C:$D,2,FALSE)</f>
        <v>299267</v>
      </c>
      <c r="N99" s="55">
        <f t="shared" si="8"/>
        <v>910</v>
      </c>
      <c r="O99" s="55">
        <f>VLOOKUP(G99,'[4]Dispositivos exportados de HP W'!$C:$D,2,FALSE)</f>
        <v>300315</v>
      </c>
      <c r="P99" s="55">
        <f t="shared" si="9"/>
        <v>1048</v>
      </c>
      <c r="Q99" s="55">
        <f>VLOOKUP(G99,'[6]Dispositivos exportados de HP W'!$C:$D,2,FALSE)</f>
        <v>300705</v>
      </c>
      <c r="R99" s="55">
        <f t="shared" si="10"/>
        <v>390</v>
      </c>
      <c r="S99" s="90">
        <f t="shared" si="11"/>
        <v>4178</v>
      </c>
      <c r="T99" s="89">
        <v>46083</v>
      </c>
      <c r="U99" s="14"/>
      <c r="V99" s="105" t="s">
        <v>2383</v>
      </c>
      <c r="W99" s="105" t="str">
        <f>VLOOKUP(C99,'Status oficina'!$A$2:$C$208,3,FALSE)</f>
        <v>Activa</v>
      </c>
    </row>
    <row r="100" spans="1:23" ht="13.5" customHeight="1" x14ac:dyDescent="0.25">
      <c r="A100" s="14" t="s">
        <v>2089</v>
      </c>
      <c r="B100" s="14" t="s">
        <v>529</v>
      </c>
      <c r="C100" s="19">
        <v>9392</v>
      </c>
      <c r="D100" s="54" t="s">
        <v>531</v>
      </c>
      <c r="E100" s="54" t="s">
        <v>416</v>
      </c>
      <c r="F100" s="54" t="s">
        <v>1148</v>
      </c>
      <c r="G100" s="54" t="s">
        <v>313</v>
      </c>
      <c r="H100" s="55">
        <v>111577</v>
      </c>
      <c r="I100" s="55">
        <f>VLOOKUP(G100,'[1]Dispositivos exportados de HP W'!$C:$D,2,FALSE)</f>
        <v>111577</v>
      </c>
      <c r="J100" s="55">
        <f t="shared" si="6"/>
        <v>0</v>
      </c>
      <c r="K100" s="55">
        <f>VLOOKUP(G100,'[2]Dispositivos exportados de HP W'!$C:$D,2,FALSE)</f>
        <v>111577</v>
      </c>
      <c r="L100" s="55">
        <f t="shared" si="7"/>
        <v>0</v>
      </c>
      <c r="M100" s="55">
        <f>VLOOKUP(G100,'[3]Dispositivos exportados de HP W'!$C:$D,2,FALSE)</f>
        <v>111577</v>
      </c>
      <c r="N100" s="55">
        <f t="shared" si="8"/>
        <v>0</v>
      </c>
      <c r="O100" s="55">
        <f>VLOOKUP(G100,'[4]Dispositivos exportados de HP W'!$C:$D,2,FALSE)</f>
        <v>111577</v>
      </c>
      <c r="P100" s="55">
        <f t="shared" si="9"/>
        <v>0</v>
      </c>
      <c r="Q100" s="55">
        <f>VLOOKUP(G100,'[6]Dispositivos exportados de HP W'!$C:$D,2,FALSE)</f>
        <v>111577</v>
      </c>
      <c r="R100" s="55">
        <f t="shared" si="10"/>
        <v>0</v>
      </c>
      <c r="S100" s="90">
        <f t="shared" si="11"/>
        <v>0</v>
      </c>
      <c r="T100" s="89">
        <v>46083</v>
      </c>
      <c r="U100" s="14" t="s">
        <v>2412</v>
      </c>
      <c r="V100" s="105" t="s">
        <v>2382</v>
      </c>
      <c r="W100" s="105" t="str">
        <f>VLOOKUP(C100,'Status oficina'!$A$2:$C$208,3,FALSE)</f>
        <v>Activa</v>
      </c>
    </row>
    <row r="101" spans="1:23" ht="13.5" customHeight="1" x14ac:dyDescent="0.25">
      <c r="A101" s="14" t="s">
        <v>2089</v>
      </c>
      <c r="B101" s="14" t="s">
        <v>635</v>
      </c>
      <c r="C101" s="120">
        <v>9835</v>
      </c>
      <c r="D101" s="14" t="s">
        <v>2505</v>
      </c>
      <c r="E101" s="14" t="s">
        <v>416</v>
      </c>
      <c r="F101" s="14" t="s">
        <v>1201</v>
      </c>
      <c r="G101" s="14" t="s">
        <v>291</v>
      </c>
      <c r="H101" s="55">
        <v>136002</v>
      </c>
      <c r="I101" s="55">
        <f>VLOOKUP(G101,'[1]Dispositivos exportados de HP W'!$C:$D,2,FALSE)</f>
        <v>136002</v>
      </c>
      <c r="J101" s="55">
        <f t="shared" si="6"/>
        <v>0</v>
      </c>
      <c r="K101" s="55">
        <f>VLOOKUP(G101,'[2]Dispositivos exportados de HP W'!$C:$D,2,FALSE)</f>
        <v>136002</v>
      </c>
      <c r="L101" s="55">
        <f t="shared" si="7"/>
        <v>0</v>
      </c>
      <c r="M101" s="55">
        <f>VLOOKUP(G101,'[3]Dispositivos exportados de HP W'!$C:$D,2,FALSE)</f>
        <v>136005</v>
      </c>
      <c r="N101" s="55">
        <f t="shared" si="8"/>
        <v>3</v>
      </c>
      <c r="O101" s="55">
        <f>VLOOKUP(G101,'[4]Dispositivos exportados de HP W'!$C:$D,2,FALSE)</f>
        <v>136006</v>
      </c>
      <c r="P101" s="55">
        <f t="shared" si="9"/>
        <v>1</v>
      </c>
      <c r="Q101" s="55">
        <f>VLOOKUP(G101,'[6]Dispositivos exportados de HP W'!$C:$D,2,FALSE)</f>
        <v>136006</v>
      </c>
      <c r="R101" s="55">
        <f t="shared" si="10"/>
        <v>0</v>
      </c>
      <c r="S101" s="90">
        <f t="shared" si="11"/>
        <v>4</v>
      </c>
      <c r="T101" s="89">
        <v>46083</v>
      </c>
      <c r="U101" s="14" t="s">
        <v>2487</v>
      </c>
      <c r="V101" s="105" t="s">
        <v>2383</v>
      </c>
      <c r="W101" s="105" t="str">
        <f>VLOOKUP(C101,'Status oficina'!$A$2:$C$208,3,FALSE)</f>
        <v>Activa</v>
      </c>
    </row>
    <row r="102" spans="1:23" ht="13.5" customHeight="1" x14ac:dyDescent="0.25">
      <c r="A102" s="14" t="s">
        <v>2089</v>
      </c>
      <c r="B102" s="14" t="s">
        <v>637</v>
      </c>
      <c r="C102" s="120">
        <v>9444</v>
      </c>
      <c r="D102" s="14" t="s">
        <v>2447</v>
      </c>
      <c r="E102" s="15" t="s">
        <v>416</v>
      </c>
      <c r="F102" s="14" t="s">
        <v>1192</v>
      </c>
      <c r="G102" s="14" t="s">
        <v>383</v>
      </c>
      <c r="H102" s="55">
        <v>83708</v>
      </c>
      <c r="I102" s="55">
        <f>VLOOKUP(G102,'[1]Dispositivos exportados de HP W'!$C:$D,2,FALSE)</f>
        <v>83782</v>
      </c>
      <c r="J102" s="55">
        <f t="shared" si="6"/>
        <v>74</v>
      </c>
      <c r="K102" s="55">
        <f>VLOOKUP(G102,'[2]Dispositivos exportados de HP W'!$C:$D,2,FALSE)</f>
        <v>83890</v>
      </c>
      <c r="L102" s="55">
        <f t="shared" si="7"/>
        <v>108</v>
      </c>
      <c r="M102" s="55">
        <f>VLOOKUP(G102,'[3]Dispositivos exportados de HP W'!$C:$D,2,FALSE)</f>
        <v>84147</v>
      </c>
      <c r="N102" s="55">
        <f t="shared" si="8"/>
        <v>257</v>
      </c>
      <c r="O102" s="55">
        <f>VLOOKUP(G102,'[4]Dispositivos exportados de HP W'!$C:$D,2,FALSE)</f>
        <v>84238</v>
      </c>
      <c r="P102" s="55">
        <f t="shared" si="9"/>
        <v>91</v>
      </c>
      <c r="Q102" s="55">
        <f>VLOOKUP(G102,'[6]Dispositivos exportados de HP W'!$C:$D,2,FALSE)</f>
        <v>84257</v>
      </c>
      <c r="R102" s="55">
        <f t="shared" si="10"/>
        <v>19</v>
      </c>
      <c r="S102" s="90">
        <f t="shared" si="11"/>
        <v>549</v>
      </c>
      <c r="T102" s="89">
        <v>46083</v>
      </c>
      <c r="U102" s="14"/>
      <c r="V102" s="105" t="s">
        <v>2383</v>
      </c>
      <c r="W102" s="105" t="str">
        <f>VLOOKUP(C102,'Status oficina'!$A$2:$C$208,3,FALSE)</f>
        <v>Activa</v>
      </c>
    </row>
    <row r="103" spans="1:23" ht="13.5" customHeight="1" x14ac:dyDescent="0.25">
      <c r="A103" s="16" t="s">
        <v>946</v>
      </c>
      <c r="B103" s="15" t="s">
        <v>976</v>
      </c>
      <c r="C103" s="120">
        <v>9540</v>
      </c>
      <c r="D103" s="54" t="s">
        <v>2470</v>
      </c>
      <c r="E103" s="16" t="s">
        <v>416</v>
      </c>
      <c r="F103" s="54" t="s">
        <v>1416</v>
      </c>
      <c r="G103" s="17" t="s">
        <v>356</v>
      </c>
      <c r="H103" s="55">
        <v>280564</v>
      </c>
      <c r="I103" s="55">
        <f>VLOOKUP(G103,'[1]Dispositivos exportados de HP W'!$C:$D,2,FALSE)</f>
        <v>280920</v>
      </c>
      <c r="J103" s="55">
        <f t="shared" si="6"/>
        <v>356</v>
      </c>
      <c r="K103" s="55">
        <f>VLOOKUP(G103,'[2]Dispositivos exportados de HP W'!$C:$D,2,FALSE)</f>
        <v>281546</v>
      </c>
      <c r="L103" s="55">
        <f t="shared" si="7"/>
        <v>626</v>
      </c>
      <c r="M103" s="55">
        <f>VLOOKUP(G103,'[3]Dispositivos exportados de HP W'!$C:$D,2,FALSE)</f>
        <v>281841</v>
      </c>
      <c r="N103" s="55">
        <f t="shared" si="8"/>
        <v>295</v>
      </c>
      <c r="O103" s="55">
        <f>VLOOKUP(G103,'[4]Dispositivos exportados de HP W'!$C:$D,2,FALSE)</f>
        <v>282653</v>
      </c>
      <c r="P103" s="55">
        <f t="shared" si="9"/>
        <v>812</v>
      </c>
      <c r="Q103" s="55">
        <f>VLOOKUP(G103,'[6]Dispositivos exportados de HP W'!$C:$D,2,FALSE)</f>
        <v>282768</v>
      </c>
      <c r="R103" s="55">
        <f t="shared" si="10"/>
        <v>115</v>
      </c>
      <c r="S103" s="90">
        <f t="shared" si="11"/>
        <v>2204</v>
      </c>
      <c r="T103" s="89">
        <v>46083</v>
      </c>
      <c r="U103" s="14"/>
      <c r="V103" s="105" t="s">
        <v>2383</v>
      </c>
      <c r="W103" s="105" t="str">
        <f>VLOOKUP(C103,'Status oficina'!$A$2:$C$208,3,FALSE)</f>
        <v>Activa</v>
      </c>
    </row>
    <row r="104" spans="1:23" ht="13.5" customHeight="1" x14ac:dyDescent="0.25">
      <c r="A104" s="14" t="s">
        <v>2089</v>
      </c>
      <c r="B104" s="14" t="s">
        <v>562</v>
      </c>
      <c r="C104" s="120">
        <v>9370</v>
      </c>
      <c r="D104" s="54" t="s">
        <v>2501</v>
      </c>
      <c r="E104" s="54" t="s">
        <v>416</v>
      </c>
      <c r="F104" s="54" t="s">
        <v>1167</v>
      </c>
      <c r="G104" s="54" t="s">
        <v>295</v>
      </c>
      <c r="H104" s="55">
        <v>113123</v>
      </c>
      <c r="I104" s="55">
        <f>VLOOKUP(G104,'[1]Dispositivos exportados de HP W'!$C:$D,2,FALSE)</f>
        <v>113280</v>
      </c>
      <c r="J104" s="55">
        <f t="shared" si="6"/>
        <v>157</v>
      </c>
      <c r="K104" s="55">
        <f>VLOOKUP(G104,'[2]Dispositivos exportados de HP W'!$C:$D,2,FALSE)</f>
        <v>113363</v>
      </c>
      <c r="L104" s="55">
        <f t="shared" si="7"/>
        <v>83</v>
      </c>
      <c r="M104" s="55">
        <f>VLOOKUP(G104,'[3]Dispositivos exportados de HP W'!$C:$D,2,FALSE)</f>
        <v>113411</v>
      </c>
      <c r="N104" s="55">
        <f t="shared" si="8"/>
        <v>48</v>
      </c>
      <c r="O104" s="55">
        <f>VLOOKUP(G104,'[4]Dispositivos exportados de HP W'!$C:$D,2,FALSE)</f>
        <v>113508</v>
      </c>
      <c r="P104" s="55">
        <f t="shared" si="9"/>
        <v>97</v>
      </c>
      <c r="Q104" s="55">
        <f>VLOOKUP(G104,'[6]Dispositivos exportados de HP W'!$C:$D,2,FALSE)</f>
        <v>113529</v>
      </c>
      <c r="R104" s="55">
        <f t="shared" si="10"/>
        <v>21</v>
      </c>
      <c r="S104" s="90">
        <f t="shared" si="11"/>
        <v>406</v>
      </c>
      <c r="T104" s="89">
        <v>46083</v>
      </c>
      <c r="U104" s="14" t="s">
        <v>2486</v>
      </c>
      <c r="V104" s="105" t="s">
        <v>2383</v>
      </c>
      <c r="W104" s="105" t="str">
        <f>VLOOKUP(C104,'Status oficina'!$A$2:$C$208,3,FALSE)</f>
        <v>Activa</v>
      </c>
    </row>
    <row r="105" spans="1:23" ht="13.5" customHeight="1" x14ac:dyDescent="0.25">
      <c r="A105" s="53" t="s">
        <v>2450</v>
      </c>
      <c r="B105" s="14" t="s">
        <v>716</v>
      </c>
      <c r="C105" s="19">
        <v>9263</v>
      </c>
      <c r="D105" s="14" t="s">
        <v>717</v>
      </c>
      <c r="E105" s="14" t="s">
        <v>416</v>
      </c>
      <c r="F105" s="14" t="s">
        <v>1247</v>
      </c>
      <c r="G105" s="14" t="s">
        <v>303</v>
      </c>
      <c r="H105" s="55">
        <v>309241</v>
      </c>
      <c r="I105" s="55">
        <f>VLOOKUP(G105,'[1]Dispositivos exportados de HP W'!$C:$D,2,FALSE)</f>
        <v>309687</v>
      </c>
      <c r="J105" s="55">
        <f t="shared" si="6"/>
        <v>446</v>
      </c>
      <c r="K105" s="55">
        <f>VLOOKUP(G105,'[2]Dispositivos exportados de HP W'!$C:$D,2,FALSE)</f>
        <v>310211</v>
      </c>
      <c r="L105" s="55">
        <f t="shared" si="7"/>
        <v>524</v>
      </c>
      <c r="M105" s="55">
        <f>VLOOKUP(G105,'[3]Dispositivos exportados de HP W'!$C:$D,2,FALSE)</f>
        <v>310625</v>
      </c>
      <c r="N105" s="55">
        <f t="shared" si="8"/>
        <v>414</v>
      </c>
      <c r="O105" s="55">
        <f>VLOOKUP(G105,'[4]Dispositivos exportados de HP W'!$C:$D,2,FALSE)</f>
        <v>311228</v>
      </c>
      <c r="P105" s="55">
        <f t="shared" si="9"/>
        <v>603</v>
      </c>
      <c r="Q105" s="55">
        <f>VLOOKUP(G105,'[6]Dispositivos exportados de HP W'!$C:$D,2,FALSE)</f>
        <v>311575</v>
      </c>
      <c r="R105" s="55">
        <f t="shared" si="10"/>
        <v>347</v>
      </c>
      <c r="S105" s="90">
        <f t="shared" si="11"/>
        <v>2334</v>
      </c>
      <c r="T105" s="89">
        <v>46083</v>
      </c>
      <c r="U105" s="14"/>
      <c r="V105" s="105" t="s">
        <v>2383</v>
      </c>
      <c r="W105" s="105" t="str">
        <f>VLOOKUP(C105,'Status oficina'!$A$2:$C$208,3,FALSE)</f>
        <v>Activa</v>
      </c>
    </row>
    <row r="106" spans="1:23" ht="13.5" customHeight="1" x14ac:dyDescent="0.25">
      <c r="A106" s="53" t="s">
        <v>2450</v>
      </c>
      <c r="B106" s="14" t="s">
        <v>711</v>
      </c>
      <c r="C106" s="19">
        <v>9907</v>
      </c>
      <c r="D106" s="14" t="s">
        <v>2445</v>
      </c>
      <c r="E106" s="14" t="s">
        <v>416</v>
      </c>
      <c r="F106" s="14" t="s">
        <v>1246</v>
      </c>
      <c r="G106" s="14" t="s">
        <v>305</v>
      </c>
      <c r="H106" s="55">
        <v>129803</v>
      </c>
      <c r="I106" s="55">
        <f>VLOOKUP(G106,'[1]Dispositivos exportados de HP W'!$C:$D,2,FALSE)</f>
        <v>129885</v>
      </c>
      <c r="J106" s="55">
        <f t="shared" si="6"/>
        <v>82</v>
      </c>
      <c r="K106" s="55">
        <f>VLOOKUP(G106,'[2]Dispositivos exportados de HP W'!$C:$D,2,FALSE)</f>
        <v>130043</v>
      </c>
      <c r="L106" s="55">
        <f t="shared" si="7"/>
        <v>158</v>
      </c>
      <c r="M106" s="55">
        <f>VLOOKUP(G106,'[3]Dispositivos exportados de HP W'!$C:$D,2,FALSE)</f>
        <v>130106</v>
      </c>
      <c r="N106" s="55">
        <f t="shared" si="8"/>
        <v>63</v>
      </c>
      <c r="O106" s="55">
        <f>VLOOKUP(G106,'[4]Dispositivos exportados de HP W'!$C:$D,2,FALSE)</f>
        <v>130283</v>
      </c>
      <c r="P106" s="55">
        <f t="shared" si="9"/>
        <v>177</v>
      </c>
      <c r="Q106" s="55">
        <f>VLOOKUP(G106,'[6]Dispositivos exportados de HP W'!$C:$D,2,FALSE)</f>
        <v>130403</v>
      </c>
      <c r="R106" s="55">
        <f t="shared" si="10"/>
        <v>120</v>
      </c>
      <c r="S106" s="90">
        <f t="shared" si="11"/>
        <v>600</v>
      </c>
      <c r="T106" s="89">
        <v>46083</v>
      </c>
      <c r="U106" s="14"/>
      <c r="V106" s="105" t="s">
        <v>2383</v>
      </c>
      <c r="W106" s="105" t="str">
        <f>VLOOKUP(C106,'Status oficina'!$A$2:$C$208,3,FALSE)</f>
        <v>Activa</v>
      </c>
    </row>
    <row r="107" spans="1:23" ht="13.5" customHeight="1" x14ac:dyDescent="0.25">
      <c r="A107" s="14" t="s">
        <v>872</v>
      </c>
      <c r="B107" s="14" t="s">
        <v>885</v>
      </c>
      <c r="C107" s="19">
        <v>9815</v>
      </c>
      <c r="D107" s="14" t="s">
        <v>886</v>
      </c>
      <c r="E107" s="14" t="s">
        <v>416</v>
      </c>
      <c r="F107" s="14" t="s">
        <v>1353</v>
      </c>
      <c r="G107" s="14" t="s">
        <v>66</v>
      </c>
      <c r="H107" s="55">
        <v>159290</v>
      </c>
      <c r="I107" s="55">
        <f>VLOOKUP(G107,'[1]Dispositivos exportados de HP W'!$C:$D,2,FALSE)</f>
        <v>159399</v>
      </c>
      <c r="J107" s="55">
        <f t="shared" si="6"/>
        <v>109</v>
      </c>
      <c r="K107" s="55">
        <f>VLOOKUP(G107,'[2]Dispositivos exportados de HP W'!$C:$D,2,FALSE)</f>
        <v>159506</v>
      </c>
      <c r="L107" s="55">
        <f t="shared" si="7"/>
        <v>107</v>
      </c>
      <c r="M107" s="55">
        <f>VLOOKUP(G107,'[3]Dispositivos exportados de HP W'!$C:$D,2,FALSE)</f>
        <v>159708</v>
      </c>
      <c r="N107" s="55">
        <f t="shared" si="8"/>
        <v>202</v>
      </c>
      <c r="O107" s="55">
        <f>VLOOKUP(G107,'[4]Dispositivos exportados de HP W'!$C:$D,2,FALSE)</f>
        <v>159770</v>
      </c>
      <c r="P107" s="55">
        <f t="shared" si="9"/>
        <v>62</v>
      </c>
      <c r="Q107" s="55">
        <f>VLOOKUP(G107,'[6]Dispositivos exportados de HP W'!$C:$D,2,FALSE)</f>
        <v>159786</v>
      </c>
      <c r="R107" s="55">
        <f t="shared" si="10"/>
        <v>16</v>
      </c>
      <c r="S107" s="90">
        <f t="shared" si="11"/>
        <v>496</v>
      </c>
      <c r="T107" s="89">
        <v>46083</v>
      </c>
      <c r="U107" s="14"/>
      <c r="V107" s="105" t="s">
        <v>2383</v>
      </c>
      <c r="W107" s="105" t="str">
        <f>VLOOKUP(C107,'Status oficina'!$A$2:$C$208,3,FALSE)</f>
        <v>Activa</v>
      </c>
    </row>
    <row r="108" spans="1:23" ht="13.5" customHeight="1" x14ac:dyDescent="0.25">
      <c r="A108" s="14" t="s">
        <v>2089</v>
      </c>
      <c r="B108" s="14" t="s">
        <v>478</v>
      </c>
      <c r="C108" s="19">
        <v>9425</v>
      </c>
      <c r="D108" s="54" t="s">
        <v>1885</v>
      </c>
      <c r="E108" s="14" t="s">
        <v>416</v>
      </c>
      <c r="F108" s="14" t="s">
        <v>482</v>
      </c>
      <c r="G108" s="14" t="s">
        <v>246</v>
      </c>
      <c r="H108" s="55">
        <v>165926</v>
      </c>
      <c r="I108" s="55">
        <f>VLOOKUP(G108,'[1]Dispositivos exportados de HP W'!$C:$D,2,FALSE)</f>
        <v>166459</v>
      </c>
      <c r="J108" s="55">
        <f t="shared" si="6"/>
        <v>533</v>
      </c>
      <c r="K108" s="55">
        <f>VLOOKUP(G108,'[2]Dispositivos exportados de HP W'!$C:$D,2,FALSE)</f>
        <v>167241</v>
      </c>
      <c r="L108" s="55">
        <f t="shared" si="7"/>
        <v>782</v>
      </c>
      <c r="M108" s="55">
        <f>VLOOKUP(G108,'[3]Dispositivos exportados de HP W'!$C:$D,2,FALSE)</f>
        <v>167712</v>
      </c>
      <c r="N108" s="55">
        <f t="shared" si="8"/>
        <v>471</v>
      </c>
      <c r="O108" s="55">
        <f>VLOOKUP(G108,'[4]Dispositivos exportados de HP W'!$C:$D,2,FALSE)</f>
        <v>168225</v>
      </c>
      <c r="P108" s="55">
        <f t="shared" si="9"/>
        <v>513</v>
      </c>
      <c r="Q108" s="55">
        <f>VLOOKUP(G108,'[6]Dispositivos exportados de HP W'!$C:$D,2,FALSE)</f>
        <v>168608</v>
      </c>
      <c r="R108" s="55">
        <f t="shared" si="10"/>
        <v>383</v>
      </c>
      <c r="S108" s="90">
        <f t="shared" si="11"/>
        <v>2682</v>
      </c>
      <c r="T108" s="89">
        <v>46083</v>
      </c>
      <c r="U108" s="54"/>
      <c r="V108" s="105" t="s">
        <v>2383</v>
      </c>
      <c r="W108" s="105" t="str">
        <f>VLOOKUP(C108,'Status oficina'!$A$2:$C$208,3,FALSE)</f>
        <v>Activa</v>
      </c>
    </row>
    <row r="109" spans="1:23" ht="13.5" customHeight="1" x14ac:dyDescent="0.25">
      <c r="A109" s="14" t="s">
        <v>946</v>
      </c>
      <c r="B109" s="14" t="s">
        <v>950</v>
      </c>
      <c r="C109" s="19">
        <v>9580</v>
      </c>
      <c r="D109" s="14" t="s">
        <v>951</v>
      </c>
      <c r="E109" s="14" t="s">
        <v>416</v>
      </c>
      <c r="F109" s="14" t="s">
        <v>1400</v>
      </c>
      <c r="G109" s="14" t="s">
        <v>68</v>
      </c>
      <c r="H109" s="55">
        <v>300735</v>
      </c>
      <c r="I109" s="55">
        <f>VLOOKUP(G109,'[1]Dispositivos exportados de HP W'!$C:$D,2,FALSE)</f>
        <v>300796</v>
      </c>
      <c r="J109" s="55">
        <f t="shared" si="6"/>
        <v>61</v>
      </c>
      <c r="K109" s="55">
        <f>VLOOKUP(G109,'[2]Dispositivos exportados de HP W'!$C:$D,2,FALSE)</f>
        <v>300874</v>
      </c>
      <c r="L109" s="55">
        <f t="shared" si="7"/>
        <v>78</v>
      </c>
      <c r="M109" s="55">
        <f>VLOOKUP(G109,'[3]Dispositivos exportados de HP W'!$C:$D,2,FALSE)</f>
        <v>300895</v>
      </c>
      <c r="N109" s="55">
        <f t="shared" si="8"/>
        <v>21</v>
      </c>
      <c r="O109" s="55">
        <f>VLOOKUP(G109,'[4]Dispositivos exportados de HP W'!$C:$D,2,FALSE)</f>
        <v>300909</v>
      </c>
      <c r="P109" s="55">
        <f t="shared" si="9"/>
        <v>14</v>
      </c>
      <c r="Q109" s="55">
        <f>VLOOKUP(G109,'[6]Dispositivos exportados de HP W'!$C:$D,2,FALSE)</f>
        <v>300928</v>
      </c>
      <c r="R109" s="55">
        <f t="shared" si="10"/>
        <v>19</v>
      </c>
      <c r="S109" s="90">
        <f t="shared" si="11"/>
        <v>193</v>
      </c>
      <c r="T109" s="89">
        <v>46083</v>
      </c>
      <c r="U109" s="14"/>
      <c r="V109" s="105" t="s">
        <v>2383</v>
      </c>
      <c r="W109" s="105" t="str">
        <f>VLOOKUP(C109,'Status oficina'!$A$2:$C$208,3,FALSE)</f>
        <v>Activa</v>
      </c>
    </row>
    <row r="110" spans="1:23" ht="13.5" customHeight="1" x14ac:dyDescent="0.25">
      <c r="A110" s="14" t="s">
        <v>946</v>
      </c>
      <c r="B110" s="14" t="s">
        <v>956</v>
      </c>
      <c r="C110" s="19">
        <v>9560</v>
      </c>
      <c r="D110" s="14" t="s">
        <v>959</v>
      </c>
      <c r="E110" s="14" t="s">
        <v>416</v>
      </c>
      <c r="F110" s="14" t="s">
        <v>1404</v>
      </c>
      <c r="G110" s="14" t="s">
        <v>88</v>
      </c>
      <c r="H110" s="55">
        <v>226028</v>
      </c>
      <c r="I110" s="55">
        <f>VLOOKUP(G110,'[1]Dispositivos exportados de HP W'!$C:$D,2,FALSE)</f>
        <v>226490</v>
      </c>
      <c r="J110" s="55">
        <f t="shared" si="6"/>
        <v>462</v>
      </c>
      <c r="K110" s="55">
        <f>VLOOKUP(G110,'[2]Dispositivos exportados de HP W'!$C:$D,2,FALSE)</f>
        <v>226789</v>
      </c>
      <c r="L110" s="55">
        <f t="shared" si="7"/>
        <v>299</v>
      </c>
      <c r="M110" s="55">
        <f>VLOOKUP(G110,'[3]Dispositivos exportados de HP W'!$C:$D,2,FALSE)</f>
        <v>226993</v>
      </c>
      <c r="N110" s="55">
        <f t="shared" si="8"/>
        <v>204</v>
      </c>
      <c r="O110" s="55">
        <f>VLOOKUP(G110,'[4]Dispositivos exportados de HP W'!$C:$D,2,FALSE)</f>
        <v>227278</v>
      </c>
      <c r="P110" s="55">
        <f t="shared" si="9"/>
        <v>285</v>
      </c>
      <c r="Q110" s="55">
        <f>VLOOKUP(G110,'[6]Dispositivos exportados de HP W'!$C:$D,2,FALSE)</f>
        <v>227436</v>
      </c>
      <c r="R110" s="55">
        <f t="shared" si="10"/>
        <v>158</v>
      </c>
      <c r="S110" s="90">
        <f t="shared" si="11"/>
        <v>1408</v>
      </c>
      <c r="T110" s="89">
        <v>46083</v>
      </c>
      <c r="U110" s="14"/>
      <c r="V110" s="105" t="s">
        <v>2383</v>
      </c>
      <c r="W110" s="105" t="str">
        <f>VLOOKUP(C110,'Status oficina'!$A$2:$C$208,3,FALSE)</f>
        <v>Activa</v>
      </c>
    </row>
    <row r="111" spans="1:23" ht="13.5" customHeight="1" x14ac:dyDescent="0.25">
      <c r="A111" s="14" t="s">
        <v>2089</v>
      </c>
      <c r="B111" s="14" t="s">
        <v>465</v>
      </c>
      <c r="C111" s="19">
        <v>9471</v>
      </c>
      <c r="D111" s="14" t="s">
        <v>2123</v>
      </c>
      <c r="E111" s="14" t="s">
        <v>416</v>
      </c>
      <c r="F111" s="14" t="s">
        <v>1101</v>
      </c>
      <c r="G111" s="14" t="s">
        <v>258</v>
      </c>
      <c r="H111" s="55">
        <v>126775</v>
      </c>
      <c r="I111" s="55">
        <f>VLOOKUP(G111,'[1]Dispositivos exportados de HP W'!$C:$D,2,FALSE)</f>
        <v>126775</v>
      </c>
      <c r="J111" s="55">
        <f t="shared" si="6"/>
        <v>0</v>
      </c>
      <c r="K111" s="55">
        <f>VLOOKUP(G111,'[2]Dispositivos exportados de HP W'!$C:$D,2,FALSE)</f>
        <v>126775</v>
      </c>
      <c r="L111" s="55">
        <f t="shared" si="7"/>
        <v>0</v>
      </c>
      <c r="M111" s="55">
        <f>VLOOKUP(G111,'[3]Dispositivos exportados de HP W'!$C:$D,2,FALSE)</f>
        <v>126775</v>
      </c>
      <c r="N111" s="55">
        <f t="shared" si="8"/>
        <v>0</v>
      </c>
      <c r="O111" s="55">
        <f>VLOOKUP(G111,'[4]Dispositivos exportados de HP W'!$C:$D,2,FALSE)</f>
        <v>126775</v>
      </c>
      <c r="P111" s="55">
        <f t="shared" si="9"/>
        <v>0</v>
      </c>
      <c r="Q111" s="55">
        <f>VLOOKUP(G111,'[6]Dispositivos exportados de HP W'!$C:$D,2,FALSE)</f>
        <v>126775</v>
      </c>
      <c r="R111" s="55">
        <f t="shared" si="10"/>
        <v>0</v>
      </c>
      <c r="S111" s="90">
        <f t="shared" si="11"/>
        <v>0</v>
      </c>
      <c r="T111" s="89">
        <v>46083</v>
      </c>
      <c r="U111" s="14" t="s">
        <v>2465</v>
      </c>
      <c r="V111" s="108" t="s">
        <v>2383</v>
      </c>
      <c r="W111" s="105" t="str">
        <f>VLOOKUP(C111,'Status oficina'!$A$2:$C$208,3,FALSE)</f>
        <v>Cierre temporal</v>
      </c>
    </row>
    <row r="112" spans="1:23" ht="13.5" customHeight="1" x14ac:dyDescent="0.25">
      <c r="A112" s="14" t="s">
        <v>2451</v>
      </c>
      <c r="B112" s="14" t="s">
        <v>856</v>
      </c>
      <c r="C112" s="120">
        <v>9289</v>
      </c>
      <c r="D112" s="14" t="s">
        <v>858</v>
      </c>
      <c r="E112" s="14" t="s">
        <v>416</v>
      </c>
      <c r="F112" s="14" t="s">
        <v>2014</v>
      </c>
      <c r="G112" s="14" t="s">
        <v>254</v>
      </c>
      <c r="H112" s="55">
        <v>107063</v>
      </c>
      <c r="I112" s="55">
        <f>VLOOKUP(G112,'[1]Dispositivos exportados de HP W'!$C:$D,2,FALSE)</f>
        <v>107112</v>
      </c>
      <c r="J112" s="55">
        <f t="shared" si="6"/>
        <v>49</v>
      </c>
      <c r="K112" s="55">
        <f>VLOOKUP(G112,'[2]Dispositivos exportados de HP W'!$C:$D,2,FALSE)</f>
        <v>107183</v>
      </c>
      <c r="L112" s="55">
        <f t="shared" si="7"/>
        <v>71</v>
      </c>
      <c r="M112" s="55">
        <f>VLOOKUP(G112,'[3]Dispositivos exportados de HP W'!$C:$D,2,FALSE)</f>
        <v>107282</v>
      </c>
      <c r="N112" s="55">
        <f t="shared" si="8"/>
        <v>99</v>
      </c>
      <c r="O112" s="55">
        <f>VLOOKUP(G112,'[4]Dispositivos exportados de HP W'!$C:$D,2,FALSE)</f>
        <v>107346</v>
      </c>
      <c r="P112" s="55">
        <f t="shared" si="9"/>
        <v>64</v>
      </c>
      <c r="Q112" s="55">
        <f>VLOOKUP(G112,'[6]Dispositivos exportados de HP W'!$C:$D,2,FALSE)</f>
        <v>107384</v>
      </c>
      <c r="R112" s="55">
        <f t="shared" si="10"/>
        <v>38</v>
      </c>
      <c r="S112" s="90">
        <f t="shared" si="11"/>
        <v>321</v>
      </c>
      <c r="T112" s="89">
        <v>46083</v>
      </c>
      <c r="U112" s="14"/>
      <c r="V112" s="105" t="s">
        <v>2383</v>
      </c>
      <c r="W112" s="105" t="str">
        <f>VLOOKUP(C112,'Status oficina'!$A$2:$C$208,3,FALSE)</f>
        <v>Activa</v>
      </c>
    </row>
    <row r="113" spans="1:23" ht="13.5" customHeight="1" x14ac:dyDescent="0.25">
      <c r="A113" s="14" t="s">
        <v>2089</v>
      </c>
      <c r="B113" s="14" t="s">
        <v>611</v>
      </c>
      <c r="C113" s="19">
        <v>9408</v>
      </c>
      <c r="D113" s="14" t="s">
        <v>614</v>
      </c>
      <c r="E113" s="15" t="s">
        <v>420</v>
      </c>
      <c r="F113" s="14" t="s">
        <v>1190</v>
      </c>
      <c r="G113" s="15" t="s">
        <v>374</v>
      </c>
      <c r="H113" s="55">
        <v>572116</v>
      </c>
      <c r="I113" s="55">
        <f>VLOOKUP(G113,'[1]Dispositivos exportados de HP W'!$C:$D,2,FALSE)</f>
        <v>572116</v>
      </c>
      <c r="J113" s="55">
        <f t="shared" si="6"/>
        <v>0</v>
      </c>
      <c r="K113" s="55">
        <f>VLOOKUP(G113,'[2]Dispositivos exportados de HP W'!$C:$D,2,FALSE)</f>
        <v>572116</v>
      </c>
      <c r="L113" s="55">
        <f t="shared" si="7"/>
        <v>0</v>
      </c>
      <c r="M113" s="55">
        <f>VLOOKUP(G113,'[3]Dispositivos exportados de HP W'!$C:$D,2,FALSE)</f>
        <v>572116</v>
      </c>
      <c r="N113" s="55">
        <f t="shared" si="8"/>
        <v>0</v>
      </c>
      <c r="O113" s="55">
        <f>VLOOKUP(G113,'[4]Dispositivos exportados de HP W'!$C:$D,2,FALSE)</f>
        <v>572116</v>
      </c>
      <c r="P113" s="55">
        <f t="shared" si="9"/>
        <v>0</v>
      </c>
      <c r="Q113" s="55">
        <f>VLOOKUP(G113,'[6]Dispositivos exportados de HP W'!$C:$D,2,FALSE)</f>
        <v>572116</v>
      </c>
      <c r="R113" s="55">
        <f t="shared" si="10"/>
        <v>0</v>
      </c>
      <c r="S113" s="90">
        <f t="shared" si="11"/>
        <v>0</v>
      </c>
      <c r="T113" s="89">
        <v>46083</v>
      </c>
      <c r="U113" s="14"/>
      <c r="V113" s="105" t="s">
        <v>2239</v>
      </c>
      <c r="W113" s="105" t="str">
        <f>VLOOKUP(C113,'Status oficina'!$A$2:$C$208,3,FALSE)</f>
        <v>Cierre temporal</v>
      </c>
    </row>
    <row r="114" spans="1:23" ht="13.5" customHeight="1" x14ac:dyDescent="0.25">
      <c r="A114" s="14" t="s">
        <v>946</v>
      </c>
      <c r="B114" s="14" t="s">
        <v>1038</v>
      </c>
      <c r="C114" s="120">
        <v>9612</v>
      </c>
      <c r="D114" s="14" t="s">
        <v>1040</v>
      </c>
      <c r="E114" s="14" t="s">
        <v>416</v>
      </c>
      <c r="F114" s="14" t="s">
        <v>1441</v>
      </c>
      <c r="G114" s="14"/>
      <c r="H114" s="55">
        <v>324296</v>
      </c>
      <c r="I114" s="55">
        <v>324296</v>
      </c>
      <c r="J114" s="55">
        <f t="shared" si="6"/>
        <v>0</v>
      </c>
      <c r="K114" s="55">
        <v>324296</v>
      </c>
      <c r="L114" s="55">
        <f t="shared" si="7"/>
        <v>0</v>
      </c>
      <c r="M114" s="55">
        <v>324296</v>
      </c>
      <c r="N114" s="55">
        <f t="shared" si="8"/>
        <v>0</v>
      </c>
      <c r="O114" s="55">
        <v>324296</v>
      </c>
      <c r="P114" s="55">
        <f t="shared" si="9"/>
        <v>0</v>
      </c>
      <c r="Q114" s="55">
        <v>324296</v>
      </c>
      <c r="R114" s="55">
        <f t="shared" si="10"/>
        <v>0</v>
      </c>
      <c r="S114" s="90">
        <f t="shared" si="11"/>
        <v>0</v>
      </c>
      <c r="T114" s="89">
        <v>46083</v>
      </c>
      <c r="U114" s="14" t="s">
        <v>2471</v>
      </c>
      <c r="V114" s="105" t="s">
        <v>2382</v>
      </c>
      <c r="W114" s="105" t="s">
        <v>2236</v>
      </c>
    </row>
    <row r="115" spans="1:23" ht="13.5" customHeight="1" x14ac:dyDescent="0.25">
      <c r="A115" s="53" t="s">
        <v>2450</v>
      </c>
      <c r="B115" s="14" t="s">
        <v>2402</v>
      </c>
      <c r="C115" s="120">
        <v>9217</v>
      </c>
      <c r="D115" s="14" t="s">
        <v>2175</v>
      </c>
      <c r="E115" s="14" t="s">
        <v>416</v>
      </c>
      <c r="F115" s="14" t="s">
        <v>2126</v>
      </c>
      <c r="G115" s="14" t="s">
        <v>1497</v>
      </c>
      <c r="H115" s="55">
        <v>103093</v>
      </c>
      <c r="I115" s="55">
        <f>VLOOKUP(G115,'[1]Dispositivos exportados de HP W'!$C:$D,2,FALSE)</f>
        <v>103185</v>
      </c>
      <c r="J115" s="55">
        <f t="shared" si="6"/>
        <v>92</v>
      </c>
      <c r="K115" s="55">
        <f>VLOOKUP(G115,'[2]Dispositivos exportados de HP W'!$C:$D,2,FALSE)</f>
        <v>103284</v>
      </c>
      <c r="L115" s="55">
        <f t="shared" si="7"/>
        <v>99</v>
      </c>
      <c r="M115" s="55">
        <f>VLOOKUP(G115,'[3]Dispositivos exportados de HP W'!$C:$D,2,FALSE)</f>
        <v>103355</v>
      </c>
      <c r="N115" s="55">
        <f t="shared" si="8"/>
        <v>71</v>
      </c>
      <c r="O115" s="55">
        <f>VLOOKUP(G115,'[4]Dispositivos exportados de HP W'!$C:$D,2,FALSE)</f>
        <v>103432</v>
      </c>
      <c r="P115" s="55">
        <f t="shared" si="9"/>
        <v>77</v>
      </c>
      <c r="Q115" s="55">
        <f>VLOOKUP(G115,'[6]Dispositivos exportados de HP W'!$C:$D,2,FALSE)</f>
        <v>103465</v>
      </c>
      <c r="R115" s="55">
        <f t="shared" si="10"/>
        <v>33</v>
      </c>
      <c r="S115" s="90">
        <f t="shared" si="11"/>
        <v>372</v>
      </c>
      <c r="T115" s="89">
        <v>46083</v>
      </c>
      <c r="U115" s="14"/>
      <c r="V115" s="105" t="s">
        <v>2383</v>
      </c>
      <c r="W115" s="105" t="str">
        <f>VLOOKUP(C115,'Status oficina'!$A$2:$C$208,3,FALSE)</f>
        <v>Activa</v>
      </c>
    </row>
    <row r="116" spans="1:23" ht="13.5" customHeight="1" x14ac:dyDescent="0.25">
      <c r="A116" s="53" t="s">
        <v>2450</v>
      </c>
      <c r="B116" s="14" t="s">
        <v>709</v>
      </c>
      <c r="C116" s="19">
        <v>9261</v>
      </c>
      <c r="D116" s="14" t="s">
        <v>2197</v>
      </c>
      <c r="E116" s="14" t="s">
        <v>416</v>
      </c>
      <c r="F116" s="14" t="s">
        <v>1070</v>
      </c>
      <c r="G116" s="14" t="s">
        <v>304</v>
      </c>
      <c r="H116" s="55">
        <v>102600</v>
      </c>
      <c r="I116" s="55">
        <f>VLOOKUP(G116,'[1]Dispositivos exportados de HP W'!$C:$D,2,FALSE)</f>
        <v>102674</v>
      </c>
      <c r="J116" s="55">
        <f t="shared" si="6"/>
        <v>74</v>
      </c>
      <c r="K116" s="55">
        <f>VLOOKUP(G116,'[2]Dispositivos exportados de HP W'!$C:$D,2,FALSE)</f>
        <v>102861</v>
      </c>
      <c r="L116" s="55">
        <f t="shared" si="7"/>
        <v>187</v>
      </c>
      <c r="M116" s="55">
        <f>VLOOKUP(G116,'[3]Dispositivos exportados de HP W'!$C:$D,2,FALSE)</f>
        <v>102944</v>
      </c>
      <c r="N116" s="55">
        <f t="shared" si="8"/>
        <v>83</v>
      </c>
      <c r="O116" s="55">
        <f>VLOOKUP(G116,'[4]Dispositivos exportados de HP W'!$C:$D,2,FALSE)</f>
        <v>103055</v>
      </c>
      <c r="P116" s="55">
        <f t="shared" si="9"/>
        <v>111</v>
      </c>
      <c r="Q116" s="55">
        <f>VLOOKUP(G116,'[6]Dispositivos exportados de HP W'!$C:$D,2,FALSE)</f>
        <v>103107</v>
      </c>
      <c r="R116" s="55">
        <f t="shared" si="10"/>
        <v>52</v>
      </c>
      <c r="S116" s="90">
        <f t="shared" si="11"/>
        <v>507</v>
      </c>
      <c r="T116" s="89">
        <v>46083</v>
      </c>
      <c r="U116" s="14"/>
      <c r="V116" s="105" t="s">
        <v>2383</v>
      </c>
      <c r="W116" s="105" t="str">
        <f>VLOOKUP(C116,'Status oficina'!$A$2:$C$208,3,FALSE)</f>
        <v>Activa</v>
      </c>
    </row>
    <row r="117" spans="1:23" ht="13.5" customHeight="1" x14ac:dyDescent="0.25">
      <c r="A117" s="15" t="s">
        <v>946</v>
      </c>
      <c r="B117" s="15" t="s">
        <v>956</v>
      </c>
      <c r="C117" s="19">
        <v>9560</v>
      </c>
      <c r="D117" s="14" t="s">
        <v>960</v>
      </c>
      <c r="E117" s="15" t="s">
        <v>416</v>
      </c>
      <c r="F117" s="14" t="s">
        <v>1432</v>
      </c>
      <c r="G117" s="1"/>
      <c r="H117" s="55">
        <v>227885</v>
      </c>
      <c r="I117" s="55">
        <v>227885</v>
      </c>
      <c r="J117" s="55">
        <f t="shared" si="6"/>
        <v>0</v>
      </c>
      <c r="K117" s="55">
        <v>227885</v>
      </c>
      <c r="L117" s="55">
        <f t="shared" si="7"/>
        <v>0</v>
      </c>
      <c r="M117" s="55">
        <v>227885</v>
      </c>
      <c r="N117" s="55">
        <f t="shared" si="8"/>
        <v>0</v>
      </c>
      <c r="O117" s="55">
        <v>227885</v>
      </c>
      <c r="P117" s="55">
        <f t="shared" si="9"/>
        <v>0</v>
      </c>
      <c r="Q117" s="55">
        <v>227885</v>
      </c>
      <c r="R117" s="55">
        <f t="shared" si="10"/>
        <v>0</v>
      </c>
      <c r="S117" s="90">
        <f t="shared" si="11"/>
        <v>0</v>
      </c>
      <c r="T117" s="89">
        <v>46083</v>
      </c>
      <c r="U117" s="118" t="s">
        <v>2429</v>
      </c>
      <c r="V117" s="105" t="s">
        <v>2382</v>
      </c>
      <c r="W117" s="105" t="str">
        <f>VLOOKUP(C117,'Status oficina'!$A$2:$C$208,3,FALSE)</f>
        <v>Activa</v>
      </c>
    </row>
    <row r="118" spans="1:23" ht="13.5" customHeight="1" x14ac:dyDescent="0.25">
      <c r="A118" s="14" t="s">
        <v>2451</v>
      </c>
      <c r="B118" s="14" t="s">
        <v>788</v>
      </c>
      <c r="C118" s="19">
        <v>9911</v>
      </c>
      <c r="D118" s="14" t="s">
        <v>790</v>
      </c>
      <c r="E118" s="14" t="s">
        <v>416</v>
      </c>
      <c r="F118" s="14" t="s">
        <v>1293</v>
      </c>
      <c r="G118" s="14" t="s">
        <v>323</v>
      </c>
      <c r="H118" s="55">
        <v>287736</v>
      </c>
      <c r="I118" s="55">
        <f>VLOOKUP(G118,'[1]Dispositivos exportados de HP W'!$C:$D,2,FALSE)</f>
        <v>287736</v>
      </c>
      <c r="J118" s="55">
        <f t="shared" si="6"/>
        <v>0</v>
      </c>
      <c r="K118" s="55">
        <f>VLOOKUP(G118,'[2]Dispositivos exportados de HP W'!$C:$D,2,FALSE)</f>
        <v>287736</v>
      </c>
      <c r="L118" s="55">
        <f t="shared" si="7"/>
        <v>0</v>
      </c>
      <c r="M118" s="55">
        <f>VLOOKUP(G118,'[3]Dispositivos exportados de HP W'!$C:$D,2,FALSE)</f>
        <v>287736</v>
      </c>
      <c r="N118" s="55">
        <f t="shared" si="8"/>
        <v>0</v>
      </c>
      <c r="O118" s="55">
        <f>VLOOKUP(G118,'[4]Dispositivos exportados de HP W'!$C:$D,2,FALSE)</f>
        <v>287736</v>
      </c>
      <c r="P118" s="55">
        <f t="shared" si="9"/>
        <v>0</v>
      </c>
      <c r="Q118" s="55">
        <f>VLOOKUP(G118,'[6]Dispositivos exportados de HP W'!$C:$D,2,FALSE)</f>
        <v>287736</v>
      </c>
      <c r="R118" s="55">
        <f t="shared" si="10"/>
        <v>0</v>
      </c>
      <c r="S118" s="90">
        <f t="shared" si="11"/>
        <v>0</v>
      </c>
      <c r="T118" s="89">
        <v>46083</v>
      </c>
      <c r="U118" s="14" t="s">
        <v>2403</v>
      </c>
      <c r="V118" s="105" t="s">
        <v>2382</v>
      </c>
      <c r="W118" s="105" t="str">
        <f>VLOOKUP(C118,'Status oficina'!$A$2:$C$208,3,FALSE)</f>
        <v>Activa</v>
      </c>
    </row>
    <row r="119" spans="1:23" ht="13.5" customHeight="1" x14ac:dyDescent="0.25">
      <c r="A119" s="14" t="s">
        <v>2089</v>
      </c>
      <c r="B119" s="14" t="s">
        <v>504</v>
      </c>
      <c r="C119" s="120">
        <v>9461</v>
      </c>
      <c r="D119" s="14" t="s">
        <v>506</v>
      </c>
      <c r="E119" s="14" t="s">
        <v>416</v>
      </c>
      <c r="F119" s="14" t="s">
        <v>1130</v>
      </c>
      <c r="G119" s="14" t="s">
        <v>260</v>
      </c>
      <c r="H119" s="55">
        <v>66007</v>
      </c>
      <c r="I119" s="55">
        <f>VLOOKUP(G119,'[1]Dispositivos exportados de HP W'!$C:$D,2,FALSE)</f>
        <v>66246</v>
      </c>
      <c r="J119" s="55">
        <f t="shared" si="6"/>
        <v>239</v>
      </c>
      <c r="K119" s="55">
        <f>VLOOKUP(G119,'[2]Dispositivos exportados de HP W'!$C:$D,2,FALSE)</f>
        <v>66446</v>
      </c>
      <c r="L119" s="55">
        <f t="shared" si="7"/>
        <v>200</v>
      </c>
      <c r="M119" s="55">
        <f>VLOOKUP(G119,'[3]Dispositivos exportados de HP W'!$C:$D,2,FALSE)</f>
        <v>66608</v>
      </c>
      <c r="N119" s="55">
        <f t="shared" si="8"/>
        <v>162</v>
      </c>
      <c r="O119" s="55">
        <f>VLOOKUP(G119,'[4]Dispositivos exportados de HP W'!$C:$D,2,FALSE)</f>
        <v>66782</v>
      </c>
      <c r="P119" s="55">
        <f t="shared" si="9"/>
        <v>174</v>
      </c>
      <c r="Q119" s="55">
        <f>VLOOKUP(G119,'[6]Dispositivos exportados de HP W'!$C:$D,2,FALSE)</f>
        <v>66914</v>
      </c>
      <c r="R119" s="55">
        <f t="shared" si="10"/>
        <v>132</v>
      </c>
      <c r="S119" s="90">
        <f t="shared" si="11"/>
        <v>907</v>
      </c>
      <c r="T119" s="89">
        <v>46083</v>
      </c>
      <c r="U119" s="14"/>
      <c r="V119" s="105" t="s">
        <v>2383</v>
      </c>
      <c r="W119" s="105" t="str">
        <f>VLOOKUP(C119,'Status oficina'!$A$2:$C$208,3,FALSE)</f>
        <v>Activa</v>
      </c>
    </row>
    <row r="120" spans="1:23" ht="13.5" customHeight="1" x14ac:dyDescent="0.25">
      <c r="A120" s="14" t="s">
        <v>946</v>
      </c>
      <c r="B120" s="14" t="s">
        <v>1029</v>
      </c>
      <c r="C120" s="120">
        <v>9615</v>
      </c>
      <c r="D120" s="14" t="s">
        <v>2127</v>
      </c>
      <c r="E120" s="14" t="s">
        <v>416</v>
      </c>
      <c r="F120" s="14" t="s">
        <v>1450</v>
      </c>
      <c r="G120" s="14" t="s">
        <v>272</v>
      </c>
      <c r="H120" s="55">
        <v>138931</v>
      </c>
      <c r="I120" s="55">
        <f>VLOOKUP(G120,'[1]Dispositivos exportados de HP W'!$C:$D,2,FALSE)</f>
        <v>138981</v>
      </c>
      <c r="J120" s="55">
        <f t="shared" si="6"/>
        <v>50</v>
      </c>
      <c r="K120" s="55">
        <f>VLOOKUP(G120,'[2]Dispositivos exportados de HP W'!$C:$D,2,FALSE)</f>
        <v>139065</v>
      </c>
      <c r="L120" s="55">
        <f t="shared" si="7"/>
        <v>84</v>
      </c>
      <c r="M120" s="55">
        <f>VLOOKUP(G120,'[3]Dispositivos exportados de HP W'!$C:$D,2,FALSE)</f>
        <v>139174</v>
      </c>
      <c r="N120" s="55">
        <f t="shared" si="8"/>
        <v>109</v>
      </c>
      <c r="O120" s="55">
        <f>VLOOKUP(G120,'[4]Dispositivos exportados de HP W'!$C:$D,2,FALSE)</f>
        <v>139245</v>
      </c>
      <c r="P120" s="55">
        <f t="shared" si="9"/>
        <v>71</v>
      </c>
      <c r="Q120" s="55">
        <f>VLOOKUP(G120,'[6]Dispositivos exportados de HP W'!$C:$D,2,FALSE)</f>
        <v>139300</v>
      </c>
      <c r="R120" s="55">
        <f t="shared" si="10"/>
        <v>55</v>
      </c>
      <c r="S120" s="90">
        <f t="shared" si="11"/>
        <v>369</v>
      </c>
      <c r="T120" s="89">
        <v>46083</v>
      </c>
      <c r="U120" s="14"/>
      <c r="V120" s="105" t="s">
        <v>2383</v>
      </c>
      <c r="W120" s="105" t="str">
        <f>VLOOKUP(C120,'Status oficina'!$A$2:$C$208,3,FALSE)</f>
        <v>Activa</v>
      </c>
    </row>
    <row r="121" spans="1:23" ht="13.5" customHeight="1" x14ac:dyDescent="0.25">
      <c r="A121" s="14" t="s">
        <v>946</v>
      </c>
      <c r="B121" s="14" t="s">
        <v>987</v>
      </c>
      <c r="C121" s="120">
        <v>9655</v>
      </c>
      <c r="D121" s="14" t="s">
        <v>990</v>
      </c>
      <c r="E121" s="14" t="s">
        <v>416</v>
      </c>
      <c r="F121" s="14" t="s">
        <v>1427</v>
      </c>
      <c r="G121" s="14" t="s">
        <v>2455</v>
      </c>
      <c r="H121" s="55">
        <v>249312</v>
      </c>
      <c r="I121" s="55">
        <f>VLOOKUP(G121,'[1]Dispositivos exportados de HP W'!$C:$D,2,FALSE)</f>
        <v>249618</v>
      </c>
      <c r="J121" s="55">
        <f t="shared" si="6"/>
        <v>306</v>
      </c>
      <c r="K121" s="55">
        <f>VLOOKUP(G121,'[2]Dispositivos exportados de HP W'!$C:$D,2,FALSE)</f>
        <v>249941</v>
      </c>
      <c r="L121" s="55">
        <f t="shared" si="7"/>
        <v>323</v>
      </c>
      <c r="M121" s="55">
        <f>VLOOKUP(G121,'[3]Dispositivos exportados de HP W'!$C:$D,2,FALSE)</f>
        <v>250146</v>
      </c>
      <c r="N121" s="55">
        <f t="shared" si="8"/>
        <v>205</v>
      </c>
      <c r="O121" s="55">
        <f>VLOOKUP(G121,'[4]Dispositivos exportados de HP W'!$C:$D,2,FALSE)</f>
        <v>250413</v>
      </c>
      <c r="P121" s="55">
        <f t="shared" si="9"/>
        <v>267</v>
      </c>
      <c r="Q121" s="55">
        <f>VLOOKUP(G121,'[6]Dispositivos exportados de HP W'!$C:$D,2,FALSE)</f>
        <v>250625</v>
      </c>
      <c r="R121" s="55">
        <f t="shared" si="10"/>
        <v>212</v>
      </c>
      <c r="S121" s="90">
        <f t="shared" si="11"/>
        <v>1313</v>
      </c>
      <c r="T121" s="89">
        <v>46083</v>
      </c>
      <c r="U121" s="14" t="s">
        <v>2456</v>
      </c>
      <c r="V121" s="108" t="s">
        <v>2383</v>
      </c>
      <c r="W121" s="105" t="str">
        <f>VLOOKUP(C121,'Status oficina'!$A$2:$C$208,3,FALSE)</f>
        <v>Activa</v>
      </c>
    </row>
    <row r="122" spans="1:23" ht="13.5" customHeight="1" x14ac:dyDescent="0.25">
      <c r="A122" s="14" t="s">
        <v>2089</v>
      </c>
      <c r="B122" s="14" t="s">
        <v>478</v>
      </c>
      <c r="C122" s="19">
        <v>9425</v>
      </c>
      <c r="D122" s="14" t="s">
        <v>481</v>
      </c>
      <c r="E122" s="14" t="s">
        <v>416</v>
      </c>
      <c r="F122" s="14" t="s">
        <v>1112</v>
      </c>
      <c r="G122" s="14"/>
      <c r="H122" s="55">
        <v>373057</v>
      </c>
      <c r="I122" s="55">
        <v>373057</v>
      </c>
      <c r="J122" s="55">
        <f t="shared" si="6"/>
        <v>0</v>
      </c>
      <c r="K122" s="55">
        <v>373057</v>
      </c>
      <c r="L122" s="55">
        <f t="shared" si="7"/>
        <v>0</v>
      </c>
      <c r="M122" s="55">
        <v>373057</v>
      </c>
      <c r="N122" s="55">
        <f t="shared" si="8"/>
        <v>0</v>
      </c>
      <c r="O122" s="55">
        <v>373057</v>
      </c>
      <c r="P122" s="55">
        <f t="shared" si="9"/>
        <v>0</v>
      </c>
      <c r="Q122" s="55">
        <v>373057</v>
      </c>
      <c r="R122" s="55">
        <f t="shared" si="10"/>
        <v>0</v>
      </c>
      <c r="S122" s="90">
        <f t="shared" si="11"/>
        <v>0</v>
      </c>
      <c r="T122" s="89">
        <v>46083</v>
      </c>
      <c r="U122" s="14" t="s">
        <v>2134</v>
      </c>
      <c r="V122" s="105" t="s">
        <v>2382</v>
      </c>
      <c r="W122" s="105" t="str">
        <f>VLOOKUP(C122,'Status oficina'!$A$2:$C$208,3,FALSE)</f>
        <v>Activa</v>
      </c>
    </row>
    <row r="123" spans="1:23" ht="13.5" customHeight="1" x14ac:dyDescent="0.25">
      <c r="A123" s="14" t="s">
        <v>946</v>
      </c>
      <c r="B123" s="14" t="s">
        <v>1053</v>
      </c>
      <c r="C123" s="120">
        <v>9675</v>
      </c>
      <c r="D123" s="14" t="s">
        <v>1054</v>
      </c>
      <c r="E123" s="14" t="s">
        <v>416</v>
      </c>
      <c r="F123" s="14" t="s">
        <v>1466</v>
      </c>
      <c r="G123" s="14" t="s">
        <v>108</v>
      </c>
      <c r="H123" s="55">
        <v>124109</v>
      </c>
      <c r="I123" s="55">
        <f>VLOOKUP(G123,'[1]Dispositivos exportados de HP W'!$C:$D,2,FALSE)</f>
        <v>124109</v>
      </c>
      <c r="J123" s="55">
        <f t="shared" si="6"/>
        <v>0</v>
      </c>
      <c r="K123" s="55">
        <f>VLOOKUP(G123,'[2]Dispositivos exportados de HP W'!$C:$D,2,FALSE)</f>
        <v>124109</v>
      </c>
      <c r="L123" s="55">
        <f t="shared" si="7"/>
        <v>0</v>
      </c>
      <c r="M123" s="55">
        <f>VLOOKUP(G123,'[3]Dispositivos exportados de HP W'!$C:$D,2,FALSE)</f>
        <v>124109</v>
      </c>
      <c r="N123" s="55">
        <f t="shared" si="8"/>
        <v>0</v>
      </c>
      <c r="O123" s="55">
        <f>VLOOKUP(G123,'[4]Dispositivos exportados de HP W'!$C:$D,2,FALSE)</f>
        <v>124109</v>
      </c>
      <c r="P123" s="55">
        <f t="shared" si="9"/>
        <v>0</v>
      </c>
      <c r="Q123" s="55">
        <f>VLOOKUP(G123,'[6]Dispositivos exportados de HP W'!$C:$D,2,FALSE)</f>
        <v>124109</v>
      </c>
      <c r="R123" s="55">
        <f t="shared" si="10"/>
        <v>0</v>
      </c>
      <c r="S123" s="90">
        <f t="shared" si="11"/>
        <v>0</v>
      </c>
      <c r="T123" s="89">
        <v>46083</v>
      </c>
      <c r="U123" s="14" t="s">
        <v>2405</v>
      </c>
      <c r="V123" s="108" t="s">
        <v>2382</v>
      </c>
      <c r="W123" s="105" t="str">
        <f>VLOOKUP(C123,'Status oficina'!$A$2:$C$208,3,FALSE)</f>
        <v>Activa</v>
      </c>
    </row>
    <row r="124" spans="1:23" ht="13.5" customHeight="1" x14ac:dyDescent="0.25">
      <c r="A124" s="14" t="s">
        <v>2451</v>
      </c>
      <c r="B124" s="14" t="s">
        <v>779</v>
      </c>
      <c r="C124" s="19">
        <v>9908</v>
      </c>
      <c r="D124" s="14" t="s">
        <v>780</v>
      </c>
      <c r="E124" s="14" t="s">
        <v>416</v>
      </c>
      <c r="F124" s="14" t="s">
        <v>1981</v>
      </c>
      <c r="G124" s="14" t="s">
        <v>321</v>
      </c>
      <c r="H124" s="55">
        <v>38367</v>
      </c>
      <c r="I124" s="55">
        <f>VLOOKUP(G124,'[1]Dispositivos exportados de HP W'!$C:$D,2,FALSE)</f>
        <v>38367</v>
      </c>
      <c r="J124" s="55">
        <f t="shared" si="6"/>
        <v>0</v>
      </c>
      <c r="K124" s="55">
        <f>VLOOKUP(G124,'[2]Dispositivos exportados de HP W'!$C:$D,2,FALSE)</f>
        <v>38367</v>
      </c>
      <c r="L124" s="55">
        <f t="shared" si="7"/>
        <v>0</v>
      </c>
      <c r="M124" s="55">
        <f>VLOOKUP(G124,'[3]Dispositivos exportados de HP W'!$C:$D,2,FALSE)</f>
        <v>38367</v>
      </c>
      <c r="N124" s="55">
        <f t="shared" si="8"/>
        <v>0</v>
      </c>
      <c r="O124" s="55">
        <f>VLOOKUP(G124,'[4]Dispositivos exportados de HP W'!$C:$D,2,FALSE)</f>
        <v>38367</v>
      </c>
      <c r="P124" s="55">
        <f t="shared" si="9"/>
        <v>0</v>
      </c>
      <c r="Q124" s="55">
        <f>VLOOKUP(G124,'[6]Dispositivos exportados de HP W'!$C:$D,2,FALSE)</f>
        <v>38367</v>
      </c>
      <c r="R124" s="55">
        <f t="shared" si="10"/>
        <v>0</v>
      </c>
      <c r="S124" s="90">
        <f t="shared" si="11"/>
        <v>0</v>
      </c>
      <c r="T124" s="89">
        <v>46083</v>
      </c>
      <c r="U124" s="13"/>
      <c r="V124" s="105" t="s">
        <v>2239</v>
      </c>
      <c r="W124" s="105" t="s">
        <v>2239</v>
      </c>
    </row>
    <row r="125" spans="1:23" ht="13.5" customHeight="1" x14ac:dyDescent="0.25">
      <c r="A125" s="14" t="s">
        <v>2451</v>
      </c>
      <c r="B125" s="14" t="s">
        <v>2390</v>
      </c>
      <c r="C125" s="19">
        <v>9229</v>
      </c>
      <c r="D125" s="14" t="s">
        <v>845</v>
      </c>
      <c r="E125" s="14" t="s">
        <v>416</v>
      </c>
      <c r="F125" s="14" t="s">
        <v>1458</v>
      </c>
      <c r="G125" s="14" t="s">
        <v>1543</v>
      </c>
      <c r="H125" s="55">
        <v>217272</v>
      </c>
      <c r="I125" s="55">
        <f>VLOOKUP(G125,'[1]Dispositivos exportados de HP W'!$C:$D,2,FALSE)</f>
        <v>217799</v>
      </c>
      <c r="J125" s="55">
        <f t="shared" si="6"/>
        <v>527</v>
      </c>
      <c r="K125" s="55">
        <f>VLOOKUP(G125,'[2]Dispositivos exportados de HP W'!$C:$D,2,FALSE)</f>
        <v>218383</v>
      </c>
      <c r="L125" s="55">
        <f t="shared" si="7"/>
        <v>584</v>
      </c>
      <c r="M125" s="55">
        <f>VLOOKUP(G125,'[3]Dispositivos exportados de HP W'!$C:$D,2,FALSE)</f>
        <v>218691</v>
      </c>
      <c r="N125" s="55">
        <f t="shared" si="8"/>
        <v>308</v>
      </c>
      <c r="O125" s="55">
        <f>VLOOKUP(G125,'[4]Dispositivos exportados de HP W'!$C:$D,2,FALSE)</f>
        <v>219421</v>
      </c>
      <c r="P125" s="55">
        <f t="shared" si="9"/>
        <v>730</v>
      </c>
      <c r="Q125" s="55">
        <f>VLOOKUP(G125,'[6]Dispositivos exportados de HP W'!$C:$D,2,FALSE)</f>
        <v>219824</v>
      </c>
      <c r="R125" s="55">
        <f t="shared" si="10"/>
        <v>403</v>
      </c>
      <c r="S125" s="90">
        <f t="shared" si="11"/>
        <v>2552</v>
      </c>
      <c r="T125" s="89">
        <v>46083</v>
      </c>
      <c r="U125" s="14"/>
      <c r="V125" s="105" t="s">
        <v>2383</v>
      </c>
      <c r="W125" s="105" t="s">
        <v>2236</v>
      </c>
    </row>
    <row r="126" spans="1:23" ht="13.5" customHeight="1" x14ac:dyDescent="0.25">
      <c r="A126" s="14" t="s">
        <v>946</v>
      </c>
      <c r="B126" s="14" t="s">
        <v>1027</v>
      </c>
      <c r="C126" s="22">
        <v>9530</v>
      </c>
      <c r="D126" s="14" t="s">
        <v>2104</v>
      </c>
      <c r="E126" s="15" t="s">
        <v>416</v>
      </c>
      <c r="F126" s="14" t="s">
        <v>1444</v>
      </c>
      <c r="G126" s="1" t="s">
        <v>352</v>
      </c>
      <c r="H126" s="55">
        <v>79587</v>
      </c>
      <c r="I126" s="55">
        <f>VLOOKUP(G126,'[1]Dispositivos exportados de HP W'!$C:$D,2,FALSE)</f>
        <v>80063</v>
      </c>
      <c r="J126" s="55">
        <f t="shared" si="6"/>
        <v>476</v>
      </c>
      <c r="K126" s="55">
        <f>VLOOKUP(G126,'[2]Dispositivos exportados de HP W'!$C:$D,2,FALSE)</f>
        <v>80410</v>
      </c>
      <c r="L126" s="55">
        <f t="shared" si="7"/>
        <v>347</v>
      </c>
      <c r="M126" s="55">
        <f>VLOOKUP(G126,'[3]Dispositivos exportados de HP W'!$C:$D,2,FALSE)</f>
        <v>80908</v>
      </c>
      <c r="N126" s="55">
        <f t="shared" si="8"/>
        <v>498</v>
      </c>
      <c r="O126" s="55">
        <f>VLOOKUP(G126,'[4]Dispositivos exportados de HP W'!$C:$D,2,FALSE)</f>
        <v>81739</v>
      </c>
      <c r="P126" s="55">
        <f t="shared" si="9"/>
        <v>831</v>
      </c>
      <c r="Q126" s="55">
        <f>VLOOKUP(G126,'[6]Dispositivos exportados de HP W'!$C:$D,2,FALSE)</f>
        <v>81933</v>
      </c>
      <c r="R126" s="55">
        <f t="shared" si="10"/>
        <v>194</v>
      </c>
      <c r="S126" s="90">
        <f t="shared" si="11"/>
        <v>2346</v>
      </c>
      <c r="T126" s="89">
        <v>46083</v>
      </c>
      <c r="U126" s="14"/>
      <c r="V126" s="105" t="s">
        <v>2383</v>
      </c>
      <c r="W126" s="105" t="str">
        <f>VLOOKUP(C126,'Status oficina'!$A$2:$C$208,3,FALSE)</f>
        <v>Activa</v>
      </c>
    </row>
    <row r="127" spans="1:23" ht="13.5" customHeight="1" x14ac:dyDescent="0.25">
      <c r="A127" s="14" t="s">
        <v>2089</v>
      </c>
      <c r="B127" s="14" t="s">
        <v>516</v>
      </c>
      <c r="C127" s="22">
        <v>9429</v>
      </c>
      <c r="D127" s="14" t="s">
        <v>517</v>
      </c>
      <c r="E127" s="14" t="s">
        <v>416</v>
      </c>
      <c r="F127" s="14" t="s">
        <v>1140</v>
      </c>
      <c r="G127" s="14" t="s">
        <v>269</v>
      </c>
      <c r="H127" s="55">
        <v>121282</v>
      </c>
      <c r="I127" s="55">
        <f>VLOOKUP(G127,'[1]Dispositivos exportados de HP W'!$C:$D,2,FALSE)</f>
        <v>121282</v>
      </c>
      <c r="J127" s="55">
        <f t="shared" si="6"/>
        <v>0</v>
      </c>
      <c r="K127" s="55">
        <f>VLOOKUP(G127,'[2]Dispositivos exportados de HP W'!$C:$D,2,FALSE)</f>
        <v>121282</v>
      </c>
      <c r="L127" s="55">
        <f t="shared" si="7"/>
        <v>0</v>
      </c>
      <c r="M127" s="55">
        <f>VLOOKUP(G127,'[3]Dispositivos exportados de HP W'!$C:$D,2,FALSE)</f>
        <v>121282</v>
      </c>
      <c r="N127" s="55">
        <f t="shared" si="8"/>
        <v>0</v>
      </c>
      <c r="O127" s="55">
        <f>VLOOKUP(G127,'[4]Dispositivos exportados de HP W'!$C:$D,2,FALSE)</f>
        <v>121282</v>
      </c>
      <c r="P127" s="55">
        <f t="shared" si="9"/>
        <v>0</v>
      </c>
      <c r="Q127" s="55">
        <f>VLOOKUP(G127,'[6]Dispositivos exportados de HP W'!$C:$D,2,FALSE)</f>
        <v>121282</v>
      </c>
      <c r="R127" s="55">
        <f t="shared" si="10"/>
        <v>0</v>
      </c>
      <c r="S127" s="90">
        <f t="shared" si="11"/>
        <v>0</v>
      </c>
      <c r="T127" s="89">
        <v>46083</v>
      </c>
      <c r="U127" s="14" t="s">
        <v>2401</v>
      </c>
      <c r="V127" s="105" t="s">
        <v>2382</v>
      </c>
      <c r="W127" s="105" t="s">
        <v>2239</v>
      </c>
    </row>
    <row r="128" spans="1:23" ht="13.5" customHeight="1" x14ac:dyDescent="0.25">
      <c r="A128" s="14" t="s">
        <v>946</v>
      </c>
      <c r="B128" s="14" t="s">
        <v>1010</v>
      </c>
      <c r="C128" s="120">
        <v>9536</v>
      </c>
      <c r="D128" s="54" t="s">
        <v>1013</v>
      </c>
      <c r="E128" s="54" t="s">
        <v>416</v>
      </c>
      <c r="F128" s="54" t="s">
        <v>1014</v>
      </c>
      <c r="G128" s="54" t="s">
        <v>401</v>
      </c>
      <c r="H128" s="55">
        <v>72277</v>
      </c>
      <c r="I128" s="55">
        <f>VLOOKUP(G128,'[1]Dispositivos exportados de HP W'!$C:$D,2,FALSE)</f>
        <v>72489</v>
      </c>
      <c r="J128" s="55">
        <f t="shared" si="6"/>
        <v>212</v>
      </c>
      <c r="K128" s="55">
        <f>VLOOKUP(G128,'[2]Dispositivos exportados de HP W'!$C:$D,2,FALSE)</f>
        <v>72776</v>
      </c>
      <c r="L128" s="55">
        <f t="shared" si="7"/>
        <v>287</v>
      </c>
      <c r="M128" s="55">
        <f>VLOOKUP(G128,'[3]Dispositivos exportados de HP W'!$C:$D,2,FALSE)</f>
        <v>72892</v>
      </c>
      <c r="N128" s="55">
        <f t="shared" si="8"/>
        <v>116</v>
      </c>
      <c r="O128" s="55">
        <f>VLOOKUP(G128,'[4]Dispositivos exportados de HP W'!$C:$D,2,FALSE)</f>
        <v>73002</v>
      </c>
      <c r="P128" s="55">
        <f t="shared" si="9"/>
        <v>110</v>
      </c>
      <c r="Q128" s="55">
        <f>VLOOKUP(G128,'[6]Dispositivos exportados de HP W'!$C:$D,2,FALSE)</f>
        <v>73082</v>
      </c>
      <c r="R128" s="55">
        <f t="shared" si="10"/>
        <v>80</v>
      </c>
      <c r="S128" s="90">
        <f t="shared" si="11"/>
        <v>805</v>
      </c>
      <c r="T128" s="89">
        <v>46083</v>
      </c>
      <c r="U128" s="14"/>
      <c r="V128" s="105" t="s">
        <v>2383</v>
      </c>
      <c r="W128" s="105" t="str">
        <f>VLOOKUP(C128,'Status oficina'!$A$2:$C$208,3,FALSE)</f>
        <v>Activa</v>
      </c>
    </row>
    <row r="129" spans="1:23" ht="13.5" customHeight="1" x14ac:dyDescent="0.25">
      <c r="A129" s="53" t="s">
        <v>2450</v>
      </c>
      <c r="B129" s="14" t="s">
        <v>2402</v>
      </c>
      <c r="C129" s="120">
        <v>9217</v>
      </c>
      <c r="D129" s="14" t="s">
        <v>1812</v>
      </c>
      <c r="E129" s="14" t="s">
        <v>416</v>
      </c>
      <c r="F129" s="14" t="s">
        <v>2178</v>
      </c>
      <c r="G129" s="14" t="s">
        <v>1494</v>
      </c>
      <c r="H129" s="55">
        <v>24404</v>
      </c>
      <c r="I129" s="55">
        <f>VLOOKUP(G129,'[1]Dispositivos exportados de HP W'!$C:$D,2,FALSE)</f>
        <v>24642</v>
      </c>
      <c r="J129" s="55">
        <f t="shared" si="6"/>
        <v>238</v>
      </c>
      <c r="K129" s="55">
        <f>VLOOKUP(G129,'[2]Dispositivos exportados de HP W'!$C:$D,2,FALSE)</f>
        <v>24786</v>
      </c>
      <c r="L129" s="55">
        <f t="shared" si="7"/>
        <v>144</v>
      </c>
      <c r="M129" s="55">
        <f>VLOOKUP(G129,'[3]Dispositivos exportados de HP W'!$C:$D,2,FALSE)</f>
        <v>24981</v>
      </c>
      <c r="N129" s="55">
        <f t="shared" si="8"/>
        <v>195</v>
      </c>
      <c r="O129" s="55">
        <f>VLOOKUP(G129,'[4]Dispositivos exportados de HP W'!$C:$D,2,FALSE)</f>
        <v>25216</v>
      </c>
      <c r="P129" s="55">
        <f t="shared" si="9"/>
        <v>235</v>
      </c>
      <c r="Q129" s="55">
        <f>VLOOKUP(G129,'[6]Dispositivos exportados de HP W'!$C:$D,2,FALSE)</f>
        <v>25333</v>
      </c>
      <c r="R129" s="55">
        <f t="shared" si="10"/>
        <v>117</v>
      </c>
      <c r="S129" s="90">
        <f t="shared" si="11"/>
        <v>929</v>
      </c>
      <c r="T129" s="89">
        <v>46083</v>
      </c>
      <c r="U129" s="14"/>
      <c r="V129" s="105" t="s">
        <v>2383</v>
      </c>
      <c r="W129" s="105" t="str">
        <f>VLOOKUP(C129,'Status oficina'!$A$2:$C$208,3,FALSE)</f>
        <v>Activa</v>
      </c>
    </row>
    <row r="130" spans="1:23" ht="13.5" customHeight="1" x14ac:dyDescent="0.25">
      <c r="A130" s="14" t="s">
        <v>2089</v>
      </c>
      <c r="B130" s="14" t="s">
        <v>603</v>
      </c>
      <c r="C130" s="19">
        <v>9833</v>
      </c>
      <c r="D130" s="54" t="s">
        <v>607</v>
      </c>
      <c r="E130" s="54" t="s">
        <v>420</v>
      </c>
      <c r="F130" s="54" t="s">
        <v>1067</v>
      </c>
      <c r="G130" s="54" t="s">
        <v>306</v>
      </c>
      <c r="H130" s="55">
        <v>959703</v>
      </c>
      <c r="I130" s="55">
        <f>VLOOKUP(G130,'[1]Dispositivos exportados de HP W'!$C:$D,2,FALSE)</f>
        <v>964079</v>
      </c>
      <c r="J130" s="55">
        <f t="shared" si="6"/>
        <v>4376</v>
      </c>
      <c r="K130" s="55">
        <f>VLOOKUP(G130,'[2]Dispositivos exportados de HP W'!$C:$D,2,FALSE)</f>
        <v>968347</v>
      </c>
      <c r="L130" s="55">
        <f t="shared" si="7"/>
        <v>4268</v>
      </c>
      <c r="M130" s="55">
        <f>VLOOKUP(G130,'[3]Dispositivos exportados de HP W'!$C:$D,2,FALSE)</f>
        <v>971054</v>
      </c>
      <c r="N130" s="55">
        <f t="shared" si="8"/>
        <v>2707</v>
      </c>
      <c r="O130" s="55">
        <f>VLOOKUP(G130,'[4]Dispositivos exportados de HP W'!$C:$D,2,FALSE)</f>
        <v>975753</v>
      </c>
      <c r="P130" s="55">
        <f t="shared" si="9"/>
        <v>4699</v>
      </c>
      <c r="Q130" s="55">
        <f>VLOOKUP(G130,'[6]Dispositivos exportados de HP W'!$C:$D,2,FALSE)</f>
        <v>977330</v>
      </c>
      <c r="R130" s="55">
        <f t="shared" si="10"/>
        <v>1577</v>
      </c>
      <c r="S130" s="90">
        <f t="shared" si="11"/>
        <v>17627</v>
      </c>
      <c r="T130" s="89">
        <v>46083</v>
      </c>
      <c r="U130" s="14"/>
      <c r="V130" s="105" t="s">
        <v>2383</v>
      </c>
      <c r="W130" s="105" t="str">
        <f>VLOOKUP(C130,'Status oficina'!$A$2:$C$208,3,FALSE)</f>
        <v>Activa</v>
      </c>
    </row>
    <row r="131" spans="1:23" ht="13.5" customHeight="1" x14ac:dyDescent="0.25">
      <c r="A131" s="14" t="s">
        <v>2451</v>
      </c>
      <c r="B131" s="14" t="s">
        <v>784</v>
      </c>
      <c r="C131" s="19">
        <v>9282</v>
      </c>
      <c r="D131" s="14" t="s">
        <v>786</v>
      </c>
      <c r="E131" s="14" t="s">
        <v>420</v>
      </c>
      <c r="F131" s="14" t="s">
        <v>1229</v>
      </c>
      <c r="G131" s="14" t="s">
        <v>207</v>
      </c>
      <c r="H131" s="55">
        <v>435360</v>
      </c>
      <c r="I131" s="55">
        <f>VLOOKUP(G131,'[1]Dispositivos exportados de HP W'!$C:$D,2,FALSE)</f>
        <v>437554</v>
      </c>
      <c r="J131" s="55">
        <f t="shared" ref="J131:J194" si="12">I131-H131</f>
        <v>2194</v>
      </c>
      <c r="K131" s="55">
        <f>VLOOKUP(G131,'[2]Dispositivos exportados de HP W'!$C:$D,2,FALSE)</f>
        <v>439742</v>
      </c>
      <c r="L131" s="55">
        <f t="shared" ref="L131:L194" si="13">K131-I131</f>
        <v>2188</v>
      </c>
      <c r="M131" s="55">
        <f>VLOOKUP(G131,'[3]Dispositivos exportados de HP W'!$C:$D,2,FALSE)</f>
        <v>441453</v>
      </c>
      <c r="N131" s="55">
        <f t="shared" ref="N131:N194" si="14">M131-K131</f>
        <v>1711</v>
      </c>
      <c r="O131" s="55">
        <f>VLOOKUP(G131,'[4]Dispositivos exportados de HP W'!$C:$D,2,FALSE)</f>
        <v>443481</v>
      </c>
      <c r="P131" s="55">
        <f t="shared" ref="P131:P194" si="15">O131-M131</f>
        <v>2028</v>
      </c>
      <c r="Q131" s="55">
        <f>VLOOKUP(G131,'[6]Dispositivos exportados de HP W'!$C:$D,2,FALSE)</f>
        <v>444476</v>
      </c>
      <c r="R131" s="55">
        <f t="shared" ref="R131:R194" si="16">Q131-O131</f>
        <v>995</v>
      </c>
      <c r="S131" s="90">
        <f t="shared" ref="S131:S194" si="17">R131+P131+N131+L131+J131</f>
        <v>9116</v>
      </c>
      <c r="T131" s="89">
        <v>46083</v>
      </c>
      <c r="U131" s="14"/>
      <c r="V131" s="105" t="s">
        <v>2383</v>
      </c>
      <c r="W131" s="105" t="str">
        <f>VLOOKUP(C131,'Status oficina'!$A$2:$C$208,3,FALSE)</f>
        <v>Activa</v>
      </c>
    </row>
    <row r="132" spans="1:23" ht="13.5" customHeight="1" x14ac:dyDescent="0.25">
      <c r="A132" s="53" t="s">
        <v>2450</v>
      </c>
      <c r="B132" s="14" t="s">
        <v>695</v>
      </c>
      <c r="C132" s="120">
        <v>9213</v>
      </c>
      <c r="D132" s="14" t="s">
        <v>696</v>
      </c>
      <c r="E132" s="14" t="s">
        <v>420</v>
      </c>
      <c r="F132" s="14" t="s">
        <v>1236</v>
      </c>
      <c r="G132" s="14" t="s">
        <v>86</v>
      </c>
      <c r="H132" s="55">
        <v>687668</v>
      </c>
      <c r="I132" s="55">
        <f>VLOOKUP(G132,'[1]Dispositivos exportados de HP W'!$C:$D,2,FALSE)</f>
        <v>689013</v>
      </c>
      <c r="J132" s="55">
        <f t="shared" si="12"/>
        <v>1345</v>
      </c>
      <c r="K132" s="55">
        <f>VLOOKUP(G132,'[2]Dispositivos exportados de HP W'!$C:$D,2,FALSE)</f>
        <v>690508</v>
      </c>
      <c r="L132" s="55">
        <f t="shared" si="13"/>
        <v>1495</v>
      </c>
      <c r="M132" s="55">
        <f>VLOOKUP(G132,'[3]Dispositivos exportados de HP W'!$C:$D,2,FALSE)</f>
        <v>691766</v>
      </c>
      <c r="N132" s="55">
        <f t="shared" si="14"/>
        <v>1258</v>
      </c>
      <c r="O132" s="55">
        <f>VLOOKUP(G132,'[4]Dispositivos exportados de HP W'!$C:$D,2,FALSE)</f>
        <v>693175</v>
      </c>
      <c r="P132" s="55">
        <f t="shared" si="15"/>
        <v>1409</v>
      </c>
      <c r="Q132" s="55">
        <f>VLOOKUP(G132,'[6]Dispositivos exportados de HP W'!$C:$D,2,FALSE)</f>
        <v>693657</v>
      </c>
      <c r="R132" s="55">
        <f t="shared" si="16"/>
        <v>482</v>
      </c>
      <c r="S132" s="90">
        <f t="shared" si="17"/>
        <v>5989</v>
      </c>
      <c r="T132" s="89">
        <v>46083</v>
      </c>
      <c r="U132" s="14"/>
      <c r="V132" s="105" t="s">
        <v>2383</v>
      </c>
      <c r="W132" s="105" t="str">
        <f>VLOOKUP(C132,'Status oficina'!$A$2:$C$208,3,FALSE)</f>
        <v>Activa</v>
      </c>
    </row>
    <row r="133" spans="1:23" ht="13.5" customHeight="1" x14ac:dyDescent="0.25">
      <c r="A133" s="14" t="s">
        <v>2451</v>
      </c>
      <c r="B133" s="14" t="s">
        <v>665</v>
      </c>
      <c r="C133" s="19">
        <v>9234</v>
      </c>
      <c r="D133" s="14" t="s">
        <v>667</v>
      </c>
      <c r="E133" s="14" t="s">
        <v>420</v>
      </c>
      <c r="F133" s="14" t="s">
        <v>1219</v>
      </c>
      <c r="G133" s="14" t="s">
        <v>277</v>
      </c>
      <c r="H133" s="55">
        <v>653515</v>
      </c>
      <c r="I133" s="55">
        <f>VLOOKUP(G133,'[1]Dispositivos exportados de HP W'!$C:$D,2,FALSE)</f>
        <v>653515</v>
      </c>
      <c r="J133" s="55">
        <f t="shared" si="12"/>
        <v>0</v>
      </c>
      <c r="K133" s="55">
        <f>VLOOKUP(G133,'[2]Dispositivos exportados de HP W'!$C:$D,2,FALSE)</f>
        <v>653515</v>
      </c>
      <c r="L133" s="55">
        <f t="shared" si="13"/>
        <v>0</v>
      </c>
      <c r="M133" s="55">
        <f>VLOOKUP(G133,'[3]Dispositivos exportados de HP W'!$C:$D,2,FALSE)</f>
        <v>653515</v>
      </c>
      <c r="N133" s="55">
        <f t="shared" si="14"/>
        <v>0</v>
      </c>
      <c r="O133" s="55">
        <f>VLOOKUP(G133,'[4]Dispositivos exportados de HP W'!$C:$D,2,FALSE)</f>
        <v>653515</v>
      </c>
      <c r="P133" s="55">
        <f t="shared" si="15"/>
        <v>0</v>
      </c>
      <c r="Q133" s="55">
        <f>VLOOKUP(G133,'[6]Dispositivos exportados de HP W'!$C:$D,2,FALSE)</f>
        <v>653515</v>
      </c>
      <c r="R133" s="55">
        <f t="shared" si="16"/>
        <v>0</v>
      </c>
      <c r="S133" s="90">
        <f t="shared" si="17"/>
        <v>0</v>
      </c>
      <c r="T133" s="89">
        <v>46083</v>
      </c>
      <c r="U133" s="14"/>
      <c r="V133" s="105" t="s">
        <v>2485</v>
      </c>
      <c r="W133" s="105" t="str">
        <f>VLOOKUP(C133,'Status oficina'!$A$2:$C$208,3,FALSE)</f>
        <v>Cierre temporal</v>
      </c>
    </row>
    <row r="134" spans="1:23" ht="13.5" customHeight="1" x14ac:dyDescent="0.25">
      <c r="A134" s="14" t="s">
        <v>2451</v>
      </c>
      <c r="B134" s="14" t="s">
        <v>681</v>
      </c>
      <c r="C134" s="120">
        <v>9259</v>
      </c>
      <c r="D134" s="14" t="s">
        <v>682</v>
      </c>
      <c r="E134" s="14" t="s">
        <v>420</v>
      </c>
      <c r="F134" s="14" t="s">
        <v>1228</v>
      </c>
      <c r="G134" s="14" t="s">
        <v>33</v>
      </c>
      <c r="H134" s="55">
        <v>820595</v>
      </c>
      <c r="I134" s="55">
        <f>VLOOKUP(G134,'[1]Dispositivos exportados de HP W'!$C:$D,2,FALSE)</f>
        <v>822003</v>
      </c>
      <c r="J134" s="55">
        <f t="shared" si="12"/>
        <v>1408</v>
      </c>
      <c r="K134" s="55">
        <f>VLOOKUP(G134,'[2]Dispositivos exportados de HP W'!$C:$D,2,FALSE)</f>
        <v>822889</v>
      </c>
      <c r="L134" s="55">
        <f t="shared" si="13"/>
        <v>886</v>
      </c>
      <c r="M134" s="55">
        <f>VLOOKUP(G134,'[3]Dispositivos exportados de HP W'!$C:$D,2,FALSE)</f>
        <v>823585</v>
      </c>
      <c r="N134" s="55">
        <f t="shared" si="14"/>
        <v>696</v>
      </c>
      <c r="O134" s="55">
        <f>VLOOKUP(G134,'[4]Dispositivos exportados de HP W'!$C:$D,2,FALSE)</f>
        <v>824452</v>
      </c>
      <c r="P134" s="55">
        <f t="shared" si="15"/>
        <v>867</v>
      </c>
      <c r="Q134" s="55">
        <f>VLOOKUP(G134,'[6]Dispositivos exportados de HP W'!$C:$D,2,FALSE)</f>
        <v>824835</v>
      </c>
      <c r="R134" s="55">
        <f t="shared" si="16"/>
        <v>383</v>
      </c>
      <c r="S134" s="90">
        <f t="shared" si="17"/>
        <v>4240</v>
      </c>
      <c r="T134" s="89">
        <v>46083</v>
      </c>
      <c r="U134" s="14"/>
      <c r="V134" s="105" t="s">
        <v>2383</v>
      </c>
      <c r="W134" s="105" t="str">
        <f>VLOOKUP(C134,'Status oficina'!$A$2:$C$208,3,FALSE)</f>
        <v>Activa</v>
      </c>
    </row>
    <row r="135" spans="1:23" ht="13.5" customHeight="1" x14ac:dyDescent="0.25">
      <c r="A135" s="14" t="s">
        <v>2089</v>
      </c>
      <c r="B135" s="14" t="s">
        <v>615</v>
      </c>
      <c r="C135" s="19">
        <v>9445</v>
      </c>
      <c r="D135" s="14" t="s">
        <v>616</v>
      </c>
      <c r="E135" s="14" t="s">
        <v>420</v>
      </c>
      <c r="F135" s="14" t="s">
        <v>1191</v>
      </c>
      <c r="G135" s="14" t="s">
        <v>107</v>
      </c>
      <c r="H135" s="55">
        <v>359792</v>
      </c>
      <c r="I135" s="55">
        <f>VLOOKUP(G135,'[1]Dispositivos exportados de HP W'!$C:$D,2,FALSE)</f>
        <v>359792</v>
      </c>
      <c r="J135" s="55">
        <f t="shared" si="12"/>
        <v>0</v>
      </c>
      <c r="K135" s="55">
        <f>VLOOKUP(G135,'[2]Dispositivos exportados de HP W'!$C:$D,2,FALSE)</f>
        <v>359792</v>
      </c>
      <c r="L135" s="55">
        <f t="shared" si="13"/>
        <v>0</v>
      </c>
      <c r="M135" s="55">
        <f>VLOOKUP(G135,'[3]Dispositivos exportados de HP W'!$C:$D,2,FALSE)</f>
        <v>359792</v>
      </c>
      <c r="N135" s="55">
        <f t="shared" si="14"/>
        <v>0</v>
      </c>
      <c r="O135" s="55">
        <f>VLOOKUP(G135,'[4]Dispositivos exportados de HP W'!$C:$D,2,FALSE)</f>
        <v>359792</v>
      </c>
      <c r="P135" s="55">
        <f t="shared" si="15"/>
        <v>0</v>
      </c>
      <c r="Q135" s="55">
        <f>VLOOKUP(G135,'[6]Dispositivos exportados de HP W'!$C:$D,2,FALSE)</f>
        <v>359792</v>
      </c>
      <c r="R135" s="55">
        <f t="shared" si="16"/>
        <v>0</v>
      </c>
      <c r="S135" s="90">
        <f t="shared" si="17"/>
        <v>0</v>
      </c>
      <c r="T135" s="89">
        <v>46083</v>
      </c>
      <c r="U135" s="14"/>
      <c r="V135" s="105" t="s">
        <v>2239</v>
      </c>
      <c r="W135" s="105" t="str">
        <f>VLOOKUP(C135,'Status oficina'!$A$2:$C$208,3,FALSE)</f>
        <v>Cierre temporal</v>
      </c>
    </row>
    <row r="136" spans="1:23" ht="13.5" customHeight="1" x14ac:dyDescent="0.25">
      <c r="A136" s="53" t="s">
        <v>2450</v>
      </c>
      <c r="B136" s="14" t="s">
        <v>643</v>
      </c>
      <c r="C136" s="19">
        <v>9214</v>
      </c>
      <c r="D136" s="14" t="s">
        <v>644</v>
      </c>
      <c r="E136" s="14" t="s">
        <v>420</v>
      </c>
      <c r="F136" s="10" t="s">
        <v>1206</v>
      </c>
      <c r="G136" s="14" t="s">
        <v>41</v>
      </c>
      <c r="H136" s="55">
        <v>660404</v>
      </c>
      <c r="I136" s="55">
        <f>VLOOKUP(G136,'[1]Dispositivos exportados de HP W'!$C:$D,2,FALSE)</f>
        <v>660404</v>
      </c>
      <c r="J136" s="55">
        <f t="shared" si="12"/>
        <v>0</v>
      </c>
      <c r="K136" s="55">
        <f>VLOOKUP(G136,'[2]Dispositivos exportados de HP W'!$C:$D,2,FALSE)</f>
        <v>660404</v>
      </c>
      <c r="L136" s="55">
        <f t="shared" si="13"/>
        <v>0</v>
      </c>
      <c r="M136" s="55">
        <f>VLOOKUP(G136,'[3]Dispositivos exportados de HP W'!$C:$D,2,FALSE)</f>
        <v>660404</v>
      </c>
      <c r="N136" s="55">
        <f t="shared" si="14"/>
        <v>0</v>
      </c>
      <c r="O136" s="55">
        <f>VLOOKUP(G136,'[4]Dispositivos exportados de HP W'!$C:$D,2,FALSE)</f>
        <v>660404</v>
      </c>
      <c r="P136" s="55">
        <f t="shared" si="15"/>
        <v>0</v>
      </c>
      <c r="Q136" s="55">
        <f>VLOOKUP(G136,'[6]Dispositivos exportados de HP W'!$C:$D,2,FALSE)</f>
        <v>660404</v>
      </c>
      <c r="R136" s="55">
        <f t="shared" si="16"/>
        <v>0</v>
      </c>
      <c r="S136" s="90">
        <f t="shared" si="17"/>
        <v>0</v>
      </c>
      <c r="T136" s="89">
        <v>46083</v>
      </c>
      <c r="U136" s="14"/>
      <c r="V136" s="105" t="s">
        <v>2239</v>
      </c>
      <c r="W136" s="105" t="s">
        <v>2239</v>
      </c>
    </row>
    <row r="137" spans="1:23" ht="13.5" customHeight="1" x14ac:dyDescent="0.25">
      <c r="A137" s="53" t="s">
        <v>872</v>
      </c>
      <c r="B137" s="53" t="s">
        <v>435</v>
      </c>
      <c r="C137" s="120">
        <v>9822</v>
      </c>
      <c r="D137" s="14" t="s">
        <v>443</v>
      </c>
      <c r="E137" s="14" t="s">
        <v>420</v>
      </c>
      <c r="F137" s="14" t="s">
        <v>1087</v>
      </c>
      <c r="G137" s="14" t="s">
        <v>387</v>
      </c>
      <c r="H137" s="55">
        <v>791527</v>
      </c>
      <c r="I137" s="55">
        <f>VLOOKUP(G137,'[1]Dispositivos exportados de HP W'!$C:$D,2,FALSE)</f>
        <v>793688</v>
      </c>
      <c r="J137" s="55">
        <f t="shared" si="12"/>
        <v>2161</v>
      </c>
      <c r="K137" s="55">
        <f>VLOOKUP(G137,'[2]Dispositivos exportados de HP W'!$C:$D,2,FALSE)</f>
        <v>795619</v>
      </c>
      <c r="L137" s="55">
        <f t="shared" si="13"/>
        <v>1931</v>
      </c>
      <c r="M137" s="55">
        <f>VLOOKUP(G137,'[3]Dispositivos exportados de HP W'!$C:$D,2,FALSE)</f>
        <v>797051</v>
      </c>
      <c r="N137" s="55">
        <f t="shared" si="14"/>
        <v>1432</v>
      </c>
      <c r="O137" s="55">
        <f>VLOOKUP(G137,'[4]Dispositivos exportados de HP W'!$C:$D,2,FALSE)</f>
        <v>798881</v>
      </c>
      <c r="P137" s="55">
        <f t="shared" si="15"/>
        <v>1830</v>
      </c>
      <c r="Q137" s="55">
        <f>VLOOKUP(G137,'[6]Dispositivos exportados de HP W'!$C:$D,2,FALSE)</f>
        <v>799509</v>
      </c>
      <c r="R137" s="55">
        <f t="shared" si="16"/>
        <v>628</v>
      </c>
      <c r="S137" s="90">
        <f t="shared" si="17"/>
        <v>7982</v>
      </c>
      <c r="T137" s="89">
        <v>46083</v>
      </c>
      <c r="U137" s="14"/>
      <c r="V137" s="105" t="s">
        <v>2383</v>
      </c>
      <c r="W137" s="105" t="str">
        <f>VLOOKUP(C137,'Status oficina'!$A$2:$C$208,3,FALSE)</f>
        <v>Activa</v>
      </c>
    </row>
    <row r="138" spans="1:23" ht="13.5" customHeight="1" x14ac:dyDescent="0.25">
      <c r="A138" s="53" t="s">
        <v>2450</v>
      </c>
      <c r="B138" s="14" t="s">
        <v>649</v>
      </c>
      <c r="C138" s="19">
        <v>9272</v>
      </c>
      <c r="D138" s="14" t="s">
        <v>651</v>
      </c>
      <c r="E138" s="14" t="s">
        <v>420</v>
      </c>
      <c r="F138" s="14" t="s">
        <v>1211</v>
      </c>
      <c r="G138" s="14" t="s">
        <v>201</v>
      </c>
      <c r="H138" s="55">
        <v>703693</v>
      </c>
      <c r="I138" s="55">
        <f>VLOOKUP(G138,'[1]Dispositivos exportados de HP W'!$C:$D,2,FALSE)</f>
        <v>704505</v>
      </c>
      <c r="J138" s="55">
        <f t="shared" si="12"/>
        <v>812</v>
      </c>
      <c r="K138" s="55">
        <f>VLOOKUP(G138,'[2]Dispositivos exportados de HP W'!$C:$D,2,FALSE)</f>
        <v>705486</v>
      </c>
      <c r="L138" s="55">
        <f t="shared" si="13"/>
        <v>981</v>
      </c>
      <c r="M138" s="55">
        <f>VLOOKUP(G138,'[3]Dispositivos exportados de HP W'!$C:$D,2,FALSE)</f>
        <v>706042</v>
      </c>
      <c r="N138" s="55">
        <f t="shared" si="14"/>
        <v>556</v>
      </c>
      <c r="O138" s="55">
        <f>VLOOKUP(G138,'[4]Dispositivos exportados de HP W'!$C:$D,2,FALSE)</f>
        <v>706863</v>
      </c>
      <c r="P138" s="55">
        <f t="shared" si="15"/>
        <v>821</v>
      </c>
      <c r="Q138" s="55">
        <f>VLOOKUP(G138,'[6]Dispositivos exportados de HP W'!$C:$D,2,FALSE)</f>
        <v>707045</v>
      </c>
      <c r="R138" s="55">
        <f t="shared" si="16"/>
        <v>182</v>
      </c>
      <c r="S138" s="90">
        <f t="shared" si="17"/>
        <v>3352</v>
      </c>
      <c r="T138" s="89">
        <v>46083</v>
      </c>
      <c r="U138" s="14"/>
      <c r="V138" s="105" t="s">
        <v>2383</v>
      </c>
      <c r="W138" s="105" t="str">
        <f>VLOOKUP(C138,'Status oficina'!$A$2:$C$208,3,FALSE)</f>
        <v>Activa</v>
      </c>
    </row>
    <row r="139" spans="1:23" ht="13.5" customHeight="1" x14ac:dyDescent="0.25">
      <c r="A139" s="14" t="s">
        <v>2451</v>
      </c>
      <c r="B139" s="14" t="s">
        <v>704</v>
      </c>
      <c r="C139" s="120">
        <v>9936</v>
      </c>
      <c r="D139" s="14" t="s">
        <v>705</v>
      </c>
      <c r="E139" s="14" t="s">
        <v>420</v>
      </c>
      <c r="F139" s="14" t="s">
        <v>1242</v>
      </c>
      <c r="G139" s="14" t="s">
        <v>170</v>
      </c>
      <c r="H139" s="55">
        <v>73663</v>
      </c>
      <c r="I139" s="55">
        <f>VLOOKUP(G139,'[1]Dispositivos exportados de HP W'!$C:$D,2,FALSE)</f>
        <v>73797</v>
      </c>
      <c r="J139" s="55">
        <f t="shared" si="12"/>
        <v>134</v>
      </c>
      <c r="K139" s="55">
        <f>VLOOKUP(G139,'[2]Dispositivos exportados de HP W'!$C:$D,2,FALSE)</f>
        <v>73927</v>
      </c>
      <c r="L139" s="55">
        <f t="shared" si="13"/>
        <v>130</v>
      </c>
      <c r="M139" s="55">
        <f>VLOOKUP(G139,'[3]Dispositivos exportados de HP W'!$C:$D,2,FALSE)</f>
        <v>74117</v>
      </c>
      <c r="N139" s="55">
        <f t="shared" si="14"/>
        <v>190</v>
      </c>
      <c r="O139" s="55">
        <f>VLOOKUP(G139,'[4]Dispositivos exportados de HP W'!$C:$D,2,FALSE)</f>
        <v>74273</v>
      </c>
      <c r="P139" s="55">
        <f t="shared" si="15"/>
        <v>156</v>
      </c>
      <c r="Q139" s="55">
        <f>VLOOKUP(G139,'[6]Dispositivos exportados de HP W'!$C:$D,2,FALSE)</f>
        <v>74287</v>
      </c>
      <c r="R139" s="55">
        <f t="shared" si="16"/>
        <v>14</v>
      </c>
      <c r="S139" s="90">
        <f t="shared" si="17"/>
        <v>624</v>
      </c>
      <c r="T139" s="89">
        <v>46083</v>
      </c>
      <c r="U139" s="14"/>
      <c r="V139" s="108" t="s">
        <v>2383</v>
      </c>
      <c r="W139" s="105" t="str">
        <f>VLOOKUP(C139,'Status oficina'!$A$2:$C$208,3,FALSE)</f>
        <v>Activa</v>
      </c>
    </row>
    <row r="140" spans="1:23" ht="13.5" customHeight="1" x14ac:dyDescent="0.25">
      <c r="A140" s="53" t="s">
        <v>872</v>
      </c>
      <c r="B140" s="53" t="s">
        <v>429</v>
      </c>
      <c r="C140" s="120">
        <v>9836</v>
      </c>
      <c r="D140" s="14" t="s">
        <v>430</v>
      </c>
      <c r="E140" s="14" t="s">
        <v>420</v>
      </c>
      <c r="F140" s="14" t="s">
        <v>1078</v>
      </c>
      <c r="G140" s="14" t="s">
        <v>48</v>
      </c>
      <c r="H140" s="55">
        <v>841032</v>
      </c>
      <c r="I140" s="55">
        <f>VLOOKUP(G140,'[1]Dispositivos exportados de HP W'!$C:$D,2,FALSE)</f>
        <v>842786</v>
      </c>
      <c r="J140" s="55">
        <f t="shared" si="12"/>
        <v>1754</v>
      </c>
      <c r="K140" s="55">
        <f>VLOOKUP(G140,'[2]Dispositivos exportados de HP W'!$C:$D,2,FALSE)</f>
        <v>844724</v>
      </c>
      <c r="L140" s="55">
        <f t="shared" si="13"/>
        <v>1938</v>
      </c>
      <c r="M140" s="55">
        <f>VLOOKUP(G140,'[3]Dispositivos exportados de HP W'!$C:$D,2,FALSE)</f>
        <v>846214</v>
      </c>
      <c r="N140" s="55">
        <f t="shared" si="14"/>
        <v>1490</v>
      </c>
      <c r="O140" s="55">
        <f>VLOOKUP(G140,'[4]Dispositivos exportados de HP W'!$C:$D,2,FALSE)</f>
        <v>847965</v>
      </c>
      <c r="P140" s="55">
        <f t="shared" si="15"/>
        <v>1751</v>
      </c>
      <c r="Q140" s="55">
        <f>VLOOKUP(G140,'[6]Dispositivos exportados de HP W'!$C:$D,2,FALSE)</f>
        <v>848686</v>
      </c>
      <c r="R140" s="55">
        <f t="shared" si="16"/>
        <v>721</v>
      </c>
      <c r="S140" s="90">
        <f t="shared" si="17"/>
        <v>7654</v>
      </c>
      <c r="T140" s="89">
        <v>46083</v>
      </c>
      <c r="U140" s="14"/>
      <c r="V140" s="105" t="s">
        <v>2383</v>
      </c>
      <c r="W140" s="105" t="str">
        <f>VLOOKUP(C140,'Status oficina'!$A$2:$C$208,3,FALSE)</f>
        <v>Activa</v>
      </c>
    </row>
    <row r="141" spans="1:23" ht="13.5" customHeight="1" x14ac:dyDescent="0.25">
      <c r="A141" s="14" t="s">
        <v>2451</v>
      </c>
      <c r="B141" s="14" t="s">
        <v>671</v>
      </c>
      <c r="C141" s="19">
        <v>9224</v>
      </c>
      <c r="D141" s="14" t="s">
        <v>672</v>
      </c>
      <c r="E141" s="14" t="s">
        <v>420</v>
      </c>
      <c r="F141" s="14" t="s">
        <v>1221</v>
      </c>
      <c r="G141" s="14" t="s">
        <v>29</v>
      </c>
      <c r="H141" s="55">
        <v>519117</v>
      </c>
      <c r="I141" s="55">
        <f>VLOOKUP(G141,'[1]Dispositivos exportados de HP W'!$C:$D,2,FALSE)</f>
        <v>519117</v>
      </c>
      <c r="J141" s="55">
        <f t="shared" si="12"/>
        <v>0</v>
      </c>
      <c r="K141" s="55">
        <f>VLOOKUP(G141,'[2]Dispositivos exportados de HP W'!$C:$D,2,FALSE)</f>
        <v>519117</v>
      </c>
      <c r="L141" s="55">
        <f t="shared" si="13"/>
        <v>0</v>
      </c>
      <c r="M141" s="55">
        <f>VLOOKUP(G141,'[3]Dispositivos exportados de HP W'!$C:$D,2,FALSE)</f>
        <v>519133</v>
      </c>
      <c r="N141" s="55">
        <f t="shared" si="14"/>
        <v>16</v>
      </c>
      <c r="O141" s="55">
        <f>VLOOKUP(G141,'[4]Dispositivos exportados de HP W'!$C:$D,2,FALSE)</f>
        <v>519167</v>
      </c>
      <c r="P141" s="55">
        <f t="shared" si="15"/>
        <v>34</v>
      </c>
      <c r="Q141" s="55">
        <f>VLOOKUP(G141,'[6]Dispositivos exportados de HP W'!$C:$D,2,FALSE)</f>
        <v>519279</v>
      </c>
      <c r="R141" s="55">
        <f t="shared" si="16"/>
        <v>112</v>
      </c>
      <c r="S141" s="90">
        <f t="shared" si="17"/>
        <v>162</v>
      </c>
      <c r="T141" s="89">
        <v>46083</v>
      </c>
      <c r="U141" s="14"/>
      <c r="V141" s="105" t="s">
        <v>2383</v>
      </c>
      <c r="W141" s="105" t="str">
        <f>VLOOKUP(C141,'Status oficina'!$A$2:$C$208,3,FALSE)</f>
        <v>Activa</v>
      </c>
    </row>
    <row r="142" spans="1:23" ht="13.5" customHeight="1" x14ac:dyDescent="0.25">
      <c r="A142" s="53" t="s">
        <v>2450</v>
      </c>
      <c r="B142" s="14" t="s">
        <v>702</v>
      </c>
      <c r="C142" s="120">
        <v>9232</v>
      </c>
      <c r="D142" s="14" t="s">
        <v>703</v>
      </c>
      <c r="E142" s="14" t="s">
        <v>420</v>
      </c>
      <c r="F142" s="14" t="s">
        <v>1240</v>
      </c>
      <c r="G142" s="14" t="s">
        <v>61</v>
      </c>
      <c r="H142" s="55">
        <v>873376</v>
      </c>
      <c r="I142" s="55">
        <f>VLOOKUP(G142,'[1]Dispositivos exportados de HP W'!$C:$D,2,FALSE)</f>
        <v>874475</v>
      </c>
      <c r="J142" s="55">
        <f t="shared" si="12"/>
        <v>1099</v>
      </c>
      <c r="K142" s="55">
        <f>VLOOKUP(G142,'[2]Dispositivos exportados de HP W'!$C:$D,2,FALSE)</f>
        <v>875633</v>
      </c>
      <c r="L142" s="55">
        <f t="shared" si="13"/>
        <v>1158</v>
      </c>
      <c r="M142" s="55">
        <f>VLOOKUP(G142,'[3]Dispositivos exportados de HP W'!$C:$D,2,FALSE)</f>
        <v>876371</v>
      </c>
      <c r="N142" s="55">
        <f t="shared" si="14"/>
        <v>738</v>
      </c>
      <c r="O142" s="55">
        <f>VLOOKUP(G142,'[4]Dispositivos exportados de HP W'!$C:$D,2,FALSE)</f>
        <v>877851</v>
      </c>
      <c r="P142" s="55">
        <f t="shared" si="15"/>
        <v>1480</v>
      </c>
      <c r="Q142" s="55">
        <f>VLOOKUP(G142,'[6]Dispositivos exportados de HP W'!$C:$D,2,FALSE)</f>
        <v>878232</v>
      </c>
      <c r="R142" s="55">
        <f t="shared" si="16"/>
        <v>381</v>
      </c>
      <c r="S142" s="90">
        <f t="shared" si="17"/>
        <v>4856</v>
      </c>
      <c r="T142" s="89">
        <v>46083</v>
      </c>
      <c r="U142" s="14"/>
      <c r="V142" s="105" t="s">
        <v>2383</v>
      </c>
      <c r="W142" s="105" t="str">
        <f>VLOOKUP(C142,'Status oficina'!$A$2:$C$208,3,FALSE)</f>
        <v>Activa</v>
      </c>
    </row>
    <row r="143" spans="1:23" ht="13.5" customHeight="1" x14ac:dyDescent="0.25">
      <c r="A143" s="14" t="s">
        <v>2089</v>
      </c>
      <c r="B143" s="14" t="s">
        <v>497</v>
      </c>
      <c r="C143" s="122">
        <v>9469</v>
      </c>
      <c r="D143" s="14" t="s">
        <v>498</v>
      </c>
      <c r="E143" s="14" t="s">
        <v>420</v>
      </c>
      <c r="F143" s="14" t="s">
        <v>1124</v>
      </c>
      <c r="G143" s="14" t="s">
        <v>215</v>
      </c>
      <c r="H143" s="55">
        <v>413411</v>
      </c>
      <c r="I143" s="55">
        <f>VLOOKUP(G143,'[1]Dispositivos exportados de HP W'!$C:$D,2,FALSE)</f>
        <v>413411</v>
      </c>
      <c r="J143" s="55">
        <f t="shared" si="12"/>
        <v>0</v>
      </c>
      <c r="K143" s="55">
        <f>VLOOKUP(G143,'[2]Dispositivos exportados de HP W'!$C:$D,2,FALSE)</f>
        <v>413411</v>
      </c>
      <c r="L143" s="55">
        <f t="shared" si="13"/>
        <v>0</v>
      </c>
      <c r="M143" s="55">
        <f>VLOOKUP(G143,'[3]Dispositivos exportados de HP W'!$C:$D,2,FALSE)</f>
        <v>413411</v>
      </c>
      <c r="N143" s="55">
        <f t="shared" si="14"/>
        <v>0</v>
      </c>
      <c r="O143" s="55">
        <f>VLOOKUP(G143,'[4]Dispositivos exportados de HP W'!$C:$D,2,FALSE)</f>
        <v>413411</v>
      </c>
      <c r="P143" s="55">
        <f t="shared" si="15"/>
        <v>0</v>
      </c>
      <c r="Q143" s="55">
        <f>VLOOKUP(G143,'[6]Dispositivos exportados de HP W'!$C:$D,2,FALSE)</f>
        <v>413411</v>
      </c>
      <c r="R143" s="55">
        <f t="shared" si="16"/>
        <v>0</v>
      </c>
      <c r="S143" s="90">
        <f t="shared" si="17"/>
        <v>0</v>
      </c>
      <c r="T143" s="89">
        <v>46083</v>
      </c>
      <c r="U143" s="14" t="s">
        <v>2454</v>
      </c>
      <c r="V143" s="105" t="s">
        <v>2458</v>
      </c>
      <c r="W143" s="105" t="str">
        <f>VLOOKUP(C143,'Status oficina'!$A$2:$C$208,3,FALSE)</f>
        <v>Cierre definitivo</v>
      </c>
    </row>
    <row r="144" spans="1:23" ht="13.5" customHeight="1" x14ac:dyDescent="0.25">
      <c r="A144" s="14" t="s">
        <v>2089</v>
      </c>
      <c r="B144" s="14" t="s">
        <v>497</v>
      </c>
      <c r="C144" s="122">
        <v>9469</v>
      </c>
      <c r="D144" s="14" t="s">
        <v>2125</v>
      </c>
      <c r="E144" s="14" t="s">
        <v>416</v>
      </c>
      <c r="F144" s="14" t="s">
        <v>1123</v>
      </c>
      <c r="G144" s="14" t="s">
        <v>134</v>
      </c>
      <c r="H144" s="55">
        <v>135454</v>
      </c>
      <c r="I144" s="55">
        <f>VLOOKUP(G144,'[1]Dispositivos exportados de HP W'!$C:$D,2,FALSE)</f>
        <v>135454</v>
      </c>
      <c r="J144" s="55">
        <f t="shared" si="12"/>
        <v>0</v>
      </c>
      <c r="K144" s="55">
        <f>VLOOKUP(G144,'[2]Dispositivos exportados de HP W'!$C:$D,2,FALSE)</f>
        <v>135454</v>
      </c>
      <c r="L144" s="55">
        <f t="shared" si="13"/>
        <v>0</v>
      </c>
      <c r="M144" s="55">
        <f>VLOOKUP(G144,'[3]Dispositivos exportados de HP W'!$C:$D,2,FALSE)</f>
        <v>135454</v>
      </c>
      <c r="N144" s="55">
        <f t="shared" si="14"/>
        <v>0</v>
      </c>
      <c r="O144" s="55">
        <f>VLOOKUP(G144,'[4]Dispositivos exportados de HP W'!$C:$D,2,FALSE)</f>
        <v>135454</v>
      </c>
      <c r="P144" s="55">
        <f t="shared" si="15"/>
        <v>0</v>
      </c>
      <c r="Q144" s="55">
        <f>VLOOKUP(G144,'[6]Dispositivos exportados de HP W'!$C:$D,2,FALSE)</f>
        <v>135454</v>
      </c>
      <c r="R144" s="55">
        <f t="shared" si="16"/>
        <v>0</v>
      </c>
      <c r="S144" s="90">
        <f t="shared" si="17"/>
        <v>0</v>
      </c>
      <c r="T144" s="89">
        <v>46083</v>
      </c>
      <c r="U144" s="14" t="s">
        <v>2454</v>
      </c>
      <c r="V144" s="105" t="s">
        <v>2458</v>
      </c>
      <c r="W144" s="105" t="str">
        <f>VLOOKUP(C144,'Status oficina'!$A$2:$C$208,3,FALSE)</f>
        <v>Cierre definitivo</v>
      </c>
    </row>
    <row r="145" spans="1:23" ht="13.5" customHeight="1" x14ac:dyDescent="0.25">
      <c r="A145" s="14" t="s">
        <v>946</v>
      </c>
      <c r="B145" s="14" t="s">
        <v>1027</v>
      </c>
      <c r="C145" s="123">
        <v>9530</v>
      </c>
      <c r="D145" s="14" t="s">
        <v>1028</v>
      </c>
      <c r="E145" s="14" t="s">
        <v>420</v>
      </c>
      <c r="F145" s="14" t="s">
        <v>1446</v>
      </c>
      <c r="G145" s="14" t="s">
        <v>214</v>
      </c>
      <c r="H145" s="55">
        <v>878902</v>
      </c>
      <c r="I145" s="55">
        <f>VLOOKUP(G145,'[1]Dispositivos exportados de HP W'!$C:$D,2,FALSE)</f>
        <v>881296</v>
      </c>
      <c r="J145" s="55">
        <f t="shared" si="12"/>
        <v>2394</v>
      </c>
      <c r="K145" s="55">
        <f>VLOOKUP(G145,'[2]Dispositivos exportados de HP W'!$C:$D,2,FALSE)</f>
        <v>883592</v>
      </c>
      <c r="L145" s="55">
        <f t="shared" si="13"/>
        <v>2296</v>
      </c>
      <c r="M145" s="55">
        <f>VLOOKUP(G145,'[3]Dispositivos exportados de HP W'!$C:$D,2,FALSE)</f>
        <v>885439</v>
      </c>
      <c r="N145" s="55">
        <f t="shared" si="14"/>
        <v>1847</v>
      </c>
      <c r="O145" s="55">
        <f>VLOOKUP(G145,'[4]Dispositivos exportados de HP W'!$C:$D,2,FALSE)</f>
        <v>887401</v>
      </c>
      <c r="P145" s="55">
        <f t="shared" si="15"/>
        <v>1962</v>
      </c>
      <c r="Q145" s="55">
        <f>VLOOKUP(G145,'[6]Dispositivos exportados de HP W'!$C:$D,2,FALSE)</f>
        <v>888084</v>
      </c>
      <c r="R145" s="55">
        <f t="shared" si="16"/>
        <v>683</v>
      </c>
      <c r="S145" s="90">
        <f t="shared" si="17"/>
        <v>9182</v>
      </c>
      <c r="T145" s="89">
        <v>46083</v>
      </c>
      <c r="U145" s="14"/>
      <c r="V145" s="105" t="s">
        <v>2383</v>
      </c>
      <c r="W145" s="105" t="str">
        <f>VLOOKUP(C145,'Status oficina'!$A$2:$C$208,3,FALSE)</f>
        <v>Activa</v>
      </c>
    </row>
    <row r="146" spans="1:23" ht="13.5" customHeight="1" x14ac:dyDescent="0.25">
      <c r="A146" s="14" t="s">
        <v>2451</v>
      </c>
      <c r="B146" s="14" t="s">
        <v>665</v>
      </c>
      <c r="C146" s="19">
        <v>9234</v>
      </c>
      <c r="D146" s="14" t="s">
        <v>666</v>
      </c>
      <c r="E146" s="14" t="s">
        <v>420</v>
      </c>
      <c r="F146" s="14" t="s">
        <v>1218</v>
      </c>
      <c r="G146" s="14" t="s">
        <v>62</v>
      </c>
      <c r="H146" s="55">
        <v>294167</v>
      </c>
      <c r="I146" s="55">
        <f>VLOOKUP(G146,'[1]Dispositivos exportados de HP W'!$C:$D,2,FALSE)</f>
        <v>294167</v>
      </c>
      <c r="J146" s="55">
        <f t="shared" si="12"/>
        <v>0</v>
      </c>
      <c r="K146" s="55">
        <f>VLOOKUP(G146,'[2]Dispositivos exportados de HP W'!$C:$D,2,FALSE)</f>
        <v>294167</v>
      </c>
      <c r="L146" s="55">
        <f t="shared" si="13"/>
        <v>0</v>
      </c>
      <c r="M146" s="55">
        <f>VLOOKUP(G146,'[3]Dispositivos exportados de HP W'!$C:$D,2,FALSE)</f>
        <v>294167</v>
      </c>
      <c r="N146" s="55">
        <f t="shared" si="14"/>
        <v>0</v>
      </c>
      <c r="O146" s="55">
        <f>VLOOKUP(G146,'[4]Dispositivos exportados de HP W'!$C:$D,2,FALSE)</f>
        <v>294167</v>
      </c>
      <c r="P146" s="55">
        <f t="shared" si="15"/>
        <v>0</v>
      </c>
      <c r="Q146" s="55">
        <f>VLOOKUP(G146,'[6]Dispositivos exportados de HP W'!$C:$D,2,FALSE)</f>
        <v>294167</v>
      </c>
      <c r="R146" s="55">
        <f t="shared" si="16"/>
        <v>0</v>
      </c>
      <c r="S146" s="90">
        <f t="shared" si="17"/>
        <v>0</v>
      </c>
      <c r="T146" s="89">
        <v>46083</v>
      </c>
      <c r="U146" s="14"/>
      <c r="V146" s="105" t="s">
        <v>2239</v>
      </c>
      <c r="W146" s="105" t="str">
        <f>VLOOKUP(C146,'Status oficina'!$A$2:$C$208,3,FALSE)</f>
        <v>Cierre temporal</v>
      </c>
    </row>
    <row r="147" spans="1:23" ht="13.5" customHeight="1" x14ac:dyDescent="0.25">
      <c r="A147" s="53" t="s">
        <v>872</v>
      </c>
      <c r="B147" s="53" t="s">
        <v>434</v>
      </c>
      <c r="C147" s="122">
        <v>9892</v>
      </c>
      <c r="D147" s="14" t="s">
        <v>441</v>
      </c>
      <c r="E147" s="14" t="s">
        <v>420</v>
      </c>
      <c r="F147" s="14" t="s">
        <v>1085</v>
      </c>
      <c r="G147" s="14" t="s">
        <v>390</v>
      </c>
      <c r="H147" s="55">
        <v>833823</v>
      </c>
      <c r="I147" s="55">
        <f>VLOOKUP(G147,'[1]Dispositivos exportados de HP W'!$C:$D,2,FALSE)</f>
        <v>834941</v>
      </c>
      <c r="J147" s="55">
        <f t="shared" si="12"/>
        <v>1118</v>
      </c>
      <c r="K147" s="55">
        <f>VLOOKUP(G147,'[2]Dispositivos exportados de HP W'!$C:$D,2,FALSE)</f>
        <v>836015</v>
      </c>
      <c r="L147" s="55">
        <f t="shared" si="13"/>
        <v>1074</v>
      </c>
      <c r="M147" s="55">
        <f>VLOOKUP(G147,'[3]Dispositivos exportados de HP W'!$C:$D,2,FALSE)</f>
        <v>837002</v>
      </c>
      <c r="N147" s="55">
        <f t="shared" si="14"/>
        <v>987</v>
      </c>
      <c r="O147" s="55">
        <f>VLOOKUP(G147,'[4]Dispositivos exportados de HP W'!$C:$D,2,FALSE)</f>
        <v>838051</v>
      </c>
      <c r="P147" s="55">
        <f t="shared" si="15"/>
        <v>1049</v>
      </c>
      <c r="Q147" s="55">
        <f>VLOOKUP(G147,'[6]Dispositivos exportados de HP W'!$C:$D,2,FALSE)</f>
        <v>838350</v>
      </c>
      <c r="R147" s="55">
        <f t="shared" si="16"/>
        <v>299</v>
      </c>
      <c r="S147" s="90">
        <f t="shared" si="17"/>
        <v>4527</v>
      </c>
      <c r="T147" s="89">
        <v>46083</v>
      </c>
      <c r="U147" s="14"/>
      <c r="V147" s="105" t="s">
        <v>2383</v>
      </c>
      <c r="W147" s="105" t="str">
        <f>VLOOKUP(C147,'Status oficina'!$A$2:$C$208,3,FALSE)</f>
        <v>Activa</v>
      </c>
    </row>
    <row r="148" spans="1:23" ht="13.5" customHeight="1" x14ac:dyDescent="0.25">
      <c r="A148" s="14" t="s">
        <v>2089</v>
      </c>
      <c r="B148" s="14" t="s">
        <v>512</v>
      </c>
      <c r="C148" s="22">
        <v>9467</v>
      </c>
      <c r="D148" s="14" t="s">
        <v>2502</v>
      </c>
      <c r="E148" s="15" t="s">
        <v>420</v>
      </c>
      <c r="F148" s="14" t="s">
        <v>1136</v>
      </c>
      <c r="G148" s="1" t="s">
        <v>350</v>
      </c>
      <c r="H148" s="55">
        <v>487674</v>
      </c>
      <c r="I148" s="55">
        <f>VLOOKUP(G148,'[1]Dispositivos exportados de HP W'!$C:$D,2,FALSE)</f>
        <v>488761</v>
      </c>
      <c r="J148" s="55">
        <f t="shared" si="12"/>
        <v>1087</v>
      </c>
      <c r="K148" s="55">
        <f>VLOOKUP(G148,'[2]Dispositivos exportados de HP W'!$C:$D,2,FALSE)</f>
        <v>490128</v>
      </c>
      <c r="L148" s="55">
        <f t="shared" si="13"/>
        <v>1367</v>
      </c>
      <c r="M148" s="55">
        <f>VLOOKUP(G148,'[3]Dispositivos exportados de HP W'!$C:$D,2,FALSE)</f>
        <v>491144</v>
      </c>
      <c r="N148" s="55">
        <f t="shared" si="14"/>
        <v>1016</v>
      </c>
      <c r="O148" s="55">
        <f>VLOOKUP(G148,'[4]Dispositivos exportados de HP W'!$C:$D,2,FALSE)</f>
        <v>492238</v>
      </c>
      <c r="P148" s="55">
        <f t="shared" si="15"/>
        <v>1094</v>
      </c>
      <c r="Q148" s="55">
        <f>VLOOKUP(G148,'[6]Dispositivos exportados de HP W'!$C:$D,2,FALSE)</f>
        <v>492698</v>
      </c>
      <c r="R148" s="55">
        <f t="shared" si="16"/>
        <v>460</v>
      </c>
      <c r="S148" s="90">
        <f t="shared" si="17"/>
        <v>5024</v>
      </c>
      <c r="T148" s="89">
        <v>46083</v>
      </c>
      <c r="U148" s="14"/>
      <c r="V148" s="105" t="s">
        <v>2383</v>
      </c>
      <c r="W148" s="105" t="str">
        <f>VLOOKUP(C148,'Status oficina'!$A$2:$C$208,3,FALSE)</f>
        <v>Activa</v>
      </c>
    </row>
    <row r="149" spans="1:23" ht="13.5" customHeight="1" x14ac:dyDescent="0.25">
      <c r="A149" s="53" t="s">
        <v>2450</v>
      </c>
      <c r="B149" s="14" t="s">
        <v>657</v>
      </c>
      <c r="C149" s="19">
        <v>9203</v>
      </c>
      <c r="D149" s="14" t="s">
        <v>658</v>
      </c>
      <c r="E149" s="14" t="s">
        <v>420</v>
      </c>
      <c r="F149" s="14" t="s">
        <v>1215</v>
      </c>
      <c r="G149" s="14" t="s">
        <v>125</v>
      </c>
      <c r="H149" s="55">
        <v>590138</v>
      </c>
      <c r="I149" s="55">
        <f>VLOOKUP(G149,'[1]Dispositivos exportados de HP W'!$C:$D,2,FALSE)</f>
        <v>590138</v>
      </c>
      <c r="J149" s="55">
        <f t="shared" si="12"/>
        <v>0</v>
      </c>
      <c r="K149" s="55">
        <f>VLOOKUP(G149,'[2]Dispositivos exportados de HP W'!$C:$D,2,FALSE)</f>
        <v>590138</v>
      </c>
      <c r="L149" s="55">
        <f t="shared" si="13"/>
        <v>0</v>
      </c>
      <c r="M149" s="55">
        <f>VLOOKUP(G149,'[3]Dispositivos exportados de HP W'!$C:$D,2,FALSE)</f>
        <v>590138</v>
      </c>
      <c r="N149" s="55">
        <f t="shared" si="14"/>
        <v>0</v>
      </c>
      <c r="O149" s="55">
        <f>VLOOKUP(G149,'[4]Dispositivos exportados de HP W'!$C:$D,2,FALSE)</f>
        <v>590138</v>
      </c>
      <c r="P149" s="55">
        <f t="shared" si="15"/>
        <v>0</v>
      </c>
      <c r="Q149" s="55">
        <f>VLOOKUP(G149,'[6]Dispositivos exportados de HP W'!$C:$D,2,FALSE)</f>
        <v>590138</v>
      </c>
      <c r="R149" s="55">
        <f t="shared" si="16"/>
        <v>0</v>
      </c>
      <c r="S149" s="90">
        <f t="shared" si="17"/>
        <v>0</v>
      </c>
      <c r="T149" s="89">
        <v>46083</v>
      </c>
      <c r="U149" s="14" t="s">
        <v>2480</v>
      </c>
      <c r="V149" s="105" t="s">
        <v>2246</v>
      </c>
      <c r="W149" s="105" t="s">
        <v>2246</v>
      </c>
    </row>
    <row r="150" spans="1:23" ht="13.5" customHeight="1" x14ac:dyDescent="0.25">
      <c r="A150" s="14" t="s">
        <v>2089</v>
      </c>
      <c r="B150" s="14" t="s">
        <v>486</v>
      </c>
      <c r="C150" s="122">
        <v>9474</v>
      </c>
      <c r="D150" s="14" t="s">
        <v>487</v>
      </c>
      <c r="E150" s="14" t="s">
        <v>416</v>
      </c>
      <c r="F150" s="14" t="s">
        <v>1114</v>
      </c>
      <c r="G150" s="14" t="s">
        <v>213</v>
      </c>
      <c r="H150" s="55">
        <v>77105</v>
      </c>
      <c r="I150" s="55">
        <f>VLOOKUP(G150,'[1]Dispositivos exportados de HP W'!$C:$D,2,FALSE)</f>
        <v>77105</v>
      </c>
      <c r="J150" s="55">
        <f t="shared" si="12"/>
        <v>0</v>
      </c>
      <c r="K150" s="55">
        <f>VLOOKUP(G150,'[2]Dispositivos exportados de HP W'!$C:$D,2,FALSE)</f>
        <v>77105</v>
      </c>
      <c r="L150" s="55">
        <f t="shared" si="13"/>
        <v>0</v>
      </c>
      <c r="M150" s="55">
        <f>VLOOKUP(G150,'[3]Dispositivos exportados de HP W'!$C:$D,2,FALSE)</f>
        <v>77105</v>
      </c>
      <c r="N150" s="55">
        <f t="shared" si="14"/>
        <v>0</v>
      </c>
      <c r="O150" s="55">
        <f>VLOOKUP(G150,'[4]Dispositivos exportados de HP W'!$C:$D,2,FALSE)</f>
        <v>77105</v>
      </c>
      <c r="P150" s="55">
        <f t="shared" si="15"/>
        <v>0</v>
      </c>
      <c r="Q150" s="55">
        <f>VLOOKUP(G150,'[6]Dispositivos exportados de HP W'!$C:$D,2,FALSE)</f>
        <v>77105</v>
      </c>
      <c r="R150" s="55">
        <f t="shared" si="16"/>
        <v>0</v>
      </c>
      <c r="S150" s="90">
        <f t="shared" si="17"/>
        <v>0</v>
      </c>
      <c r="T150" s="89">
        <v>46083</v>
      </c>
      <c r="U150" s="14" t="s">
        <v>2173</v>
      </c>
      <c r="V150" s="105" t="s">
        <v>2246</v>
      </c>
      <c r="W150" s="105" t="str">
        <f>VLOOKUP(C150,'Status oficina'!$A$2:$C$208,3,FALSE)</f>
        <v>Cierre definitivo</v>
      </c>
    </row>
    <row r="151" spans="1:23" ht="13.5" customHeight="1" x14ac:dyDescent="0.25">
      <c r="A151" s="54" t="s">
        <v>2089</v>
      </c>
      <c r="B151" s="14" t="s">
        <v>518</v>
      </c>
      <c r="C151" s="22">
        <v>9477</v>
      </c>
      <c r="D151" s="14" t="s">
        <v>519</v>
      </c>
      <c r="E151" s="14" t="s">
        <v>416</v>
      </c>
      <c r="F151" s="14" t="s">
        <v>1141</v>
      </c>
      <c r="G151" s="14" t="s">
        <v>172</v>
      </c>
      <c r="H151" s="55">
        <v>33396</v>
      </c>
      <c r="I151" s="55">
        <f>VLOOKUP(G151,'[1]Dispositivos exportados de HP W'!$C:$D,2,FALSE)</f>
        <v>33396</v>
      </c>
      <c r="J151" s="55">
        <f t="shared" si="12"/>
        <v>0</v>
      </c>
      <c r="K151" s="55">
        <f>VLOOKUP(G151,'[2]Dispositivos exportados de HP W'!$C:$D,2,FALSE)</f>
        <v>33396</v>
      </c>
      <c r="L151" s="55">
        <f t="shared" si="13"/>
        <v>0</v>
      </c>
      <c r="M151" s="55">
        <f>VLOOKUP(G151,'[3]Dispositivos exportados de HP W'!$C:$D,2,FALSE)</f>
        <v>33396</v>
      </c>
      <c r="N151" s="55">
        <f t="shared" si="14"/>
        <v>0</v>
      </c>
      <c r="O151" s="55">
        <f>VLOOKUP(G151,'[4]Dispositivos exportados de HP W'!$C:$D,2,FALSE)</f>
        <v>33396</v>
      </c>
      <c r="P151" s="55">
        <f t="shared" si="15"/>
        <v>0</v>
      </c>
      <c r="Q151" s="55">
        <f>VLOOKUP(G151,'[6]Dispositivos exportados de HP W'!$C:$D,2,FALSE)</f>
        <v>33396</v>
      </c>
      <c r="R151" s="55">
        <f t="shared" si="16"/>
        <v>0</v>
      </c>
      <c r="S151" s="90">
        <f t="shared" si="17"/>
        <v>0</v>
      </c>
      <c r="T151" s="89">
        <v>46083</v>
      </c>
      <c r="U151" s="14" t="s">
        <v>2036</v>
      </c>
      <c r="V151" s="105" t="s">
        <v>2239</v>
      </c>
      <c r="W151" s="105" t="str">
        <f>VLOOKUP(C151,'Status oficina'!$A$2:$C$208,3,FALSE)</f>
        <v>Cierre temporal</v>
      </c>
    </row>
    <row r="152" spans="1:23" ht="13.5" customHeight="1" x14ac:dyDescent="0.25">
      <c r="A152" s="53" t="s">
        <v>2450</v>
      </c>
      <c r="B152" s="14" t="s">
        <v>646</v>
      </c>
      <c r="C152" s="19">
        <v>9905</v>
      </c>
      <c r="D152" s="14" t="s">
        <v>647</v>
      </c>
      <c r="E152" s="14" t="s">
        <v>420</v>
      </c>
      <c r="F152" s="14" t="s">
        <v>1208</v>
      </c>
      <c r="G152" s="14" t="s">
        <v>22</v>
      </c>
      <c r="H152" s="55">
        <v>474354</v>
      </c>
      <c r="I152" s="55">
        <f>VLOOKUP(G152,'[1]Dispositivos exportados de HP W'!$C:$D,2,FALSE)</f>
        <v>474354</v>
      </c>
      <c r="J152" s="55">
        <f t="shared" si="12"/>
        <v>0</v>
      </c>
      <c r="K152" s="55">
        <f>VLOOKUP(G152,'[2]Dispositivos exportados de HP W'!$C:$D,2,FALSE)</f>
        <v>474354</v>
      </c>
      <c r="L152" s="55">
        <f t="shared" si="13"/>
        <v>0</v>
      </c>
      <c r="M152" s="55">
        <f>VLOOKUP(G152,'[3]Dispositivos exportados de HP W'!$C:$D,2,FALSE)</f>
        <v>474354</v>
      </c>
      <c r="N152" s="55">
        <f t="shared" si="14"/>
        <v>0</v>
      </c>
      <c r="O152" s="55">
        <f>VLOOKUP(G152,'[4]Dispositivos exportados de HP W'!$C:$D,2,FALSE)</f>
        <v>474354</v>
      </c>
      <c r="P152" s="55">
        <f t="shared" si="15"/>
        <v>0</v>
      </c>
      <c r="Q152" s="55">
        <f>VLOOKUP(G152,'[6]Dispositivos exportados de HP W'!$C:$D,2,FALSE)</f>
        <v>474354</v>
      </c>
      <c r="R152" s="55">
        <f t="shared" si="16"/>
        <v>0</v>
      </c>
      <c r="S152" s="90">
        <f t="shared" si="17"/>
        <v>0</v>
      </c>
      <c r="T152" s="89">
        <v>46083</v>
      </c>
      <c r="U152" s="14" t="s">
        <v>2478</v>
      </c>
      <c r="V152" s="105" t="s">
        <v>2246</v>
      </c>
      <c r="W152" s="105" t="s">
        <v>2246</v>
      </c>
    </row>
    <row r="153" spans="1:23" ht="13.5" customHeight="1" x14ac:dyDescent="0.25">
      <c r="A153" s="14" t="s">
        <v>2089</v>
      </c>
      <c r="B153" s="14" t="s">
        <v>478</v>
      </c>
      <c r="C153" s="19">
        <v>9425</v>
      </c>
      <c r="D153" s="14" t="s">
        <v>479</v>
      </c>
      <c r="E153" s="14" t="s">
        <v>420</v>
      </c>
      <c r="F153" s="14" t="s">
        <v>1109</v>
      </c>
      <c r="G153" s="14" t="s">
        <v>35</v>
      </c>
      <c r="H153" s="55">
        <v>1167395</v>
      </c>
      <c r="I153" s="55">
        <f>VLOOKUP(G153,'[1]Dispositivos exportados de HP W'!$C:$D,2,FALSE)</f>
        <v>1171198</v>
      </c>
      <c r="J153" s="55">
        <f t="shared" si="12"/>
        <v>3803</v>
      </c>
      <c r="K153" s="55">
        <f>VLOOKUP(G153,'[2]Dispositivos exportados de HP W'!$C:$D,2,FALSE)</f>
        <v>1175147</v>
      </c>
      <c r="L153" s="55">
        <f t="shared" si="13"/>
        <v>3949</v>
      </c>
      <c r="M153" s="55">
        <f>VLOOKUP(G153,'[3]Dispositivos exportados de HP W'!$C:$D,2,FALSE)</f>
        <v>1178478</v>
      </c>
      <c r="N153" s="55">
        <f t="shared" si="14"/>
        <v>3331</v>
      </c>
      <c r="O153" s="55">
        <f>VLOOKUP(G153,'[4]Dispositivos exportados de HP W'!$C:$D,2,FALSE)</f>
        <v>1182413</v>
      </c>
      <c r="P153" s="55">
        <f t="shared" si="15"/>
        <v>3935</v>
      </c>
      <c r="Q153" s="55">
        <f>VLOOKUP(G153,'[6]Dispositivos exportados de HP W'!$C:$D,2,FALSE)</f>
        <v>1184103</v>
      </c>
      <c r="R153" s="55">
        <f t="shared" si="16"/>
        <v>1690</v>
      </c>
      <c r="S153" s="90">
        <f t="shared" si="17"/>
        <v>16708</v>
      </c>
      <c r="T153" s="89">
        <v>46083</v>
      </c>
      <c r="U153" s="14"/>
      <c r="V153" s="105" t="s">
        <v>2383</v>
      </c>
      <c r="W153" s="105" t="str">
        <f>VLOOKUP(C153,'Status oficina'!$A$2:$C$208,3,FALSE)</f>
        <v>Activa</v>
      </c>
    </row>
    <row r="154" spans="1:23" ht="13.5" customHeight="1" x14ac:dyDescent="0.25">
      <c r="A154" s="14" t="s">
        <v>2089</v>
      </c>
      <c r="B154" s="14" t="s">
        <v>478</v>
      </c>
      <c r="C154" s="19">
        <v>9425</v>
      </c>
      <c r="D154" s="54" t="s">
        <v>481</v>
      </c>
      <c r="E154" s="14" t="s">
        <v>420</v>
      </c>
      <c r="F154" s="14" t="s">
        <v>1108</v>
      </c>
      <c r="G154" s="14" t="s">
        <v>11</v>
      </c>
      <c r="H154" s="55">
        <v>327142</v>
      </c>
      <c r="I154" s="55">
        <f>VLOOKUP(G154,'[1]Dispositivos exportados de HP W'!$C:$D,2,FALSE)</f>
        <v>327625</v>
      </c>
      <c r="J154" s="55">
        <f t="shared" si="12"/>
        <v>483</v>
      </c>
      <c r="K154" s="55">
        <f>VLOOKUP(G154,'[2]Dispositivos exportados de HP W'!$C:$D,2,FALSE)</f>
        <v>328278</v>
      </c>
      <c r="L154" s="55">
        <f t="shared" si="13"/>
        <v>653</v>
      </c>
      <c r="M154" s="55">
        <f>VLOOKUP(G154,'[3]Dispositivos exportados de HP W'!$C:$D,2,FALSE)</f>
        <v>328787</v>
      </c>
      <c r="N154" s="55">
        <f t="shared" si="14"/>
        <v>509</v>
      </c>
      <c r="O154" s="55">
        <f>VLOOKUP(G154,'[4]Dispositivos exportados de HP W'!$C:$D,2,FALSE)</f>
        <v>329340</v>
      </c>
      <c r="P154" s="55">
        <f t="shared" si="15"/>
        <v>553</v>
      </c>
      <c r="Q154" s="55">
        <f>VLOOKUP(G154,'[6]Dispositivos exportados de HP W'!$C:$D,2,FALSE)</f>
        <v>329520</v>
      </c>
      <c r="R154" s="55">
        <f t="shared" si="16"/>
        <v>180</v>
      </c>
      <c r="S154" s="90">
        <f t="shared" si="17"/>
        <v>2378</v>
      </c>
      <c r="T154" s="89">
        <v>46083</v>
      </c>
      <c r="U154" s="14"/>
      <c r="V154" s="105" t="s">
        <v>2383</v>
      </c>
      <c r="W154" s="105" t="str">
        <f>VLOOKUP(C154,'Status oficina'!$A$2:$C$208,3,FALSE)</f>
        <v>Activa</v>
      </c>
    </row>
    <row r="155" spans="1:23" ht="13.5" customHeight="1" x14ac:dyDescent="0.25">
      <c r="A155" s="14" t="s">
        <v>2089</v>
      </c>
      <c r="B155" s="14" t="s">
        <v>491</v>
      </c>
      <c r="C155" s="122">
        <v>9420</v>
      </c>
      <c r="D155" s="54" t="s">
        <v>492</v>
      </c>
      <c r="E155" s="14" t="s">
        <v>420</v>
      </c>
      <c r="F155" s="14" t="s">
        <v>1117</v>
      </c>
      <c r="G155" s="14" t="s">
        <v>240</v>
      </c>
      <c r="H155" s="55">
        <v>339739</v>
      </c>
      <c r="I155" s="55">
        <f>VLOOKUP(G155,'[1]Dispositivos exportados de HP W'!$C:$D,2,FALSE)</f>
        <v>339739</v>
      </c>
      <c r="J155" s="55">
        <f t="shared" si="12"/>
        <v>0</v>
      </c>
      <c r="K155" s="55">
        <f>VLOOKUP(G155,'[2]Dispositivos exportados de HP W'!$C:$D,2,FALSE)</f>
        <v>339739</v>
      </c>
      <c r="L155" s="55">
        <f t="shared" si="13"/>
        <v>0</v>
      </c>
      <c r="M155" s="55">
        <f>VLOOKUP(G155,'[3]Dispositivos exportados de HP W'!$C:$D,2,FALSE)</f>
        <v>339739</v>
      </c>
      <c r="N155" s="55">
        <f t="shared" si="14"/>
        <v>0</v>
      </c>
      <c r="O155" s="55">
        <f>VLOOKUP(G155,'[4]Dispositivos exportados de HP W'!$C:$D,2,FALSE)</f>
        <v>339739</v>
      </c>
      <c r="P155" s="55">
        <f t="shared" si="15"/>
        <v>0</v>
      </c>
      <c r="Q155" s="55">
        <f>VLOOKUP(G155,'[6]Dispositivos exportados de HP W'!$C:$D,2,FALSE)</f>
        <v>339739</v>
      </c>
      <c r="R155" s="55">
        <f t="shared" si="16"/>
        <v>0</v>
      </c>
      <c r="S155" s="90">
        <f t="shared" si="17"/>
        <v>0</v>
      </c>
      <c r="T155" s="89">
        <v>46083</v>
      </c>
      <c r="U155" s="14"/>
      <c r="V155" s="105" t="s">
        <v>2458</v>
      </c>
      <c r="W155" s="105" t="str">
        <f>VLOOKUP(C155,'Status oficina'!$A$2:$C$208,3,FALSE)</f>
        <v>Cierre definitivo</v>
      </c>
    </row>
    <row r="156" spans="1:23" ht="13.5" customHeight="1" x14ac:dyDescent="0.25">
      <c r="A156" s="14" t="s">
        <v>2089</v>
      </c>
      <c r="B156" s="14" t="s">
        <v>495</v>
      </c>
      <c r="C156" s="122">
        <v>9410</v>
      </c>
      <c r="D156" s="14" t="s">
        <v>496</v>
      </c>
      <c r="E156" s="14" t="s">
        <v>420</v>
      </c>
      <c r="F156" s="14" t="s">
        <v>1122</v>
      </c>
      <c r="G156" s="14" t="s">
        <v>163</v>
      </c>
      <c r="H156" s="55">
        <v>710625</v>
      </c>
      <c r="I156" s="55">
        <f>VLOOKUP(G156,'[1]Dispositivos exportados de HP W'!$C:$D,2,FALSE)</f>
        <v>712215</v>
      </c>
      <c r="J156" s="55">
        <f t="shared" si="12"/>
        <v>1590</v>
      </c>
      <c r="K156" s="55">
        <f>VLOOKUP(G156,'[2]Dispositivos exportados de HP W'!$C:$D,2,FALSE)</f>
        <v>713728</v>
      </c>
      <c r="L156" s="55">
        <f t="shared" si="13"/>
        <v>1513</v>
      </c>
      <c r="M156" s="55">
        <f>VLOOKUP(G156,'[3]Dispositivos exportados de HP W'!$C:$D,2,FALSE)</f>
        <v>715143</v>
      </c>
      <c r="N156" s="55">
        <f t="shared" si="14"/>
        <v>1415</v>
      </c>
      <c r="O156" s="55">
        <f>VLOOKUP(G156,'[4]Dispositivos exportados de HP W'!$C:$D,2,FALSE)</f>
        <v>717149</v>
      </c>
      <c r="P156" s="55">
        <f t="shared" si="15"/>
        <v>2006</v>
      </c>
      <c r="Q156" s="55">
        <f>VLOOKUP(G156,'[6]Dispositivos exportados de HP W'!$C:$D,2,FALSE)</f>
        <v>717890</v>
      </c>
      <c r="R156" s="55">
        <f t="shared" si="16"/>
        <v>741</v>
      </c>
      <c r="S156" s="90">
        <f t="shared" si="17"/>
        <v>7265</v>
      </c>
      <c r="T156" s="89">
        <v>46083</v>
      </c>
      <c r="U156" s="14"/>
      <c r="V156" s="105" t="s">
        <v>2383</v>
      </c>
      <c r="W156" s="105" t="str">
        <f>VLOOKUP(C156,'Status oficina'!$A$2:$C$208,3,FALSE)</f>
        <v>Activa</v>
      </c>
    </row>
    <row r="157" spans="1:23" ht="13.5" customHeight="1" x14ac:dyDescent="0.25">
      <c r="A157" s="14" t="s">
        <v>2089</v>
      </c>
      <c r="B157" s="14" t="s">
        <v>465</v>
      </c>
      <c r="C157" s="19">
        <v>9471</v>
      </c>
      <c r="D157" s="14" t="s">
        <v>466</v>
      </c>
      <c r="E157" s="14" t="s">
        <v>420</v>
      </c>
      <c r="F157" s="14" t="s">
        <v>1099</v>
      </c>
      <c r="G157" s="14" t="s">
        <v>74</v>
      </c>
      <c r="H157" s="55">
        <v>566260</v>
      </c>
      <c r="I157" s="55">
        <f>VLOOKUP(G157,'[1]Dispositivos exportados de HP W'!$C:$D,2,FALSE)</f>
        <v>566260</v>
      </c>
      <c r="J157" s="55">
        <f t="shared" si="12"/>
        <v>0</v>
      </c>
      <c r="K157" s="55">
        <f>VLOOKUP(G157,'[2]Dispositivos exportados de HP W'!$C:$D,2,FALSE)</f>
        <v>566260</v>
      </c>
      <c r="L157" s="55">
        <f t="shared" si="13"/>
        <v>0</v>
      </c>
      <c r="M157" s="55">
        <f>VLOOKUP(G157,'[3]Dispositivos exportados de HP W'!$C:$D,2,FALSE)</f>
        <v>566260</v>
      </c>
      <c r="N157" s="55">
        <f t="shared" si="14"/>
        <v>0</v>
      </c>
      <c r="O157" s="55">
        <f>VLOOKUP(G157,'[4]Dispositivos exportados de HP W'!$C:$D,2,FALSE)</f>
        <v>566260</v>
      </c>
      <c r="P157" s="55">
        <f t="shared" si="15"/>
        <v>0</v>
      </c>
      <c r="Q157" s="55">
        <f>VLOOKUP(G157,'[6]Dispositivos exportados de HP W'!$C:$D,2,FALSE)</f>
        <v>566260</v>
      </c>
      <c r="R157" s="55">
        <f t="shared" si="16"/>
        <v>0</v>
      </c>
      <c r="S157" s="90">
        <f t="shared" si="17"/>
        <v>0</v>
      </c>
      <c r="T157" s="89">
        <v>46083</v>
      </c>
      <c r="U157" s="14" t="s">
        <v>2465</v>
      </c>
      <c r="V157" s="108" t="s">
        <v>2383</v>
      </c>
      <c r="W157" s="105" t="str">
        <f>VLOOKUP(C157,'Status oficina'!$A$2:$C$208,3,FALSE)</f>
        <v>Cierre temporal</v>
      </c>
    </row>
    <row r="158" spans="1:23" ht="13.5" customHeight="1" x14ac:dyDescent="0.25">
      <c r="A158" s="14" t="s">
        <v>946</v>
      </c>
      <c r="B158" s="14" t="s">
        <v>1036</v>
      </c>
      <c r="C158" s="122">
        <v>9504</v>
      </c>
      <c r="D158" s="14" t="s">
        <v>1037</v>
      </c>
      <c r="E158" s="14" t="s">
        <v>420</v>
      </c>
      <c r="F158" s="14" t="s">
        <v>1069</v>
      </c>
      <c r="G158" s="14" t="s">
        <v>212</v>
      </c>
      <c r="H158" s="55">
        <v>591135</v>
      </c>
      <c r="I158" s="55">
        <f>VLOOKUP(G158,'[1]Dispositivos exportados de HP W'!$C:$D,2,FALSE)</f>
        <v>591135</v>
      </c>
      <c r="J158" s="55">
        <f t="shared" si="12"/>
        <v>0</v>
      </c>
      <c r="K158" s="55">
        <f>VLOOKUP(G158,'[2]Dispositivos exportados de HP W'!$C:$D,2,FALSE)</f>
        <v>591135</v>
      </c>
      <c r="L158" s="55">
        <f t="shared" si="13"/>
        <v>0</v>
      </c>
      <c r="M158" s="55">
        <f>VLOOKUP(G158,'[3]Dispositivos exportados de HP W'!$C:$D,2,FALSE)</f>
        <v>591135</v>
      </c>
      <c r="N158" s="55">
        <f t="shared" si="14"/>
        <v>0</v>
      </c>
      <c r="O158" s="55">
        <f>VLOOKUP(G158,'[4]Dispositivos exportados de HP W'!$C:$D,2,FALSE)</f>
        <v>591135</v>
      </c>
      <c r="P158" s="55">
        <f t="shared" si="15"/>
        <v>0</v>
      </c>
      <c r="Q158" s="55">
        <f>VLOOKUP(G158,'[6]Dispositivos exportados de HP W'!$C:$D,2,FALSE)</f>
        <v>591135</v>
      </c>
      <c r="R158" s="55">
        <f t="shared" si="16"/>
        <v>0</v>
      </c>
      <c r="S158" s="90">
        <f t="shared" si="17"/>
        <v>0</v>
      </c>
      <c r="T158" s="89">
        <v>46083</v>
      </c>
      <c r="U158" s="14" t="s">
        <v>2469</v>
      </c>
      <c r="V158" s="105" t="s">
        <v>2246</v>
      </c>
      <c r="W158" s="105" t="str">
        <f>VLOOKUP(C158,'Status oficina'!$A$2:$C$208,3,FALSE)</f>
        <v>Cierre definitivo</v>
      </c>
    </row>
    <row r="159" spans="1:23" ht="13.5" customHeight="1" x14ac:dyDescent="0.25">
      <c r="A159" s="14" t="s">
        <v>2089</v>
      </c>
      <c r="B159" s="14" t="s">
        <v>468</v>
      </c>
      <c r="C159" s="19">
        <v>9440</v>
      </c>
      <c r="D159" s="14" t="s">
        <v>469</v>
      </c>
      <c r="E159" s="14" t="s">
        <v>420</v>
      </c>
      <c r="F159" s="14" t="s">
        <v>1102</v>
      </c>
      <c r="G159" s="14" t="s">
        <v>85</v>
      </c>
      <c r="H159" s="55">
        <v>734604</v>
      </c>
      <c r="I159" s="55">
        <f>VLOOKUP(G159,'[1]Dispositivos exportados de HP W'!$C:$D,2,FALSE)</f>
        <v>735515</v>
      </c>
      <c r="J159" s="55">
        <f t="shared" si="12"/>
        <v>911</v>
      </c>
      <c r="K159" s="55">
        <f>VLOOKUP(G159,'[2]Dispositivos exportados de HP W'!$C:$D,2,FALSE)</f>
        <v>736793</v>
      </c>
      <c r="L159" s="55">
        <f t="shared" si="13"/>
        <v>1278</v>
      </c>
      <c r="M159" s="55">
        <f>VLOOKUP(G159,'[3]Dispositivos exportados de HP W'!$C:$D,2,FALSE)</f>
        <v>737488</v>
      </c>
      <c r="N159" s="55">
        <f t="shared" si="14"/>
        <v>695</v>
      </c>
      <c r="O159" s="55">
        <f>VLOOKUP(G159,'[4]Dispositivos exportados de HP W'!$C:$D,2,FALSE)</f>
        <v>738910</v>
      </c>
      <c r="P159" s="55">
        <f t="shared" si="15"/>
        <v>1422</v>
      </c>
      <c r="Q159" s="55">
        <f>VLOOKUP(G159,'[6]Dispositivos exportados de HP W'!$C:$D,2,FALSE)</f>
        <v>739385</v>
      </c>
      <c r="R159" s="55">
        <f t="shared" si="16"/>
        <v>475</v>
      </c>
      <c r="S159" s="90">
        <f t="shared" si="17"/>
        <v>4781</v>
      </c>
      <c r="T159" s="89">
        <v>46083</v>
      </c>
      <c r="U159" s="14"/>
      <c r="V159" s="105" t="s">
        <v>2383</v>
      </c>
      <c r="W159" s="105" t="str">
        <f>VLOOKUP(C159,'Status oficina'!$A$2:$C$208,3,FALSE)</f>
        <v>Activa</v>
      </c>
    </row>
    <row r="160" spans="1:23" ht="13.5" customHeight="1" x14ac:dyDescent="0.25">
      <c r="A160" s="14" t="s">
        <v>2089</v>
      </c>
      <c r="B160" s="14" t="s">
        <v>488</v>
      </c>
      <c r="C160" s="120">
        <v>9420</v>
      </c>
      <c r="D160" s="14" t="s">
        <v>493</v>
      </c>
      <c r="E160" s="14" t="s">
        <v>420</v>
      </c>
      <c r="F160" s="14" t="s">
        <v>1118</v>
      </c>
      <c r="G160" s="14" t="s">
        <v>249</v>
      </c>
      <c r="H160" s="55">
        <v>579739</v>
      </c>
      <c r="I160" s="55">
        <f>VLOOKUP(G160,'[1]Dispositivos exportados de HP W'!$C:$D,2,FALSE)</f>
        <v>579739</v>
      </c>
      <c r="J160" s="55">
        <f t="shared" si="12"/>
        <v>0</v>
      </c>
      <c r="K160" s="55">
        <f>VLOOKUP(G160,'[2]Dispositivos exportados de HP W'!$C:$D,2,FALSE)</f>
        <v>579739</v>
      </c>
      <c r="L160" s="55">
        <f t="shared" si="13"/>
        <v>0</v>
      </c>
      <c r="M160" s="55">
        <f>VLOOKUP(G160,'[3]Dispositivos exportados de HP W'!$C:$D,2,FALSE)</f>
        <v>579739</v>
      </c>
      <c r="N160" s="55">
        <f t="shared" si="14"/>
        <v>0</v>
      </c>
      <c r="O160" s="55">
        <f>VLOOKUP(G160,'[4]Dispositivos exportados de HP W'!$C:$D,2,FALSE)</f>
        <v>579739</v>
      </c>
      <c r="P160" s="55">
        <f t="shared" si="15"/>
        <v>0</v>
      </c>
      <c r="Q160" s="55">
        <f>VLOOKUP(G160,'[6]Dispositivos exportados de HP W'!$C:$D,2,FALSE)</f>
        <v>579739</v>
      </c>
      <c r="R160" s="55">
        <f t="shared" si="16"/>
        <v>0</v>
      </c>
      <c r="S160" s="90">
        <f t="shared" si="17"/>
        <v>0</v>
      </c>
      <c r="T160" s="89">
        <v>46083</v>
      </c>
      <c r="U160" s="14"/>
      <c r="V160" s="105" t="s">
        <v>2458</v>
      </c>
      <c r="W160" s="105" t="str">
        <f>VLOOKUP(C160,'Status oficina'!$A$2:$C$208,3,FALSE)</f>
        <v>Cierre definitivo</v>
      </c>
    </row>
    <row r="161" spans="1:23" ht="13.5" customHeight="1" x14ac:dyDescent="0.25">
      <c r="A161" s="14" t="s">
        <v>2089</v>
      </c>
      <c r="B161" s="14" t="s">
        <v>501</v>
      </c>
      <c r="C161" s="120">
        <v>9470</v>
      </c>
      <c r="D161" s="14" t="s">
        <v>503</v>
      </c>
      <c r="E161" s="14" t="s">
        <v>420</v>
      </c>
      <c r="F161" s="14" t="s">
        <v>1127</v>
      </c>
      <c r="G161" s="14" t="s">
        <v>166</v>
      </c>
      <c r="H161" s="55">
        <v>638811</v>
      </c>
      <c r="I161" s="55">
        <f>VLOOKUP(G161,'[1]Dispositivos exportados de HP W'!$C:$D,2,FALSE)</f>
        <v>641512</v>
      </c>
      <c r="J161" s="55">
        <f t="shared" si="12"/>
        <v>2701</v>
      </c>
      <c r="K161" s="55">
        <f>VLOOKUP(G161,'[2]Dispositivos exportados de HP W'!$C:$D,2,FALSE)</f>
        <v>643950</v>
      </c>
      <c r="L161" s="55">
        <f t="shared" si="13"/>
        <v>2438</v>
      </c>
      <c r="M161" s="55">
        <f>VLOOKUP(G161,'[3]Dispositivos exportados de HP W'!$C:$D,2,FALSE)</f>
        <v>646037</v>
      </c>
      <c r="N161" s="55">
        <f t="shared" si="14"/>
        <v>2087</v>
      </c>
      <c r="O161" s="55">
        <f>VLOOKUP(G161,'[4]Dispositivos exportados de HP W'!$C:$D,2,FALSE)</f>
        <v>648591</v>
      </c>
      <c r="P161" s="55">
        <f t="shared" si="15"/>
        <v>2554</v>
      </c>
      <c r="Q161" s="55">
        <f>VLOOKUP(G161,'[6]Dispositivos exportados de HP W'!$C:$D,2,FALSE)</f>
        <v>649651</v>
      </c>
      <c r="R161" s="55">
        <f t="shared" si="16"/>
        <v>1060</v>
      </c>
      <c r="S161" s="90">
        <f t="shared" si="17"/>
        <v>10840</v>
      </c>
      <c r="T161" s="89">
        <v>46083</v>
      </c>
      <c r="U161" s="14"/>
      <c r="V161" s="108" t="s">
        <v>2383</v>
      </c>
      <c r="W161" s="105" t="str">
        <f>VLOOKUP(C161,'Status oficina'!$A$2:$C$208,3,FALSE)</f>
        <v>Activa</v>
      </c>
    </row>
    <row r="162" spans="1:23" ht="13.5" customHeight="1" x14ac:dyDescent="0.25">
      <c r="A162" s="54" t="s">
        <v>2089</v>
      </c>
      <c r="B162" s="14" t="s">
        <v>509</v>
      </c>
      <c r="C162" s="120">
        <v>9472</v>
      </c>
      <c r="D162" s="14" t="s">
        <v>511</v>
      </c>
      <c r="E162" s="14" t="s">
        <v>420</v>
      </c>
      <c r="F162" s="14" t="s">
        <v>1135</v>
      </c>
      <c r="G162" s="14" t="s">
        <v>220</v>
      </c>
      <c r="H162" s="55">
        <v>735724</v>
      </c>
      <c r="I162" s="55">
        <f>VLOOKUP(G162,'[1]Dispositivos exportados de HP W'!$C:$D,2,FALSE)</f>
        <v>737367</v>
      </c>
      <c r="J162" s="55">
        <f t="shared" si="12"/>
        <v>1643</v>
      </c>
      <c r="K162" s="55">
        <f>VLOOKUP(G162,'[2]Dispositivos exportados de HP W'!$C:$D,2,FALSE)</f>
        <v>739105</v>
      </c>
      <c r="L162" s="55">
        <f t="shared" si="13"/>
        <v>1738</v>
      </c>
      <c r="M162" s="55">
        <f>VLOOKUP(G162,'[3]Dispositivos exportados de HP W'!$C:$D,2,FALSE)</f>
        <v>740442</v>
      </c>
      <c r="N162" s="55">
        <f t="shared" si="14"/>
        <v>1337</v>
      </c>
      <c r="O162" s="55">
        <f>VLOOKUP(G162,'[4]Dispositivos exportados de HP W'!$C:$D,2,FALSE)</f>
        <v>742000</v>
      </c>
      <c r="P162" s="55">
        <f t="shared" si="15"/>
        <v>1558</v>
      </c>
      <c r="Q162" s="55">
        <f>VLOOKUP(G162,'[6]Dispositivos exportados de HP W'!$C:$D,2,FALSE)</f>
        <v>742669</v>
      </c>
      <c r="R162" s="55">
        <f t="shared" si="16"/>
        <v>669</v>
      </c>
      <c r="S162" s="90">
        <f t="shared" si="17"/>
        <v>6945</v>
      </c>
      <c r="T162" s="89">
        <v>46083</v>
      </c>
      <c r="U162" s="14"/>
      <c r="V162" s="108" t="s">
        <v>2383</v>
      </c>
      <c r="W162" s="105" t="str">
        <f>VLOOKUP(C162,'Status oficina'!$A$2:$C$208,3,FALSE)</f>
        <v>Activa</v>
      </c>
    </row>
    <row r="163" spans="1:23" ht="13.5" customHeight="1" x14ac:dyDescent="0.25">
      <c r="A163" s="14" t="s">
        <v>946</v>
      </c>
      <c r="B163" s="14" t="s">
        <v>1041</v>
      </c>
      <c r="C163" s="19">
        <v>9518</v>
      </c>
      <c r="D163" s="53" t="s">
        <v>2090</v>
      </c>
      <c r="E163" s="53" t="s">
        <v>420</v>
      </c>
      <c r="F163" s="53" t="s">
        <v>1408</v>
      </c>
      <c r="G163" s="53" t="s">
        <v>2091</v>
      </c>
      <c r="H163" s="55">
        <v>110506</v>
      </c>
      <c r="I163" s="55">
        <f>VLOOKUP(G163,'[1]Dispositivos exportados de HP W'!$C:$D,2,FALSE)</f>
        <v>110506</v>
      </c>
      <c r="J163" s="55">
        <f t="shared" si="12"/>
        <v>0</v>
      </c>
      <c r="K163" s="55">
        <f>VLOOKUP(G163,'[2]Dispositivos exportados de HP W'!$C:$D,2,FALSE)</f>
        <v>110506</v>
      </c>
      <c r="L163" s="55">
        <f t="shared" si="13"/>
        <v>0</v>
      </c>
      <c r="M163" s="55">
        <f>VLOOKUP(G163,'[3]Dispositivos exportados de HP W'!$C:$D,2,FALSE)</f>
        <v>110506</v>
      </c>
      <c r="N163" s="55">
        <f t="shared" si="14"/>
        <v>0</v>
      </c>
      <c r="O163" s="55">
        <f>VLOOKUP(G163,'[4]Dispositivos exportados de HP W'!$C:$D,2,FALSE)</f>
        <v>110506</v>
      </c>
      <c r="P163" s="55">
        <f t="shared" si="15"/>
        <v>0</v>
      </c>
      <c r="Q163" s="55">
        <f>VLOOKUP(G163,'[6]Dispositivos exportados de HP W'!$C:$D,2,FALSE)</f>
        <v>110506</v>
      </c>
      <c r="R163" s="55">
        <f t="shared" si="16"/>
        <v>0</v>
      </c>
      <c r="S163" s="90">
        <f t="shared" si="17"/>
        <v>0</v>
      </c>
      <c r="T163" s="89">
        <v>46083</v>
      </c>
      <c r="U163" s="14" t="s">
        <v>2424</v>
      </c>
      <c r="V163" s="105" t="s">
        <v>2239</v>
      </c>
      <c r="W163" s="105" t="str">
        <f>VLOOKUP(C163,'Status oficina'!$A$2:$C$208,3,FALSE)</f>
        <v>Cierre temporal</v>
      </c>
    </row>
    <row r="164" spans="1:23" ht="13.5" customHeight="1" x14ac:dyDescent="0.25">
      <c r="A164" s="14" t="s">
        <v>946</v>
      </c>
      <c r="B164" s="14" t="s">
        <v>1038</v>
      </c>
      <c r="C164" s="125">
        <v>9612</v>
      </c>
      <c r="D164" s="14" t="s">
        <v>1040</v>
      </c>
      <c r="E164" s="14" t="s">
        <v>416</v>
      </c>
      <c r="F164" s="53" t="s">
        <v>1455</v>
      </c>
      <c r="G164" s="53" t="s">
        <v>71</v>
      </c>
      <c r="H164" s="55">
        <v>148458</v>
      </c>
      <c r="I164" s="55">
        <f>VLOOKUP(G164,'[1]Dispositivos exportados de HP W'!$C:$D,2,FALSE)</f>
        <v>148458</v>
      </c>
      <c r="J164" s="55">
        <f t="shared" si="12"/>
        <v>0</v>
      </c>
      <c r="K164" s="55">
        <f>VLOOKUP(G164,'[2]Dispositivos exportados de HP W'!$C:$D,2,FALSE)</f>
        <v>148516</v>
      </c>
      <c r="L164" s="55">
        <f t="shared" si="13"/>
        <v>58</v>
      </c>
      <c r="M164" s="55">
        <f>VLOOKUP(G164,'[3]Dispositivos exportados de HP W'!$C:$D,2,FALSE)</f>
        <v>148814</v>
      </c>
      <c r="N164" s="55">
        <f t="shared" si="14"/>
        <v>298</v>
      </c>
      <c r="O164" s="55">
        <f>VLOOKUP(G164,'[4]Dispositivos exportados de HP W'!$C:$D,2,FALSE)</f>
        <v>149162</v>
      </c>
      <c r="P164" s="55">
        <f t="shared" si="15"/>
        <v>348</v>
      </c>
      <c r="Q164" s="55">
        <f>VLOOKUP(G164,'[6]Dispositivos exportados de HP W'!$C:$D,2,FALSE)</f>
        <v>149215</v>
      </c>
      <c r="R164" s="55">
        <f t="shared" si="16"/>
        <v>53</v>
      </c>
      <c r="S164" s="90">
        <f t="shared" si="17"/>
        <v>757</v>
      </c>
      <c r="T164" s="89">
        <v>46083</v>
      </c>
      <c r="U164" s="14" t="s">
        <v>2472</v>
      </c>
      <c r="V164" s="105" t="s">
        <v>2383</v>
      </c>
      <c r="W164" s="105" t="str">
        <f>VLOOKUP(C164,'Status oficina'!$A$2:$C$208,3,FALSE)</f>
        <v>Activa</v>
      </c>
    </row>
    <row r="165" spans="1:23" ht="13.5" customHeight="1" x14ac:dyDescent="0.25">
      <c r="A165" s="14" t="s">
        <v>2089</v>
      </c>
      <c r="B165" s="14" t="s">
        <v>507</v>
      </c>
      <c r="C165" s="120">
        <v>9430</v>
      </c>
      <c r="D165" s="14" t="s">
        <v>508</v>
      </c>
      <c r="E165" s="14" t="s">
        <v>420</v>
      </c>
      <c r="F165" s="14" t="s">
        <v>1133</v>
      </c>
      <c r="G165" s="14" t="s">
        <v>132</v>
      </c>
      <c r="H165" s="55">
        <v>703351</v>
      </c>
      <c r="I165" s="55">
        <f>VLOOKUP(G165,'[1]Dispositivos exportados de HP W'!$C:$D,2,FALSE)</f>
        <v>705322</v>
      </c>
      <c r="J165" s="55">
        <f t="shared" si="12"/>
        <v>1971</v>
      </c>
      <c r="K165" s="55">
        <f>VLOOKUP(G165,'[2]Dispositivos exportados de HP W'!$C:$D,2,FALSE)</f>
        <v>707195</v>
      </c>
      <c r="L165" s="55">
        <f t="shared" si="13"/>
        <v>1873</v>
      </c>
      <c r="M165" s="55">
        <f>VLOOKUP(G165,'[3]Dispositivos exportados de HP W'!$C:$D,2,FALSE)</f>
        <v>708448</v>
      </c>
      <c r="N165" s="55">
        <f t="shared" si="14"/>
        <v>1253</v>
      </c>
      <c r="O165" s="55">
        <f>VLOOKUP(G165,'[4]Dispositivos exportados de HP W'!$C:$D,2,FALSE)</f>
        <v>710071</v>
      </c>
      <c r="P165" s="55">
        <f t="shared" si="15"/>
        <v>1623</v>
      </c>
      <c r="Q165" s="55">
        <f>VLOOKUP(G165,'[6]Dispositivos exportados de HP W'!$C:$D,2,FALSE)</f>
        <v>710661</v>
      </c>
      <c r="R165" s="55">
        <f t="shared" si="16"/>
        <v>590</v>
      </c>
      <c r="S165" s="90">
        <f t="shared" si="17"/>
        <v>7310</v>
      </c>
      <c r="T165" s="89">
        <v>46083</v>
      </c>
      <c r="U165" s="14"/>
      <c r="V165" s="105" t="s">
        <v>2383</v>
      </c>
      <c r="W165" s="105" t="str">
        <f>VLOOKUP(C165,'Status oficina'!$A$2:$C$208,3,FALSE)</f>
        <v>Activa</v>
      </c>
    </row>
    <row r="166" spans="1:23" ht="13.5" customHeight="1" x14ac:dyDescent="0.25">
      <c r="A166" s="14" t="s">
        <v>946</v>
      </c>
      <c r="B166" s="14" t="s">
        <v>1027</v>
      </c>
      <c r="C166" s="22">
        <v>9530</v>
      </c>
      <c r="D166" s="14" t="s">
        <v>2104</v>
      </c>
      <c r="E166" s="15" t="s">
        <v>416</v>
      </c>
      <c r="F166" s="14" t="s">
        <v>1447</v>
      </c>
      <c r="G166" s="1"/>
      <c r="H166" s="55">
        <v>299170</v>
      </c>
      <c r="I166" s="55">
        <v>299170</v>
      </c>
      <c r="J166" s="55">
        <f t="shared" si="12"/>
        <v>0</v>
      </c>
      <c r="K166" s="55">
        <v>299170</v>
      </c>
      <c r="L166" s="55">
        <f t="shared" si="13"/>
        <v>0</v>
      </c>
      <c r="M166" s="55">
        <v>299170</v>
      </c>
      <c r="N166" s="55">
        <f t="shared" si="14"/>
        <v>0</v>
      </c>
      <c r="O166" s="55">
        <v>299170</v>
      </c>
      <c r="P166" s="55">
        <f t="shared" si="15"/>
        <v>0</v>
      </c>
      <c r="Q166" s="55">
        <v>299170</v>
      </c>
      <c r="R166" s="55">
        <f t="shared" si="16"/>
        <v>0</v>
      </c>
      <c r="S166" s="90">
        <f t="shared" si="17"/>
        <v>0</v>
      </c>
      <c r="T166" s="89">
        <v>46083</v>
      </c>
      <c r="U166" s="14" t="s">
        <v>2105</v>
      </c>
      <c r="V166" s="105" t="s">
        <v>2382</v>
      </c>
      <c r="W166" s="105" t="str">
        <f>VLOOKUP(C166,'Status oficina'!$A$2:$C$208,3,FALSE)</f>
        <v>Activa</v>
      </c>
    </row>
    <row r="167" spans="1:23" ht="13.5" customHeight="1" x14ac:dyDescent="0.25">
      <c r="A167" s="14" t="s">
        <v>2089</v>
      </c>
      <c r="B167" s="14" t="s">
        <v>504</v>
      </c>
      <c r="C167" s="120">
        <v>9461</v>
      </c>
      <c r="D167" s="14" t="s">
        <v>505</v>
      </c>
      <c r="E167" s="14" t="s">
        <v>420</v>
      </c>
      <c r="F167" s="14" t="s">
        <v>1129</v>
      </c>
      <c r="G167" s="14" t="s">
        <v>152</v>
      </c>
      <c r="H167" s="55">
        <v>521525</v>
      </c>
      <c r="I167" s="55">
        <f>VLOOKUP(G167,'[1]Dispositivos exportados de HP W'!$C:$D,2,FALSE)</f>
        <v>522972</v>
      </c>
      <c r="J167" s="55">
        <f t="shared" si="12"/>
        <v>1447</v>
      </c>
      <c r="K167" s="55">
        <f>VLOOKUP(G167,'[2]Dispositivos exportados de HP W'!$C:$D,2,FALSE)</f>
        <v>523812</v>
      </c>
      <c r="L167" s="55">
        <f t="shared" si="13"/>
        <v>840</v>
      </c>
      <c r="M167" s="55">
        <f>VLOOKUP(G167,'[3]Dispositivos exportados de HP W'!$C:$D,2,FALSE)</f>
        <v>524604</v>
      </c>
      <c r="N167" s="55">
        <f t="shared" si="14"/>
        <v>792</v>
      </c>
      <c r="O167" s="55">
        <f>VLOOKUP(G167,'[4]Dispositivos exportados de HP W'!$C:$D,2,FALSE)</f>
        <v>525413</v>
      </c>
      <c r="P167" s="55">
        <f t="shared" si="15"/>
        <v>809</v>
      </c>
      <c r="Q167" s="55">
        <f>VLOOKUP(G167,'[6]Dispositivos exportados de HP W'!$C:$D,2,FALSE)</f>
        <v>525772</v>
      </c>
      <c r="R167" s="55">
        <f t="shared" si="16"/>
        <v>359</v>
      </c>
      <c r="S167" s="90">
        <f t="shared" si="17"/>
        <v>4247</v>
      </c>
      <c r="T167" s="89">
        <v>46083</v>
      </c>
      <c r="U167" s="14"/>
      <c r="V167" s="105" t="s">
        <v>2383</v>
      </c>
      <c r="W167" s="105" t="str">
        <f>VLOOKUP(C167,'Status oficina'!$A$2:$C$208,3,FALSE)</f>
        <v>Activa</v>
      </c>
    </row>
    <row r="168" spans="1:23" ht="13.5" customHeight="1" x14ac:dyDescent="0.25">
      <c r="A168" s="14" t="s">
        <v>2089</v>
      </c>
      <c r="B168" s="14" t="s">
        <v>514</v>
      </c>
      <c r="C168" s="120">
        <v>9405</v>
      </c>
      <c r="D168" s="14" t="s">
        <v>515</v>
      </c>
      <c r="E168" s="14" t="s">
        <v>420</v>
      </c>
      <c r="F168" s="14" t="s">
        <v>1138</v>
      </c>
      <c r="G168" s="14" t="s">
        <v>384</v>
      </c>
      <c r="H168" s="55">
        <v>431572</v>
      </c>
      <c r="I168" s="55">
        <f>VLOOKUP(G168,'[1]Dispositivos exportados de HP W'!$C:$D,2,FALSE)</f>
        <v>432317</v>
      </c>
      <c r="J168" s="55">
        <f t="shared" si="12"/>
        <v>745</v>
      </c>
      <c r="K168" s="55">
        <f>VLOOKUP(G168,'[2]Dispositivos exportados de HP W'!$C:$D,2,FALSE)</f>
        <v>433057</v>
      </c>
      <c r="L168" s="55">
        <f t="shared" si="13"/>
        <v>740</v>
      </c>
      <c r="M168" s="55">
        <f>VLOOKUP(G168,'[3]Dispositivos exportados de HP W'!$C:$D,2,FALSE)</f>
        <v>433547</v>
      </c>
      <c r="N168" s="55">
        <f t="shared" si="14"/>
        <v>490</v>
      </c>
      <c r="O168" s="55">
        <f>VLOOKUP(G168,'[4]Dispositivos exportados de HP W'!$C:$D,2,FALSE)</f>
        <v>434112</v>
      </c>
      <c r="P168" s="55">
        <f t="shared" si="15"/>
        <v>565</v>
      </c>
      <c r="Q168" s="55">
        <f>VLOOKUP(G168,'[6]Dispositivos exportados de HP W'!$C:$D,2,FALSE)</f>
        <v>434249</v>
      </c>
      <c r="R168" s="55">
        <f t="shared" si="16"/>
        <v>137</v>
      </c>
      <c r="S168" s="90">
        <f t="shared" si="17"/>
        <v>2677</v>
      </c>
      <c r="T168" s="89">
        <v>46083</v>
      </c>
      <c r="U168" s="14"/>
      <c r="V168" s="105" t="s">
        <v>2383</v>
      </c>
      <c r="W168" s="105" t="str">
        <f>VLOOKUP(C168,'Status oficina'!$A$2:$C$208,3,FALSE)</f>
        <v>Activa</v>
      </c>
    </row>
    <row r="169" spans="1:23" ht="13.5" customHeight="1" x14ac:dyDescent="0.25">
      <c r="A169" s="14" t="s">
        <v>2089</v>
      </c>
      <c r="B169" s="14" t="s">
        <v>478</v>
      </c>
      <c r="C169" s="19">
        <v>9425</v>
      </c>
      <c r="D169" s="14" t="s">
        <v>483</v>
      </c>
      <c r="E169" s="14" t="s">
        <v>420</v>
      </c>
      <c r="F169" s="14" t="s">
        <v>1111</v>
      </c>
      <c r="G169" s="14" t="s">
        <v>98</v>
      </c>
      <c r="H169" s="55">
        <v>285652</v>
      </c>
      <c r="I169" s="55">
        <f>VLOOKUP(G169,'[1]Dispositivos exportados de HP W'!$C:$D,2,FALSE)</f>
        <v>286147</v>
      </c>
      <c r="J169" s="55">
        <f t="shared" si="12"/>
        <v>495</v>
      </c>
      <c r="K169" s="55">
        <f>VLOOKUP(G169,'[2]Dispositivos exportados de HP W'!$C:$D,2,FALSE)</f>
        <v>287050</v>
      </c>
      <c r="L169" s="55">
        <f t="shared" si="13"/>
        <v>903</v>
      </c>
      <c r="M169" s="55">
        <f>VLOOKUP(G169,'[3]Dispositivos exportados de HP W'!$C:$D,2,FALSE)</f>
        <v>287720</v>
      </c>
      <c r="N169" s="55">
        <f t="shared" si="14"/>
        <v>670</v>
      </c>
      <c r="O169" s="55">
        <f>VLOOKUP(G169,'[4]Dispositivos exportados de HP W'!$C:$D,2,FALSE)</f>
        <v>288066</v>
      </c>
      <c r="P169" s="55">
        <f t="shared" si="15"/>
        <v>346</v>
      </c>
      <c r="Q169" s="55">
        <f>VLOOKUP(G169,'[6]Dispositivos exportados de HP W'!$C:$D,2,FALSE)</f>
        <v>288312</v>
      </c>
      <c r="R169" s="55">
        <f t="shared" si="16"/>
        <v>246</v>
      </c>
      <c r="S169" s="90">
        <f t="shared" si="17"/>
        <v>2660</v>
      </c>
      <c r="T169" s="89">
        <v>46083</v>
      </c>
      <c r="U169" s="14"/>
      <c r="V169" s="105" t="s">
        <v>2383</v>
      </c>
      <c r="W169" s="105" t="str">
        <f>VLOOKUP(C169,'Status oficina'!$A$2:$C$208,3,FALSE)</f>
        <v>Activa</v>
      </c>
    </row>
    <row r="170" spans="1:23" ht="13.5" customHeight="1" x14ac:dyDescent="0.25">
      <c r="A170" s="53" t="s">
        <v>2450</v>
      </c>
      <c r="B170" s="14" t="s">
        <v>761</v>
      </c>
      <c r="C170" s="120">
        <v>9211</v>
      </c>
      <c r="D170" s="14" t="s">
        <v>762</v>
      </c>
      <c r="E170" s="14" t="s">
        <v>420</v>
      </c>
      <c r="F170" s="14" t="s">
        <v>1276</v>
      </c>
      <c r="G170" s="14" t="s">
        <v>185</v>
      </c>
      <c r="H170" s="55">
        <v>527228</v>
      </c>
      <c r="I170" s="55">
        <f>VLOOKUP(G170,'[1]Dispositivos exportados de HP W'!$C:$D,2,FALSE)</f>
        <v>528625</v>
      </c>
      <c r="J170" s="55">
        <f t="shared" si="12"/>
        <v>1397</v>
      </c>
      <c r="K170" s="55">
        <f>VLOOKUP(G170,'[2]Dispositivos exportados de HP W'!$C:$D,2,FALSE)</f>
        <v>529697</v>
      </c>
      <c r="L170" s="55">
        <f t="shared" si="13"/>
        <v>1072</v>
      </c>
      <c r="M170" s="55">
        <f>VLOOKUP(G170,'[3]Dispositivos exportados de HP W'!$C:$D,2,FALSE)</f>
        <v>530589</v>
      </c>
      <c r="N170" s="55">
        <f t="shared" si="14"/>
        <v>892</v>
      </c>
      <c r="O170" s="55">
        <f>VLOOKUP(G170,'[4]Dispositivos exportados de HP W'!$C:$D,2,FALSE)</f>
        <v>531964</v>
      </c>
      <c r="P170" s="55">
        <f t="shared" si="15"/>
        <v>1375</v>
      </c>
      <c r="Q170" s="55">
        <f>VLOOKUP(G170,'[6]Dispositivos exportados de HP W'!$C:$D,2,FALSE)</f>
        <v>532504</v>
      </c>
      <c r="R170" s="55">
        <f t="shared" si="16"/>
        <v>540</v>
      </c>
      <c r="S170" s="90">
        <f t="shared" si="17"/>
        <v>5276</v>
      </c>
      <c r="T170" s="89">
        <v>46083</v>
      </c>
      <c r="U170" s="14"/>
      <c r="V170" s="108" t="s">
        <v>2383</v>
      </c>
      <c r="W170" s="105" t="str">
        <f>VLOOKUP(C170,'Status oficina'!$A$2:$C$208,3,FALSE)</f>
        <v>Activa</v>
      </c>
    </row>
    <row r="171" spans="1:23" ht="13.5" customHeight="1" x14ac:dyDescent="0.25">
      <c r="A171" s="53" t="s">
        <v>2450</v>
      </c>
      <c r="B171" s="14" t="s">
        <v>742</v>
      </c>
      <c r="C171" s="22">
        <v>9345</v>
      </c>
      <c r="D171" s="14" t="s">
        <v>741</v>
      </c>
      <c r="E171" s="14" t="s">
        <v>420</v>
      </c>
      <c r="F171" s="14" t="s">
        <v>1264</v>
      </c>
      <c r="G171" s="14" t="s">
        <v>376</v>
      </c>
      <c r="H171" s="55">
        <v>748586</v>
      </c>
      <c r="I171" s="55">
        <f>VLOOKUP(G171,'[1]Dispositivos exportados de HP W'!$C:$D,2,FALSE)</f>
        <v>750204</v>
      </c>
      <c r="J171" s="55">
        <f t="shared" si="12"/>
        <v>1618</v>
      </c>
      <c r="K171" s="55">
        <f>VLOOKUP(G171,'[2]Dispositivos exportados de HP W'!$C:$D,2,FALSE)</f>
        <v>752065</v>
      </c>
      <c r="L171" s="55">
        <f t="shared" si="13"/>
        <v>1861</v>
      </c>
      <c r="M171" s="55">
        <f>VLOOKUP(G171,'[3]Dispositivos exportados de HP W'!$C:$D,2,FALSE)</f>
        <v>753529</v>
      </c>
      <c r="N171" s="55">
        <f t="shared" si="14"/>
        <v>1464</v>
      </c>
      <c r="O171" s="55">
        <f>VLOOKUP(G171,'[4]Dispositivos exportados de HP W'!$C:$D,2,FALSE)</f>
        <v>755111</v>
      </c>
      <c r="P171" s="55">
        <f t="shared" si="15"/>
        <v>1582</v>
      </c>
      <c r="Q171" s="55">
        <f>VLOOKUP(G171,'[6]Dispositivos exportados de HP W'!$C:$D,2,FALSE)</f>
        <v>755857</v>
      </c>
      <c r="R171" s="55">
        <f t="shared" si="16"/>
        <v>746</v>
      </c>
      <c r="S171" s="90">
        <f t="shared" si="17"/>
        <v>7271</v>
      </c>
      <c r="T171" s="89">
        <v>46083</v>
      </c>
      <c r="U171" s="14" t="s">
        <v>2461</v>
      </c>
      <c r="V171" s="105" t="s">
        <v>2383</v>
      </c>
      <c r="W171" s="105" t="s">
        <v>2236</v>
      </c>
    </row>
    <row r="172" spans="1:23" ht="13.5" customHeight="1" x14ac:dyDescent="0.25">
      <c r="A172" s="14" t="s">
        <v>2089</v>
      </c>
      <c r="B172" s="14" t="s">
        <v>546</v>
      </c>
      <c r="C172" s="120">
        <v>9312</v>
      </c>
      <c r="D172" s="14" t="s">
        <v>547</v>
      </c>
      <c r="E172" s="14" t="s">
        <v>420</v>
      </c>
      <c r="F172" s="14" t="s">
        <v>1157</v>
      </c>
      <c r="G172" s="14" t="s">
        <v>289</v>
      </c>
      <c r="H172" s="55">
        <v>1277351</v>
      </c>
      <c r="I172" s="55">
        <v>1279617</v>
      </c>
      <c r="J172" s="55">
        <f t="shared" si="12"/>
        <v>2266</v>
      </c>
      <c r="K172" s="55">
        <v>1281774</v>
      </c>
      <c r="L172" s="55">
        <f t="shared" si="13"/>
        <v>2157</v>
      </c>
      <c r="M172" s="55">
        <v>1283258</v>
      </c>
      <c r="N172" s="55">
        <f t="shared" si="14"/>
        <v>1484</v>
      </c>
      <c r="O172" s="55">
        <v>1284953</v>
      </c>
      <c r="P172" s="55">
        <f t="shared" si="15"/>
        <v>1695</v>
      </c>
      <c r="Q172" s="55">
        <v>1285784</v>
      </c>
      <c r="R172" s="55">
        <f t="shared" si="16"/>
        <v>831</v>
      </c>
      <c r="S172" s="90">
        <f t="shared" si="17"/>
        <v>8433</v>
      </c>
      <c r="T172" s="89">
        <v>46083</v>
      </c>
      <c r="U172" s="14"/>
      <c r="V172" s="105" t="s">
        <v>2383</v>
      </c>
      <c r="W172" s="105" t="str">
        <f>VLOOKUP(C172,'Status oficina'!$A$2:$C$208,3,FALSE)</f>
        <v>Activa</v>
      </c>
    </row>
    <row r="173" spans="1:23" ht="13.5" customHeight="1" x14ac:dyDescent="0.25">
      <c r="A173" s="53" t="s">
        <v>872</v>
      </c>
      <c r="B173" s="53" t="s">
        <v>417</v>
      </c>
      <c r="C173" s="19">
        <v>9963</v>
      </c>
      <c r="D173" s="14" t="s">
        <v>419</v>
      </c>
      <c r="E173" s="14" t="s">
        <v>420</v>
      </c>
      <c r="F173" s="14" t="s">
        <v>1072</v>
      </c>
      <c r="G173" s="14" t="s">
        <v>136</v>
      </c>
      <c r="H173" s="55">
        <v>680491</v>
      </c>
      <c r="I173" s="55">
        <f>VLOOKUP(G173,'[1]Dispositivos exportados de HP W'!$C:$D,2,FALSE)</f>
        <v>681414</v>
      </c>
      <c r="J173" s="55">
        <f t="shared" si="12"/>
        <v>923</v>
      </c>
      <c r="K173" s="55">
        <f>VLOOKUP(G173,'[2]Dispositivos exportados de HP W'!$C:$D,2,FALSE)</f>
        <v>682706</v>
      </c>
      <c r="L173" s="55">
        <f t="shared" si="13"/>
        <v>1292</v>
      </c>
      <c r="M173" s="55">
        <f>VLOOKUP(G173,'[3]Dispositivos exportados de HP W'!$C:$D,2,FALSE)</f>
        <v>683481</v>
      </c>
      <c r="N173" s="55">
        <f t="shared" si="14"/>
        <v>775</v>
      </c>
      <c r="O173" s="55">
        <f>VLOOKUP(G173,'[4]Dispositivos exportados de HP W'!$C:$D,2,FALSE)</f>
        <v>684281</v>
      </c>
      <c r="P173" s="55">
        <f t="shared" si="15"/>
        <v>800</v>
      </c>
      <c r="Q173" s="55">
        <f>VLOOKUP(G173,'[6]Dispositivos exportados de HP W'!$C:$D,2,FALSE)</f>
        <v>684802</v>
      </c>
      <c r="R173" s="55">
        <f t="shared" si="16"/>
        <v>521</v>
      </c>
      <c r="S173" s="90">
        <f t="shared" si="17"/>
        <v>4311</v>
      </c>
      <c r="T173" s="89">
        <v>46083</v>
      </c>
      <c r="U173" s="14"/>
      <c r="V173" s="108" t="s">
        <v>2383</v>
      </c>
      <c r="W173" s="105" t="str">
        <f>VLOOKUP(C173,'Status oficina'!$A$2:$C$208,3,FALSE)</f>
        <v>Activa</v>
      </c>
    </row>
    <row r="174" spans="1:23" ht="13.5" customHeight="1" x14ac:dyDescent="0.25">
      <c r="A174" s="14" t="s">
        <v>946</v>
      </c>
      <c r="B174" s="14" t="s">
        <v>1005</v>
      </c>
      <c r="C174" s="22">
        <v>9541</v>
      </c>
      <c r="D174" s="14" t="s">
        <v>1006</v>
      </c>
      <c r="E174" s="14" t="s">
        <v>416</v>
      </c>
      <c r="F174" s="14" t="s">
        <v>1007</v>
      </c>
      <c r="G174" s="14" t="s">
        <v>92</v>
      </c>
      <c r="H174" s="55">
        <v>36582</v>
      </c>
      <c r="I174" s="55">
        <f>VLOOKUP(G174,'[1]Dispositivos exportados de HP W'!$C:$D,2,FALSE)</f>
        <v>36582</v>
      </c>
      <c r="J174" s="55">
        <f t="shared" si="12"/>
        <v>0</v>
      </c>
      <c r="K174" s="55">
        <f>VLOOKUP(G174,'[2]Dispositivos exportados de HP W'!$C:$D,2,FALSE)</f>
        <v>36582</v>
      </c>
      <c r="L174" s="55">
        <f t="shared" si="13"/>
        <v>0</v>
      </c>
      <c r="M174" s="55">
        <f>VLOOKUP(G174,'[3]Dispositivos exportados de HP W'!$C:$D,2,FALSE)</f>
        <v>36582</v>
      </c>
      <c r="N174" s="55">
        <f t="shared" si="14"/>
        <v>0</v>
      </c>
      <c r="O174" s="55">
        <f>VLOOKUP(G174,'[4]Dispositivos exportados de HP W'!$C:$D,2,FALSE)</f>
        <v>36582</v>
      </c>
      <c r="P174" s="55">
        <f t="shared" si="15"/>
        <v>0</v>
      </c>
      <c r="Q174" s="55">
        <f>VLOOKUP(G174,'[6]Dispositivos exportados de HP W'!$C:$D,2,FALSE)</f>
        <v>36582</v>
      </c>
      <c r="R174" s="55">
        <f t="shared" si="16"/>
        <v>0</v>
      </c>
      <c r="S174" s="90">
        <f t="shared" si="17"/>
        <v>0</v>
      </c>
      <c r="T174" s="89">
        <v>46083</v>
      </c>
      <c r="U174" s="14"/>
      <c r="V174" s="105" t="s">
        <v>2239</v>
      </c>
      <c r="W174" s="105" t="str">
        <f>VLOOKUP(C174,'Status oficina'!$A$2:$C$208,3,FALSE)</f>
        <v>Cierre temporal</v>
      </c>
    </row>
    <row r="175" spans="1:23" ht="13.5" customHeight="1" x14ac:dyDescent="0.25">
      <c r="A175" s="14" t="s">
        <v>946</v>
      </c>
      <c r="B175" s="14" t="s">
        <v>1008</v>
      </c>
      <c r="C175" s="22">
        <v>9543</v>
      </c>
      <c r="D175" s="14" t="s">
        <v>1009</v>
      </c>
      <c r="E175" s="14" t="s">
        <v>416</v>
      </c>
      <c r="F175" s="14" t="s">
        <v>1437</v>
      </c>
      <c r="G175" s="14" t="s">
        <v>263</v>
      </c>
      <c r="H175" s="55">
        <v>116664</v>
      </c>
      <c r="I175" s="55">
        <f>VLOOKUP(G175,'[1]Dispositivos exportados de HP W'!$C:$D,2,FALSE)</f>
        <v>116664</v>
      </c>
      <c r="J175" s="55">
        <f t="shared" si="12"/>
        <v>0</v>
      </c>
      <c r="K175" s="55">
        <f>VLOOKUP(G175,'[2]Dispositivos exportados de HP W'!$C:$D,2,FALSE)</f>
        <v>116664</v>
      </c>
      <c r="L175" s="55">
        <f t="shared" si="13"/>
        <v>0</v>
      </c>
      <c r="M175" s="55">
        <f>VLOOKUP(G175,'[3]Dispositivos exportados de HP W'!$C:$D,2,FALSE)</f>
        <v>116664</v>
      </c>
      <c r="N175" s="55">
        <f t="shared" si="14"/>
        <v>0</v>
      </c>
      <c r="O175" s="55">
        <f>VLOOKUP(G175,'[4]Dispositivos exportados de HP W'!$C:$D,2,FALSE)</f>
        <v>116664</v>
      </c>
      <c r="P175" s="55">
        <f t="shared" si="15"/>
        <v>0</v>
      </c>
      <c r="Q175" s="55">
        <f>VLOOKUP(G175,'[6]Dispositivos exportados de HP W'!$C:$D,2,FALSE)</f>
        <v>116664</v>
      </c>
      <c r="R175" s="55">
        <f t="shared" si="16"/>
        <v>0</v>
      </c>
      <c r="S175" s="90">
        <f t="shared" si="17"/>
        <v>0</v>
      </c>
      <c r="T175" s="89">
        <v>46083</v>
      </c>
      <c r="U175" s="14"/>
      <c r="V175" s="105" t="s">
        <v>2239</v>
      </c>
      <c r="W175" s="105" t="str">
        <f>VLOOKUP(C175,'Status oficina'!$A$2:$C$208,3,FALSE)</f>
        <v>Cierre temporal</v>
      </c>
    </row>
    <row r="176" spans="1:23" ht="13.5" customHeight="1" x14ac:dyDescent="0.25">
      <c r="A176" s="14" t="s">
        <v>946</v>
      </c>
      <c r="B176" s="14" t="s">
        <v>1025</v>
      </c>
      <c r="C176" s="22">
        <v>9550</v>
      </c>
      <c r="D176" s="14" t="s">
        <v>1026</v>
      </c>
      <c r="E176" s="14" t="s">
        <v>416</v>
      </c>
      <c r="F176" s="14" t="s">
        <v>1445</v>
      </c>
      <c r="G176" s="14" t="s">
        <v>182</v>
      </c>
      <c r="H176" s="55">
        <v>190533</v>
      </c>
      <c r="I176" s="55">
        <f>VLOOKUP(G176,'[1]Dispositivos exportados de HP W'!$C:$D,2,FALSE)</f>
        <v>190533</v>
      </c>
      <c r="J176" s="55">
        <f t="shared" si="12"/>
        <v>0</v>
      </c>
      <c r="K176" s="55">
        <f>VLOOKUP(G176,'[2]Dispositivos exportados de HP W'!$C:$D,2,FALSE)</f>
        <v>190533</v>
      </c>
      <c r="L176" s="55">
        <f t="shared" si="13"/>
        <v>0</v>
      </c>
      <c r="M176" s="55">
        <f>VLOOKUP(G176,'[3]Dispositivos exportados de HP W'!$C:$D,2,FALSE)</f>
        <v>190533</v>
      </c>
      <c r="N176" s="55">
        <f t="shared" si="14"/>
        <v>0</v>
      </c>
      <c r="O176" s="55">
        <f>VLOOKUP(G176,'[4]Dispositivos exportados de HP W'!$C:$D,2,FALSE)</f>
        <v>190533</v>
      </c>
      <c r="P176" s="55">
        <f t="shared" si="15"/>
        <v>0</v>
      </c>
      <c r="Q176" s="55">
        <f>VLOOKUP(G176,'[6]Dispositivos exportados de HP W'!$C:$D,2,FALSE)</f>
        <v>190533</v>
      </c>
      <c r="R176" s="55">
        <f t="shared" si="16"/>
        <v>0</v>
      </c>
      <c r="S176" s="90">
        <f t="shared" si="17"/>
        <v>0</v>
      </c>
      <c r="T176" s="89">
        <v>46083</v>
      </c>
      <c r="U176" s="14"/>
      <c r="V176" s="105" t="s">
        <v>2239</v>
      </c>
      <c r="W176" s="105" t="str">
        <f>VLOOKUP(C176,'Status oficina'!$A$2:$C$208,3,FALSE)</f>
        <v>Cierre temporal</v>
      </c>
    </row>
    <row r="177" spans="1:23" ht="13.5" customHeight="1" x14ac:dyDescent="0.25">
      <c r="A177" s="14" t="s">
        <v>2089</v>
      </c>
      <c r="B177" s="14" t="s">
        <v>478</v>
      </c>
      <c r="C177" s="19">
        <v>9425</v>
      </c>
      <c r="D177" s="14" t="s">
        <v>2482</v>
      </c>
      <c r="E177" s="14" t="s">
        <v>420</v>
      </c>
      <c r="F177" s="14" t="s">
        <v>1139</v>
      </c>
      <c r="G177" s="14" t="s">
        <v>2483</v>
      </c>
      <c r="H177" s="55">
        <v>621148</v>
      </c>
      <c r="I177" s="55">
        <f>VLOOKUP(G177,'[1]Dispositivos exportados de HP W'!$C:$D,2,FALSE)</f>
        <v>621526</v>
      </c>
      <c r="J177" s="55">
        <f t="shared" si="12"/>
        <v>378</v>
      </c>
      <c r="K177" s="55">
        <f>VLOOKUP(G177,'[2]Dispositivos exportados de HP W'!$C:$D,2,FALSE)</f>
        <v>621788</v>
      </c>
      <c r="L177" s="55">
        <f t="shared" si="13"/>
        <v>262</v>
      </c>
      <c r="M177" s="55">
        <f>VLOOKUP(G177,'[3]Dispositivos exportados de HP W'!$C:$D,2,FALSE)</f>
        <v>621987</v>
      </c>
      <c r="N177" s="55">
        <f t="shared" si="14"/>
        <v>199</v>
      </c>
      <c r="O177" s="55">
        <f>VLOOKUP(G177,'[4]Dispositivos exportados de HP W'!$C:$D,2,FALSE)</f>
        <v>622190</v>
      </c>
      <c r="P177" s="55">
        <f t="shared" si="15"/>
        <v>203</v>
      </c>
      <c r="Q177" s="55">
        <f>VLOOKUP(G177,'[6]Dispositivos exportados de HP W'!$C:$D,2,FALSE)</f>
        <v>622216</v>
      </c>
      <c r="R177" s="55">
        <f t="shared" si="16"/>
        <v>26</v>
      </c>
      <c r="S177" s="90">
        <f t="shared" si="17"/>
        <v>1068</v>
      </c>
      <c r="T177" s="89">
        <v>46083</v>
      </c>
      <c r="U177" s="14" t="s">
        <v>2484</v>
      </c>
      <c r="V177" s="105" t="s">
        <v>2383</v>
      </c>
      <c r="W177" s="105" t="s">
        <v>2236</v>
      </c>
    </row>
    <row r="178" spans="1:23" ht="13.5" customHeight="1" x14ac:dyDescent="0.25">
      <c r="A178" s="53" t="s">
        <v>872</v>
      </c>
      <c r="B178" s="53" t="s">
        <v>426</v>
      </c>
      <c r="C178" s="19">
        <v>9855</v>
      </c>
      <c r="D178" s="14" t="s">
        <v>428</v>
      </c>
      <c r="E178" s="14" t="s">
        <v>420</v>
      </c>
      <c r="F178" s="14" t="s">
        <v>1077</v>
      </c>
      <c r="G178" s="14" t="s">
        <v>151</v>
      </c>
      <c r="H178" s="55">
        <v>647697</v>
      </c>
      <c r="I178" s="55">
        <f>VLOOKUP(G178,'[1]Dispositivos exportados de HP W'!$C:$D,2,FALSE)</f>
        <v>649309</v>
      </c>
      <c r="J178" s="55">
        <f t="shared" si="12"/>
        <v>1612</v>
      </c>
      <c r="K178" s="55">
        <f>VLOOKUP(G178,'[2]Dispositivos exportados de HP W'!$C:$D,2,FALSE)</f>
        <v>651262</v>
      </c>
      <c r="L178" s="55">
        <f t="shared" si="13"/>
        <v>1953</v>
      </c>
      <c r="M178" s="55">
        <f>VLOOKUP(G178,'[3]Dispositivos exportados de HP W'!$C:$D,2,FALSE)</f>
        <v>653416</v>
      </c>
      <c r="N178" s="55">
        <f t="shared" si="14"/>
        <v>2154</v>
      </c>
      <c r="O178" s="55">
        <f>VLOOKUP(G178,'[4]Dispositivos exportados de HP W'!$C:$D,2,FALSE)</f>
        <v>655848</v>
      </c>
      <c r="P178" s="55">
        <f t="shared" si="15"/>
        <v>2432</v>
      </c>
      <c r="Q178" s="55">
        <f>VLOOKUP(G178,'[6]Dispositivos exportados de HP W'!$C:$D,2,FALSE)</f>
        <v>656726</v>
      </c>
      <c r="R178" s="55">
        <f t="shared" si="16"/>
        <v>878</v>
      </c>
      <c r="S178" s="90">
        <f t="shared" si="17"/>
        <v>9029</v>
      </c>
      <c r="T178" s="89">
        <v>46083</v>
      </c>
      <c r="U178" s="14"/>
      <c r="V178" s="105" t="s">
        <v>2383</v>
      </c>
      <c r="W178" s="105" t="str">
        <f>VLOOKUP(C178,'Status oficina'!$A$2:$C$208,3,FALSE)</f>
        <v>Activa</v>
      </c>
    </row>
    <row r="179" spans="1:23" ht="13.5" customHeight="1" x14ac:dyDescent="0.25">
      <c r="A179" s="14" t="s">
        <v>2089</v>
      </c>
      <c r="B179" s="14" t="s">
        <v>586</v>
      </c>
      <c r="C179" s="19">
        <v>9834</v>
      </c>
      <c r="D179" s="14" t="s">
        <v>587</v>
      </c>
      <c r="E179" s="14" t="s">
        <v>420</v>
      </c>
      <c r="F179" s="14" t="s">
        <v>1180</v>
      </c>
      <c r="G179" s="14" t="s">
        <v>155</v>
      </c>
      <c r="H179" s="55">
        <v>826481</v>
      </c>
      <c r="I179" s="55">
        <f>VLOOKUP(G179,'[1]Dispositivos exportados de HP W'!$C:$D,2,FALSE)</f>
        <v>827343</v>
      </c>
      <c r="J179" s="55">
        <f t="shared" si="12"/>
        <v>862</v>
      </c>
      <c r="K179" s="55">
        <f>VLOOKUP(G179,'[2]Dispositivos exportados de HP W'!$C:$D,2,FALSE)</f>
        <v>829702</v>
      </c>
      <c r="L179" s="55">
        <f t="shared" si="13"/>
        <v>2359</v>
      </c>
      <c r="M179" s="55">
        <f>VLOOKUP(G179,'[3]Dispositivos exportados de HP W'!$C:$D,2,FALSE)</f>
        <v>832123</v>
      </c>
      <c r="N179" s="55">
        <f t="shared" si="14"/>
        <v>2421</v>
      </c>
      <c r="O179" s="55">
        <f>VLOOKUP(G179,'[4]Dispositivos exportados de HP W'!$C:$D,2,FALSE)</f>
        <v>835454</v>
      </c>
      <c r="P179" s="55">
        <f t="shared" si="15"/>
        <v>3331</v>
      </c>
      <c r="Q179" s="55">
        <f>VLOOKUP(G179,'[6]Dispositivos exportados de HP W'!$C:$D,2,FALSE)</f>
        <v>836787</v>
      </c>
      <c r="R179" s="55">
        <f t="shared" si="16"/>
        <v>1333</v>
      </c>
      <c r="S179" s="90">
        <f t="shared" si="17"/>
        <v>10306</v>
      </c>
      <c r="T179" s="89">
        <v>46083</v>
      </c>
      <c r="U179" s="14"/>
      <c r="V179" s="105" t="s">
        <v>2383</v>
      </c>
      <c r="W179" s="105" t="str">
        <f>VLOOKUP(C179,'Status oficina'!$A$2:$C$208,3,FALSE)</f>
        <v>Activa</v>
      </c>
    </row>
    <row r="180" spans="1:23" ht="13.5" customHeight="1" x14ac:dyDescent="0.25">
      <c r="A180" s="14" t="s">
        <v>946</v>
      </c>
      <c r="B180" s="14" t="s">
        <v>950</v>
      </c>
      <c r="C180" s="19">
        <v>9580</v>
      </c>
      <c r="D180" s="14" t="s">
        <v>2491</v>
      </c>
      <c r="E180" s="14" t="s">
        <v>416</v>
      </c>
      <c r="F180" s="14" t="s">
        <v>1410</v>
      </c>
      <c r="G180" s="14" t="s">
        <v>2493</v>
      </c>
      <c r="H180" s="55">
        <v>137440</v>
      </c>
      <c r="I180" s="55">
        <f>VLOOKUP(G180,'[1]Dispositivos exportados de HP W'!$C:$D,2,FALSE)</f>
        <v>137584</v>
      </c>
      <c r="J180" s="55">
        <f t="shared" si="12"/>
        <v>144</v>
      </c>
      <c r="K180" s="55">
        <f>VLOOKUP(G180,'[2]Dispositivos exportados de HP W'!$C:$D,2,FALSE)</f>
        <v>137755</v>
      </c>
      <c r="L180" s="55">
        <f t="shared" si="13"/>
        <v>171</v>
      </c>
      <c r="M180" s="55">
        <f>VLOOKUP(G180,'[3]Dispositivos exportados de HP W'!$C:$D,2,FALSE)</f>
        <v>137862</v>
      </c>
      <c r="N180" s="55">
        <f t="shared" si="14"/>
        <v>107</v>
      </c>
      <c r="O180" s="55">
        <f>VLOOKUP(G180,'[4]Dispositivos exportados de HP W'!$C:$D,2,FALSE)</f>
        <v>138020</v>
      </c>
      <c r="P180" s="55">
        <f t="shared" si="15"/>
        <v>158</v>
      </c>
      <c r="Q180" s="55">
        <f>VLOOKUP(G180,'[6]Dispositivos exportados de HP W'!$C:$D,2,FALSE)</f>
        <v>138044</v>
      </c>
      <c r="R180" s="55">
        <f t="shared" si="16"/>
        <v>24</v>
      </c>
      <c r="S180" s="90">
        <f t="shared" si="17"/>
        <v>604</v>
      </c>
      <c r="T180" s="89">
        <v>46083</v>
      </c>
      <c r="U180" s="14" t="s">
        <v>2492</v>
      </c>
      <c r="V180" s="105" t="s">
        <v>2383</v>
      </c>
      <c r="W180" s="105" t="str">
        <f>VLOOKUP(C180,'Status oficina'!$A$2:$C$208,3,FALSE)</f>
        <v>Activa</v>
      </c>
    </row>
    <row r="181" spans="1:23" ht="13.5" customHeight="1" x14ac:dyDescent="0.25">
      <c r="A181" s="14" t="s">
        <v>946</v>
      </c>
      <c r="B181" s="14" t="s">
        <v>1023</v>
      </c>
      <c r="C181" s="19">
        <v>9566</v>
      </c>
      <c r="D181" s="14" t="s">
        <v>1024</v>
      </c>
      <c r="E181" s="14" t="s">
        <v>416</v>
      </c>
      <c r="F181" s="14" t="s">
        <v>1443</v>
      </c>
      <c r="G181" s="14" t="s">
        <v>20</v>
      </c>
      <c r="H181" s="55">
        <v>129321</v>
      </c>
      <c r="I181" s="55">
        <f>VLOOKUP(G181,'[1]Dispositivos exportados de HP W'!$C:$D,2,FALSE)</f>
        <v>129321</v>
      </c>
      <c r="J181" s="55">
        <f t="shared" si="12"/>
        <v>0</v>
      </c>
      <c r="K181" s="55">
        <f>VLOOKUP(G181,'[2]Dispositivos exportados de HP W'!$C:$D,2,FALSE)</f>
        <v>129321</v>
      </c>
      <c r="L181" s="55">
        <f t="shared" si="13"/>
        <v>0</v>
      </c>
      <c r="M181" s="55">
        <f>VLOOKUP(G181,'[3]Dispositivos exportados de HP W'!$C:$D,2,FALSE)</f>
        <v>129321</v>
      </c>
      <c r="N181" s="55">
        <f t="shared" si="14"/>
        <v>0</v>
      </c>
      <c r="O181" s="55">
        <f>VLOOKUP(G181,'[4]Dispositivos exportados de HP W'!$C:$D,2,FALSE)</f>
        <v>129321</v>
      </c>
      <c r="P181" s="55">
        <f t="shared" si="15"/>
        <v>0</v>
      </c>
      <c r="Q181" s="55">
        <f>VLOOKUP(G181,'[6]Dispositivos exportados de HP W'!$C:$D,2,FALSE)</f>
        <v>129321</v>
      </c>
      <c r="R181" s="55">
        <f t="shared" si="16"/>
        <v>0</v>
      </c>
      <c r="S181" s="90">
        <f t="shared" si="17"/>
        <v>0</v>
      </c>
      <c r="T181" s="89">
        <v>46083</v>
      </c>
      <c r="U181" s="14"/>
      <c r="V181" s="105" t="s">
        <v>2239</v>
      </c>
      <c r="W181" s="105" t="str">
        <f>VLOOKUP(C181,'Status oficina'!$A$2:$C$208,3,FALSE)</f>
        <v>Cierre temporal</v>
      </c>
    </row>
    <row r="182" spans="1:23" ht="13.5" customHeight="1" x14ac:dyDescent="0.25">
      <c r="A182" s="53" t="s">
        <v>2450</v>
      </c>
      <c r="B182" s="14" t="s">
        <v>709</v>
      </c>
      <c r="C182" s="19">
        <v>9261</v>
      </c>
      <c r="D182" s="54" t="s">
        <v>710</v>
      </c>
      <c r="E182" s="14" t="s">
        <v>420</v>
      </c>
      <c r="F182" s="14" t="s">
        <v>1244</v>
      </c>
      <c r="G182" s="14" t="s">
        <v>403</v>
      </c>
      <c r="H182" s="55">
        <v>566521</v>
      </c>
      <c r="I182" s="55">
        <f>VLOOKUP(G182,'[1]Dispositivos exportados de HP W'!$C:$D,2,FALSE)</f>
        <v>567772</v>
      </c>
      <c r="J182" s="55">
        <f t="shared" si="12"/>
        <v>1251</v>
      </c>
      <c r="K182" s="55">
        <f>VLOOKUP(G182,'[2]Dispositivos exportados de HP W'!$C:$D,2,FALSE)</f>
        <v>568968</v>
      </c>
      <c r="L182" s="55">
        <f t="shared" si="13"/>
        <v>1196</v>
      </c>
      <c r="M182" s="55">
        <f>VLOOKUP(G182,'[3]Dispositivos exportados de HP W'!$C:$D,2,FALSE)</f>
        <v>570048</v>
      </c>
      <c r="N182" s="55">
        <f t="shared" si="14"/>
        <v>1080</v>
      </c>
      <c r="O182" s="55">
        <f>VLOOKUP(G182,'[4]Dispositivos exportados de HP W'!$C:$D,2,FALSE)</f>
        <v>571356</v>
      </c>
      <c r="P182" s="55">
        <f t="shared" si="15"/>
        <v>1308</v>
      </c>
      <c r="Q182" s="55">
        <f>VLOOKUP(G182,'[6]Dispositivos exportados de HP W'!$C:$D,2,FALSE)</f>
        <v>571797</v>
      </c>
      <c r="R182" s="55">
        <f t="shared" si="16"/>
        <v>441</v>
      </c>
      <c r="S182" s="90">
        <f t="shared" si="17"/>
        <v>5276</v>
      </c>
      <c r="T182" s="89">
        <v>46083</v>
      </c>
      <c r="U182" s="14"/>
      <c r="V182" s="105" t="s">
        <v>2383</v>
      </c>
      <c r="W182" s="105" t="str">
        <f>VLOOKUP(C182,'Status oficina'!$A$2:$C$208,3,FALSE)</f>
        <v>Activa</v>
      </c>
    </row>
    <row r="183" spans="1:23" ht="13.5" customHeight="1" x14ac:dyDescent="0.25">
      <c r="A183" s="14" t="s">
        <v>2451</v>
      </c>
      <c r="B183" s="14" t="s">
        <v>825</v>
      </c>
      <c r="C183" s="120">
        <v>9227</v>
      </c>
      <c r="D183" s="14" t="s">
        <v>827</v>
      </c>
      <c r="E183" s="14" t="s">
        <v>420</v>
      </c>
      <c r="F183" s="14" t="s">
        <v>1318</v>
      </c>
      <c r="G183" s="14" t="s">
        <v>55</v>
      </c>
      <c r="H183" s="55">
        <v>688843</v>
      </c>
      <c r="I183" s="55">
        <f>VLOOKUP(G183,'[1]Dispositivos exportados de HP W'!$C:$D,2,FALSE)</f>
        <v>690452</v>
      </c>
      <c r="J183" s="55">
        <f t="shared" si="12"/>
        <v>1609</v>
      </c>
      <c r="K183" s="55">
        <f>VLOOKUP(G183,'[2]Dispositivos exportados de HP W'!$C:$D,2,FALSE)</f>
        <v>691850</v>
      </c>
      <c r="L183" s="55">
        <f t="shared" si="13"/>
        <v>1398</v>
      </c>
      <c r="M183" s="55">
        <f>VLOOKUP(G183,'[3]Dispositivos exportados de HP W'!$C:$D,2,FALSE)</f>
        <v>693251</v>
      </c>
      <c r="N183" s="55">
        <f t="shared" si="14"/>
        <v>1401</v>
      </c>
      <c r="O183" s="55">
        <f>VLOOKUP(G183,'[4]Dispositivos exportados de HP W'!$C:$D,2,FALSE)</f>
        <v>695122</v>
      </c>
      <c r="P183" s="55">
        <f t="shared" si="15"/>
        <v>1871</v>
      </c>
      <c r="Q183" s="55">
        <f>VLOOKUP(G183,'[6]Dispositivos exportados de HP W'!$C:$D,2,FALSE)</f>
        <v>695732</v>
      </c>
      <c r="R183" s="55">
        <f t="shared" si="16"/>
        <v>610</v>
      </c>
      <c r="S183" s="90">
        <f t="shared" si="17"/>
        <v>6889</v>
      </c>
      <c r="T183" s="89">
        <v>46083</v>
      </c>
      <c r="U183" s="14"/>
      <c r="V183" s="105" t="s">
        <v>2383</v>
      </c>
      <c r="W183" s="105" t="str">
        <f>VLOOKUP(C183,'Status oficina'!$A$2:$C$208,3,FALSE)</f>
        <v>Activa</v>
      </c>
    </row>
    <row r="184" spans="1:23" ht="13.5" customHeight="1" x14ac:dyDescent="0.25">
      <c r="A184" s="14" t="s">
        <v>872</v>
      </c>
      <c r="B184" s="14" t="s">
        <v>920</v>
      </c>
      <c r="C184" s="120">
        <v>9817</v>
      </c>
      <c r="D184" s="14" t="s">
        <v>922</v>
      </c>
      <c r="E184" s="14" t="s">
        <v>420</v>
      </c>
      <c r="F184" s="14" t="s">
        <v>1380</v>
      </c>
      <c r="G184" s="14" t="s">
        <v>174</v>
      </c>
      <c r="H184" s="55">
        <v>751357</v>
      </c>
      <c r="I184" s="55">
        <f>VLOOKUP(G184,'[1]Dispositivos exportados de HP W'!$C:$D,2,FALSE)</f>
        <v>753706</v>
      </c>
      <c r="J184" s="55">
        <f t="shared" si="12"/>
        <v>2349</v>
      </c>
      <c r="K184" s="55">
        <f>VLOOKUP(G184,'[2]Dispositivos exportados de HP W'!$C:$D,2,FALSE)</f>
        <v>755968</v>
      </c>
      <c r="L184" s="55">
        <f t="shared" si="13"/>
        <v>2262</v>
      </c>
      <c r="M184" s="55">
        <f>VLOOKUP(G184,'[3]Dispositivos exportados de HP W'!$C:$D,2,FALSE)</f>
        <v>757453</v>
      </c>
      <c r="N184" s="55">
        <f t="shared" si="14"/>
        <v>1485</v>
      </c>
      <c r="O184" s="55">
        <f>VLOOKUP(G184,'[4]Dispositivos exportados de HP W'!$C:$D,2,FALSE)</f>
        <v>760006</v>
      </c>
      <c r="P184" s="55">
        <f t="shared" si="15"/>
        <v>2553</v>
      </c>
      <c r="Q184" s="55">
        <f>VLOOKUP(G184,'[6]Dispositivos exportados de HP W'!$C:$D,2,FALSE)</f>
        <v>760875</v>
      </c>
      <c r="R184" s="55">
        <f t="shared" si="16"/>
        <v>869</v>
      </c>
      <c r="S184" s="90">
        <f t="shared" si="17"/>
        <v>9518</v>
      </c>
      <c r="T184" s="89">
        <v>46083</v>
      </c>
      <c r="U184" s="14"/>
      <c r="V184" s="105" t="s">
        <v>2383</v>
      </c>
      <c r="W184" s="105" t="str">
        <f>VLOOKUP(C184,'Status oficina'!$A$2:$C$208,3,FALSE)</f>
        <v>Activa</v>
      </c>
    </row>
    <row r="185" spans="1:23" ht="13.5" customHeight="1" x14ac:dyDescent="0.25">
      <c r="A185" s="53" t="s">
        <v>2450</v>
      </c>
      <c r="B185" s="14" t="s">
        <v>2402</v>
      </c>
      <c r="C185" s="120">
        <v>9217</v>
      </c>
      <c r="D185" s="14" t="s">
        <v>2058</v>
      </c>
      <c r="E185" s="14" t="s">
        <v>420</v>
      </c>
      <c r="F185" s="14" t="s">
        <v>1475</v>
      </c>
      <c r="G185" s="14" t="s">
        <v>2199</v>
      </c>
      <c r="H185" s="55">
        <v>518629</v>
      </c>
      <c r="I185" s="55">
        <f>VLOOKUP(G185,'[1]Dispositivos exportados de HP W'!$C:$D,2,FALSE)</f>
        <v>519770</v>
      </c>
      <c r="J185" s="55">
        <f t="shared" si="12"/>
        <v>1141</v>
      </c>
      <c r="K185" s="55">
        <f>VLOOKUP(G185,'[2]Dispositivos exportados de HP W'!$C:$D,2,FALSE)</f>
        <v>520654</v>
      </c>
      <c r="L185" s="55">
        <f t="shared" si="13"/>
        <v>884</v>
      </c>
      <c r="M185" s="55">
        <f>VLOOKUP(G185,'[3]Dispositivos exportados de HP W'!$C:$D,2,FALSE)</f>
        <v>521437</v>
      </c>
      <c r="N185" s="55">
        <f t="shared" si="14"/>
        <v>783</v>
      </c>
      <c r="O185" s="55">
        <f>VLOOKUP(G185,'[4]Dispositivos exportados de HP W'!$C:$D,2,FALSE)</f>
        <v>522939</v>
      </c>
      <c r="P185" s="55">
        <f t="shared" si="15"/>
        <v>1502</v>
      </c>
      <c r="Q185" s="55">
        <f>VLOOKUP(G185,'[6]Dispositivos exportados de HP W'!$C:$D,2,FALSE)</f>
        <v>523406</v>
      </c>
      <c r="R185" s="55">
        <f t="shared" si="16"/>
        <v>467</v>
      </c>
      <c r="S185" s="90">
        <f t="shared" si="17"/>
        <v>4777</v>
      </c>
      <c r="T185" s="89">
        <v>46083</v>
      </c>
      <c r="U185" s="93" t="s">
        <v>2497</v>
      </c>
      <c r="V185" s="105" t="s">
        <v>2383</v>
      </c>
      <c r="W185" s="105" t="str">
        <f>VLOOKUP(C185,'Status oficina'!$A$2:$C$208,3,FALSE)</f>
        <v>Activa</v>
      </c>
    </row>
    <row r="186" spans="1:23" ht="13.5" customHeight="1" x14ac:dyDescent="0.25">
      <c r="A186" s="14" t="s">
        <v>946</v>
      </c>
      <c r="B186" s="14" t="s">
        <v>1038</v>
      </c>
      <c r="C186" s="120">
        <v>9612</v>
      </c>
      <c r="D186" s="14" t="s">
        <v>1039</v>
      </c>
      <c r="E186" s="14" t="s">
        <v>420</v>
      </c>
      <c r="F186" s="14" t="s">
        <v>1452</v>
      </c>
      <c r="G186" s="14" t="s">
        <v>50</v>
      </c>
      <c r="H186" s="55">
        <v>719304</v>
      </c>
      <c r="I186" s="55">
        <f>VLOOKUP(G186,'[1]Dispositivos exportados de HP W'!$C:$D,2,FALSE)</f>
        <v>721090</v>
      </c>
      <c r="J186" s="55">
        <f t="shared" si="12"/>
        <v>1786</v>
      </c>
      <c r="K186" s="55">
        <f>VLOOKUP(G186,'[2]Dispositivos exportados de HP W'!$C:$D,2,FALSE)</f>
        <v>723128</v>
      </c>
      <c r="L186" s="55">
        <f t="shared" si="13"/>
        <v>2038</v>
      </c>
      <c r="M186" s="55">
        <f>VLOOKUP(G186,'[3]Dispositivos exportados de HP W'!$C:$D,2,FALSE)</f>
        <v>724349</v>
      </c>
      <c r="N186" s="55">
        <f t="shared" si="14"/>
        <v>1221</v>
      </c>
      <c r="O186" s="55">
        <f>VLOOKUP(G186,'[4]Dispositivos exportados de HP W'!$C:$D,2,FALSE)</f>
        <v>725781</v>
      </c>
      <c r="P186" s="55">
        <f t="shared" si="15"/>
        <v>1432</v>
      </c>
      <c r="Q186" s="55">
        <f>VLOOKUP(G186,'[6]Dispositivos exportados de HP W'!$C:$D,2,FALSE)</f>
        <v>726589</v>
      </c>
      <c r="R186" s="55">
        <f t="shared" si="16"/>
        <v>808</v>
      </c>
      <c r="S186" s="90">
        <f t="shared" si="17"/>
        <v>7285</v>
      </c>
      <c r="T186" s="89">
        <v>46083</v>
      </c>
      <c r="U186" s="14"/>
      <c r="V186" s="105" t="s">
        <v>2383</v>
      </c>
      <c r="W186" s="105" t="str">
        <f>VLOOKUP(C186,'Status oficina'!$A$2:$C$208,3,FALSE)</f>
        <v>Activa</v>
      </c>
    </row>
    <row r="187" spans="1:23" ht="13.5" customHeight="1" x14ac:dyDescent="0.25">
      <c r="A187" s="54" t="s">
        <v>2089</v>
      </c>
      <c r="B187" s="14" t="s">
        <v>539</v>
      </c>
      <c r="C187" s="120">
        <v>9396</v>
      </c>
      <c r="D187" s="14" t="s">
        <v>540</v>
      </c>
      <c r="E187" s="14" t="s">
        <v>420</v>
      </c>
      <c r="F187" s="14" t="s">
        <v>1151</v>
      </c>
      <c r="G187" s="14" t="s">
        <v>69</v>
      </c>
      <c r="H187" s="55">
        <v>613368</v>
      </c>
      <c r="I187" s="55">
        <f>VLOOKUP(G187,'[1]Dispositivos exportados de HP W'!$C:$D,2,FALSE)</f>
        <v>613666</v>
      </c>
      <c r="J187" s="55">
        <f t="shared" si="12"/>
        <v>298</v>
      </c>
      <c r="K187" s="55">
        <f>VLOOKUP(G187,'[2]Dispositivos exportados de HP W'!$C:$D,2,FALSE)</f>
        <v>614072</v>
      </c>
      <c r="L187" s="55">
        <f t="shared" si="13"/>
        <v>406</v>
      </c>
      <c r="M187" s="55">
        <f>VLOOKUP(G187,'[3]Dispositivos exportados de HP W'!$C:$D,2,FALSE)</f>
        <v>614426</v>
      </c>
      <c r="N187" s="55">
        <f t="shared" si="14"/>
        <v>354</v>
      </c>
      <c r="O187" s="55">
        <f>VLOOKUP(G187,'[4]Dispositivos exportados de HP W'!$C:$D,2,FALSE)</f>
        <v>614848</v>
      </c>
      <c r="P187" s="55">
        <f t="shared" si="15"/>
        <v>422</v>
      </c>
      <c r="Q187" s="55">
        <f>VLOOKUP(G187,'[6]Dispositivos exportados de HP W'!$C:$D,2,FALSE)</f>
        <v>615054</v>
      </c>
      <c r="R187" s="55">
        <f t="shared" si="16"/>
        <v>206</v>
      </c>
      <c r="S187" s="90">
        <f t="shared" si="17"/>
        <v>1686</v>
      </c>
      <c r="T187" s="89">
        <v>46083</v>
      </c>
      <c r="U187" s="84"/>
      <c r="V187" s="115" t="s">
        <v>2383</v>
      </c>
      <c r="W187" s="115" t="str">
        <f>VLOOKUP(C187,'Status oficina'!$A$2:$C$208,3,FALSE)</f>
        <v>Activa</v>
      </c>
    </row>
    <row r="188" spans="1:23" ht="13.5" customHeight="1" x14ac:dyDescent="0.25">
      <c r="A188" s="14" t="s">
        <v>2089</v>
      </c>
      <c r="B188" s="14" t="s">
        <v>539</v>
      </c>
      <c r="C188" s="120">
        <v>9396</v>
      </c>
      <c r="D188" s="14" t="s">
        <v>2427</v>
      </c>
      <c r="E188" s="14" t="s">
        <v>420</v>
      </c>
      <c r="F188" s="14" t="s">
        <v>1164</v>
      </c>
      <c r="G188" s="14" t="s">
        <v>2426</v>
      </c>
      <c r="H188" s="55">
        <v>772333</v>
      </c>
      <c r="I188" s="55">
        <f>VLOOKUP(G188,'[1]Dispositivos exportados de HP W'!$C:$D,2,FALSE)</f>
        <v>773686</v>
      </c>
      <c r="J188" s="55">
        <f t="shared" si="12"/>
        <v>1353</v>
      </c>
      <c r="K188" s="55">
        <f>VLOOKUP(G188,'[2]Dispositivos exportados de HP W'!$C:$D,2,FALSE)</f>
        <v>775295</v>
      </c>
      <c r="L188" s="55">
        <f t="shared" si="13"/>
        <v>1609</v>
      </c>
      <c r="M188" s="55">
        <f>VLOOKUP(G188,'[3]Dispositivos exportados de HP W'!$C:$D,2,FALSE)</f>
        <v>776415</v>
      </c>
      <c r="N188" s="55">
        <f t="shared" si="14"/>
        <v>1120</v>
      </c>
      <c r="O188" s="55">
        <f>VLOOKUP(G188,'[4]Dispositivos exportados de HP W'!$C:$D,2,FALSE)</f>
        <v>778024</v>
      </c>
      <c r="P188" s="55">
        <f t="shared" si="15"/>
        <v>1609</v>
      </c>
      <c r="Q188" s="55">
        <f>VLOOKUP(G188,'[6]Dispositivos exportados de HP W'!$C:$D,2,FALSE)</f>
        <v>778590</v>
      </c>
      <c r="R188" s="55">
        <f t="shared" si="16"/>
        <v>566</v>
      </c>
      <c r="S188" s="90">
        <f t="shared" si="17"/>
        <v>6257</v>
      </c>
      <c r="T188" s="89">
        <v>46083</v>
      </c>
      <c r="U188" s="54" t="s">
        <v>2428</v>
      </c>
      <c r="V188" s="24" t="s">
        <v>2383</v>
      </c>
      <c r="W188" s="24" t="s">
        <v>2236</v>
      </c>
    </row>
    <row r="189" spans="1:23" ht="13.5" customHeight="1" x14ac:dyDescent="0.25">
      <c r="A189" s="14" t="s">
        <v>946</v>
      </c>
      <c r="B189" s="14" t="s">
        <v>947</v>
      </c>
      <c r="C189" s="19">
        <v>9660</v>
      </c>
      <c r="D189" s="14" t="s">
        <v>948</v>
      </c>
      <c r="E189" s="14" t="s">
        <v>420</v>
      </c>
      <c r="F189" s="14" t="s">
        <v>949</v>
      </c>
      <c r="G189" s="14"/>
      <c r="H189" s="55">
        <v>677840</v>
      </c>
      <c r="I189" s="55">
        <v>677840</v>
      </c>
      <c r="J189" s="55">
        <f t="shared" si="12"/>
        <v>0</v>
      </c>
      <c r="K189" s="55">
        <v>677840</v>
      </c>
      <c r="L189" s="55">
        <f t="shared" si="13"/>
        <v>0</v>
      </c>
      <c r="M189" s="55">
        <v>677840</v>
      </c>
      <c r="N189" s="55">
        <f t="shared" si="14"/>
        <v>0</v>
      </c>
      <c r="O189" s="55">
        <v>677840</v>
      </c>
      <c r="P189" s="55">
        <f t="shared" si="15"/>
        <v>0</v>
      </c>
      <c r="Q189" s="55">
        <v>677840</v>
      </c>
      <c r="R189" s="55">
        <f t="shared" si="16"/>
        <v>0</v>
      </c>
      <c r="S189" s="90">
        <f t="shared" si="17"/>
        <v>0</v>
      </c>
      <c r="T189" s="89">
        <v>46083</v>
      </c>
      <c r="U189" s="13" t="s">
        <v>2466</v>
      </c>
      <c r="V189" s="117" t="s">
        <v>2382</v>
      </c>
      <c r="W189" s="107" t="str">
        <f>VLOOKUP(C189,'Status oficina'!$A$2:$C$208,3,FALSE)</f>
        <v>Cierre temporal</v>
      </c>
    </row>
    <row r="190" spans="1:23" ht="13.5" customHeight="1" x14ac:dyDescent="0.25">
      <c r="A190" s="14" t="s">
        <v>946</v>
      </c>
      <c r="B190" s="14" t="s">
        <v>1056</v>
      </c>
      <c r="C190" s="22">
        <v>9611</v>
      </c>
      <c r="D190" s="54" t="s">
        <v>1057</v>
      </c>
      <c r="E190" s="54" t="s">
        <v>420</v>
      </c>
      <c r="F190" s="54" t="s">
        <v>1058</v>
      </c>
      <c r="G190" s="54" t="s">
        <v>9</v>
      </c>
      <c r="H190" s="55">
        <v>237281</v>
      </c>
      <c r="I190" s="55">
        <f>VLOOKUP(G190,'[1]Dispositivos exportados de HP W'!$C:$D,2,FALSE)</f>
        <v>237281</v>
      </c>
      <c r="J190" s="55">
        <f t="shared" si="12"/>
        <v>0</v>
      </c>
      <c r="K190" s="55">
        <f>VLOOKUP(G190,'[2]Dispositivos exportados de HP W'!$C:$D,2,FALSE)</f>
        <v>237281</v>
      </c>
      <c r="L190" s="55">
        <f t="shared" si="13"/>
        <v>0</v>
      </c>
      <c r="M190" s="55">
        <f>VLOOKUP(G190,'[3]Dispositivos exportados de HP W'!$C:$D,2,FALSE)</f>
        <v>237281</v>
      </c>
      <c r="N190" s="55">
        <f t="shared" si="14"/>
        <v>0</v>
      </c>
      <c r="O190" s="55">
        <f>VLOOKUP(G190,'[4]Dispositivos exportados de HP W'!$C:$D,2,FALSE)</f>
        <v>237281</v>
      </c>
      <c r="P190" s="55">
        <f t="shared" si="15"/>
        <v>0</v>
      </c>
      <c r="Q190" s="55">
        <f>VLOOKUP(G190,'[6]Dispositivos exportados de HP W'!$C:$D,2,FALSE)</f>
        <v>237281</v>
      </c>
      <c r="R190" s="55">
        <f t="shared" si="16"/>
        <v>0</v>
      </c>
      <c r="S190" s="90">
        <f t="shared" si="17"/>
        <v>0</v>
      </c>
      <c r="T190" s="89">
        <v>46083</v>
      </c>
      <c r="U190" s="14"/>
      <c r="V190" s="105" t="s">
        <v>2239</v>
      </c>
      <c r="W190" s="105" t="str">
        <f>VLOOKUP(C190,'Status oficina'!$A$2:$C$208,3,FALSE)</f>
        <v>Cierre temporal</v>
      </c>
    </row>
    <row r="191" spans="1:23" ht="13.5" customHeight="1" x14ac:dyDescent="0.25">
      <c r="A191" s="14" t="s">
        <v>946</v>
      </c>
      <c r="B191" s="14" t="s">
        <v>1056</v>
      </c>
      <c r="C191" s="22">
        <v>9611</v>
      </c>
      <c r="D191" s="14" t="s">
        <v>1059</v>
      </c>
      <c r="E191" s="15" t="s">
        <v>416</v>
      </c>
      <c r="F191" s="14" t="s">
        <v>1060</v>
      </c>
      <c r="G191" s="14" t="s">
        <v>360</v>
      </c>
      <c r="H191" s="55">
        <v>96667</v>
      </c>
      <c r="I191" s="55">
        <f>VLOOKUP(G191,'[1]Dispositivos exportados de HP W'!$C:$D,2,FALSE)</f>
        <v>96667</v>
      </c>
      <c r="J191" s="55">
        <f t="shared" si="12"/>
        <v>0</v>
      </c>
      <c r="K191" s="55">
        <f>VLOOKUP(G191,'[2]Dispositivos exportados de HP W'!$C:$D,2,FALSE)</f>
        <v>96667</v>
      </c>
      <c r="L191" s="55">
        <f t="shared" si="13"/>
        <v>0</v>
      </c>
      <c r="M191" s="55">
        <f>VLOOKUP(G191,'[3]Dispositivos exportados de HP W'!$C:$D,2,FALSE)</f>
        <v>96667</v>
      </c>
      <c r="N191" s="55">
        <f t="shared" si="14"/>
        <v>0</v>
      </c>
      <c r="O191" s="55">
        <f>VLOOKUP(G191,'[4]Dispositivos exportados de HP W'!$C:$D,2,FALSE)</f>
        <v>96667</v>
      </c>
      <c r="P191" s="55">
        <f t="shared" si="15"/>
        <v>0</v>
      </c>
      <c r="Q191" s="55">
        <f>VLOOKUP(G191,'[6]Dispositivos exportados de HP W'!$C:$D,2,FALSE)</f>
        <v>96667</v>
      </c>
      <c r="R191" s="55">
        <f t="shared" si="16"/>
        <v>0</v>
      </c>
      <c r="S191" s="90">
        <f t="shared" si="17"/>
        <v>0</v>
      </c>
      <c r="T191" s="89">
        <v>46083</v>
      </c>
      <c r="U191" s="14"/>
      <c r="V191" s="105" t="s">
        <v>2239</v>
      </c>
      <c r="W191" s="105" t="str">
        <f>VLOOKUP(C191,'Status oficina'!$A$2:$C$208,3,FALSE)</f>
        <v>Cierre temporal</v>
      </c>
    </row>
    <row r="192" spans="1:23" ht="13.5" customHeight="1" x14ac:dyDescent="0.25">
      <c r="A192" s="14" t="s">
        <v>946</v>
      </c>
      <c r="B192" s="14" t="s">
        <v>1038</v>
      </c>
      <c r="C192" s="120">
        <v>9612</v>
      </c>
      <c r="D192" s="14" t="s">
        <v>1040</v>
      </c>
      <c r="E192" s="14" t="s">
        <v>416</v>
      </c>
      <c r="F192" s="14" t="s">
        <v>1453</v>
      </c>
      <c r="G192" s="14"/>
      <c r="H192" s="55">
        <v>150387</v>
      </c>
      <c r="I192" s="55">
        <v>150387</v>
      </c>
      <c r="J192" s="55">
        <f t="shared" si="12"/>
        <v>0</v>
      </c>
      <c r="K192" s="55">
        <v>150387</v>
      </c>
      <c r="L192" s="55">
        <f t="shared" si="13"/>
        <v>0</v>
      </c>
      <c r="M192" s="55">
        <v>150387</v>
      </c>
      <c r="N192" s="55">
        <f t="shared" si="14"/>
        <v>0</v>
      </c>
      <c r="O192" s="55">
        <v>150387</v>
      </c>
      <c r="P192" s="55">
        <f t="shared" si="15"/>
        <v>0</v>
      </c>
      <c r="Q192" s="55">
        <v>150387</v>
      </c>
      <c r="R192" s="55">
        <f t="shared" si="16"/>
        <v>0</v>
      </c>
      <c r="S192" s="90">
        <f t="shared" si="17"/>
        <v>0</v>
      </c>
      <c r="T192" s="89">
        <v>46083</v>
      </c>
      <c r="U192" s="14"/>
      <c r="V192" s="105" t="s">
        <v>2382</v>
      </c>
      <c r="W192" s="105" t="str">
        <f>VLOOKUP(C192,'Status oficina'!$A$2:$C$208,3,FALSE)</f>
        <v>Activa</v>
      </c>
    </row>
    <row r="193" spans="1:23" ht="13.5" customHeight="1" x14ac:dyDescent="0.25">
      <c r="A193" s="14" t="s">
        <v>2089</v>
      </c>
      <c r="B193" s="14" t="s">
        <v>563</v>
      </c>
      <c r="C193" s="120">
        <v>9360</v>
      </c>
      <c r="D193" s="14" t="s">
        <v>564</v>
      </c>
      <c r="E193" s="14" t="s">
        <v>420</v>
      </c>
      <c r="F193" s="14" t="s">
        <v>1168</v>
      </c>
      <c r="G193" s="14" t="s">
        <v>226</v>
      </c>
      <c r="H193" s="55">
        <v>656939</v>
      </c>
      <c r="I193" s="55">
        <f>VLOOKUP(G193,'[1]Dispositivos exportados de HP W'!$C:$D,2,FALSE)</f>
        <v>658103</v>
      </c>
      <c r="J193" s="55">
        <f t="shared" si="12"/>
        <v>1164</v>
      </c>
      <c r="K193" s="55">
        <f>VLOOKUP(G193,'[2]Dispositivos exportados de HP W'!$C:$D,2,FALSE)</f>
        <v>659316</v>
      </c>
      <c r="L193" s="55">
        <f t="shared" si="13"/>
        <v>1213</v>
      </c>
      <c r="M193" s="55">
        <f>VLOOKUP(G193,'[3]Dispositivos exportados de HP W'!$C:$D,2,FALSE)</f>
        <v>660486</v>
      </c>
      <c r="N193" s="55">
        <f t="shared" si="14"/>
        <v>1170</v>
      </c>
      <c r="O193" s="55">
        <f>VLOOKUP(G193,'[4]Dispositivos exportados de HP W'!$C:$D,2,FALSE)</f>
        <v>661618</v>
      </c>
      <c r="P193" s="55">
        <f t="shared" si="15"/>
        <v>1132</v>
      </c>
      <c r="Q193" s="55">
        <f>VLOOKUP(G193,'[6]Dispositivos exportados de HP W'!$C:$D,2,FALSE)</f>
        <v>661993</v>
      </c>
      <c r="R193" s="55">
        <f t="shared" si="16"/>
        <v>375</v>
      </c>
      <c r="S193" s="90">
        <f t="shared" si="17"/>
        <v>5054</v>
      </c>
      <c r="T193" s="89">
        <v>46083</v>
      </c>
      <c r="U193" s="14"/>
      <c r="V193" s="105" t="s">
        <v>2383</v>
      </c>
      <c r="W193" s="105" t="str">
        <f>VLOOKUP(C193,'Status oficina'!$A$2:$C$208,3,FALSE)</f>
        <v>Activa</v>
      </c>
    </row>
    <row r="194" spans="1:23" ht="13.5" customHeight="1" x14ac:dyDescent="0.25">
      <c r="A194" s="14" t="s">
        <v>2089</v>
      </c>
      <c r="B194" s="14" t="s">
        <v>623</v>
      </c>
      <c r="C194" s="22">
        <v>9832</v>
      </c>
      <c r="D194" s="14" t="s">
        <v>625</v>
      </c>
      <c r="E194" s="15" t="s">
        <v>420</v>
      </c>
      <c r="F194" s="14" t="s">
        <v>1195</v>
      </c>
      <c r="G194" s="15" t="s">
        <v>361</v>
      </c>
      <c r="H194" s="55">
        <v>668122</v>
      </c>
      <c r="I194" s="55">
        <f>VLOOKUP(G194,'[1]Dispositivos exportados de HP W'!$C:$D,2,FALSE)</f>
        <v>669164</v>
      </c>
      <c r="J194" s="55">
        <f t="shared" si="12"/>
        <v>1042</v>
      </c>
      <c r="K194" s="55">
        <f>VLOOKUP(G194,'[2]Dispositivos exportados de HP W'!$C:$D,2,FALSE)</f>
        <v>670229</v>
      </c>
      <c r="L194" s="55">
        <f t="shared" si="13"/>
        <v>1065</v>
      </c>
      <c r="M194" s="55">
        <f>VLOOKUP(G194,'[3]Dispositivos exportados de HP W'!$C:$D,2,FALSE)</f>
        <v>671195</v>
      </c>
      <c r="N194" s="55">
        <f t="shared" si="14"/>
        <v>966</v>
      </c>
      <c r="O194" s="55">
        <f>VLOOKUP(G194,'[4]Dispositivos exportados de HP W'!$C:$D,2,FALSE)</f>
        <v>672988</v>
      </c>
      <c r="P194" s="55">
        <f t="shared" si="15"/>
        <v>1793</v>
      </c>
      <c r="Q194" s="55">
        <f>VLOOKUP(G194,'[6]Dispositivos exportados de HP W'!$C:$D,2,FALSE)</f>
        <v>673456</v>
      </c>
      <c r="R194" s="55">
        <f t="shared" si="16"/>
        <v>468</v>
      </c>
      <c r="S194" s="90">
        <f t="shared" si="17"/>
        <v>5334</v>
      </c>
      <c r="T194" s="89">
        <v>46083</v>
      </c>
      <c r="U194" s="14"/>
      <c r="V194" s="105" t="s">
        <v>2383</v>
      </c>
      <c r="W194" s="105" t="str">
        <f>VLOOKUP(C194,'Status oficina'!$A$2:$C$208,3,FALSE)</f>
        <v>Activa</v>
      </c>
    </row>
    <row r="195" spans="1:23" ht="13.5" customHeight="1" x14ac:dyDescent="0.25">
      <c r="A195" s="14" t="s">
        <v>946</v>
      </c>
      <c r="B195" s="14" t="s">
        <v>976</v>
      </c>
      <c r="C195" s="120">
        <v>9540</v>
      </c>
      <c r="D195" s="14" t="s">
        <v>978</v>
      </c>
      <c r="E195" s="14" t="s">
        <v>420</v>
      </c>
      <c r="F195" s="14" t="s">
        <v>1418</v>
      </c>
      <c r="G195" s="14" t="s">
        <v>385</v>
      </c>
      <c r="H195" s="55">
        <v>770780</v>
      </c>
      <c r="I195" s="55">
        <f>VLOOKUP(G195,'[1]Dispositivos exportados de HP W'!$C:$D,2,FALSE)</f>
        <v>772245</v>
      </c>
      <c r="J195" s="55">
        <f t="shared" ref="J195:J258" si="18">I195-H195</f>
        <v>1465</v>
      </c>
      <c r="K195" s="55">
        <f>VLOOKUP(G195,'[2]Dispositivos exportados de HP W'!$C:$D,2,FALSE)</f>
        <v>773305</v>
      </c>
      <c r="L195" s="55">
        <f t="shared" ref="L195:L258" si="19">K195-I195</f>
        <v>1060</v>
      </c>
      <c r="M195" s="55">
        <f>VLOOKUP(G195,'[3]Dispositivos exportados de HP W'!$C:$D,2,FALSE)</f>
        <v>774195</v>
      </c>
      <c r="N195" s="55">
        <f t="shared" ref="N195:N258" si="20">M195-K195</f>
        <v>890</v>
      </c>
      <c r="O195" s="55">
        <f>VLOOKUP(G195,'[4]Dispositivos exportados de HP W'!$C:$D,2,FALSE)</f>
        <v>775073</v>
      </c>
      <c r="P195" s="55">
        <f t="shared" ref="P195:P258" si="21">O195-M195</f>
        <v>878</v>
      </c>
      <c r="Q195" s="55">
        <f>VLOOKUP(G195,'[6]Dispositivos exportados de HP W'!$C:$D,2,FALSE)</f>
        <v>775652</v>
      </c>
      <c r="R195" s="55">
        <f t="shared" ref="R195:R258" si="22">Q195-O195</f>
        <v>579</v>
      </c>
      <c r="S195" s="90">
        <f t="shared" ref="S195:S258" si="23">R195+P195+N195+L195+J195</f>
        <v>4872</v>
      </c>
      <c r="T195" s="89">
        <v>46083</v>
      </c>
      <c r="U195" s="14"/>
      <c r="V195" s="105" t="s">
        <v>2383</v>
      </c>
      <c r="W195" s="105" t="str">
        <f>VLOOKUP(C195,'Status oficina'!$A$2:$C$208,3,FALSE)</f>
        <v>Activa</v>
      </c>
    </row>
    <row r="196" spans="1:23" ht="13.5" customHeight="1" x14ac:dyDescent="0.25">
      <c r="A196" s="14" t="s">
        <v>2089</v>
      </c>
      <c r="B196" s="14" t="s">
        <v>632</v>
      </c>
      <c r="C196" s="120">
        <v>9446</v>
      </c>
      <c r="D196" s="14" t="s">
        <v>633</v>
      </c>
      <c r="E196" s="14" t="s">
        <v>420</v>
      </c>
      <c r="F196" s="14" t="s">
        <v>1198</v>
      </c>
      <c r="G196" s="14" t="s">
        <v>194</v>
      </c>
      <c r="H196" s="55">
        <v>493459</v>
      </c>
      <c r="I196" s="55">
        <f>VLOOKUP(G196,'[1]Dispositivos exportados de HP W'!$C:$D,2,FALSE)</f>
        <v>494961</v>
      </c>
      <c r="J196" s="55">
        <f t="shared" si="18"/>
        <v>1502</v>
      </c>
      <c r="K196" s="55">
        <f>VLOOKUP(G196,'[2]Dispositivos exportados de HP W'!$C:$D,2,FALSE)</f>
        <v>496232</v>
      </c>
      <c r="L196" s="55">
        <f t="shared" si="19"/>
        <v>1271</v>
      </c>
      <c r="M196" s="55">
        <f>VLOOKUP(G196,'[3]Dispositivos exportados de HP W'!$C:$D,2,FALSE)</f>
        <v>497265</v>
      </c>
      <c r="N196" s="55">
        <f t="shared" si="20"/>
        <v>1033</v>
      </c>
      <c r="O196" s="55">
        <f>VLOOKUP(G196,'[4]Dispositivos exportados de HP W'!$C:$D,2,FALSE)</f>
        <v>498745</v>
      </c>
      <c r="P196" s="55">
        <f t="shared" si="21"/>
        <v>1480</v>
      </c>
      <c r="Q196" s="55">
        <f>VLOOKUP(G196,'[6]Dispositivos exportados de HP W'!$C:$D,2,FALSE)</f>
        <v>499495</v>
      </c>
      <c r="R196" s="55">
        <f t="shared" si="22"/>
        <v>750</v>
      </c>
      <c r="S196" s="90">
        <f t="shared" si="23"/>
        <v>6036</v>
      </c>
      <c r="T196" s="89">
        <v>46083</v>
      </c>
      <c r="U196" s="14"/>
      <c r="V196" s="105" t="s">
        <v>2383</v>
      </c>
      <c r="W196" s="105" t="str">
        <f>VLOOKUP(C196,'Status oficina'!$A$2:$C$208,3,FALSE)</f>
        <v>Activa</v>
      </c>
    </row>
    <row r="197" spans="1:23" ht="13.5" customHeight="1" x14ac:dyDescent="0.25">
      <c r="A197" s="14" t="s">
        <v>946</v>
      </c>
      <c r="B197" s="14" t="s">
        <v>973</v>
      </c>
      <c r="C197" s="19">
        <v>9630</v>
      </c>
      <c r="D197" s="14" t="s">
        <v>975</v>
      </c>
      <c r="E197" s="14" t="s">
        <v>416</v>
      </c>
      <c r="F197" s="14" t="s">
        <v>1415</v>
      </c>
      <c r="G197" s="14"/>
      <c r="H197" s="55">
        <v>185451</v>
      </c>
      <c r="I197" s="55">
        <v>185451</v>
      </c>
      <c r="J197" s="55">
        <f t="shared" si="18"/>
        <v>0</v>
      </c>
      <c r="K197" s="55">
        <v>185451</v>
      </c>
      <c r="L197" s="55">
        <f t="shared" si="19"/>
        <v>0</v>
      </c>
      <c r="M197" s="55">
        <v>185451</v>
      </c>
      <c r="N197" s="55">
        <f t="shared" si="20"/>
        <v>0</v>
      </c>
      <c r="O197" s="55">
        <v>185451</v>
      </c>
      <c r="P197" s="55">
        <f t="shared" si="21"/>
        <v>0</v>
      </c>
      <c r="Q197" s="55">
        <v>185451</v>
      </c>
      <c r="R197" s="55">
        <f t="shared" si="22"/>
        <v>0</v>
      </c>
      <c r="S197" s="90">
        <f t="shared" si="23"/>
        <v>0</v>
      </c>
      <c r="T197" s="89">
        <v>46083</v>
      </c>
      <c r="U197" s="14" t="s">
        <v>2230</v>
      </c>
      <c r="V197" s="105" t="s">
        <v>2382</v>
      </c>
      <c r="W197" s="105" t="str">
        <f>VLOOKUP(C197,'Status oficina'!$A$2:$C$208,3,FALSE)</f>
        <v>Activa</v>
      </c>
    </row>
    <row r="198" spans="1:23" ht="13.5" customHeight="1" x14ac:dyDescent="0.25">
      <c r="A198" s="53" t="s">
        <v>872</v>
      </c>
      <c r="B198" s="53" t="s">
        <v>431</v>
      </c>
      <c r="C198" s="123">
        <v>9837</v>
      </c>
      <c r="D198" s="14" t="s">
        <v>433</v>
      </c>
      <c r="E198" s="14" t="s">
        <v>420</v>
      </c>
      <c r="F198" s="14" t="s">
        <v>1080</v>
      </c>
      <c r="G198" s="14" t="s">
        <v>34</v>
      </c>
      <c r="H198" s="55">
        <v>1004038</v>
      </c>
      <c r="I198" s="55">
        <f>VLOOKUP(G198,'[1]Dispositivos exportados de HP W'!$C:$D,2,FALSE)</f>
        <v>1006443</v>
      </c>
      <c r="J198" s="55">
        <f t="shared" si="18"/>
        <v>2405</v>
      </c>
      <c r="K198" s="55">
        <f>VLOOKUP(G198,'[2]Dispositivos exportados de HP W'!$C:$D,2,FALSE)</f>
        <v>1009007</v>
      </c>
      <c r="L198" s="55">
        <f t="shared" si="19"/>
        <v>2564</v>
      </c>
      <c r="M198" s="55">
        <f>VLOOKUP(G198,'[3]Dispositivos exportados de HP W'!$C:$D,2,FALSE)</f>
        <v>1010771</v>
      </c>
      <c r="N198" s="55">
        <f t="shared" si="20"/>
        <v>1764</v>
      </c>
      <c r="O198" s="55">
        <f>VLOOKUP(G198,'[4]Dispositivos exportados de HP W'!$C:$D,2,FALSE)</f>
        <v>1013488</v>
      </c>
      <c r="P198" s="55">
        <f t="shared" si="21"/>
        <v>2717</v>
      </c>
      <c r="Q198" s="55">
        <f>VLOOKUP(G198,'[6]Dispositivos exportados de HP W'!$C:$D,2,FALSE)</f>
        <v>1014353</v>
      </c>
      <c r="R198" s="55">
        <f t="shared" si="22"/>
        <v>865</v>
      </c>
      <c r="S198" s="90">
        <f t="shared" si="23"/>
        <v>10315</v>
      </c>
      <c r="T198" s="89">
        <v>46083</v>
      </c>
      <c r="U198" s="14"/>
      <c r="V198" s="105" t="s">
        <v>2383</v>
      </c>
      <c r="W198" s="105" t="str">
        <f>VLOOKUP(C198,'Status oficina'!$A$2:$C$208,3,FALSE)</f>
        <v>Activa</v>
      </c>
    </row>
    <row r="199" spans="1:23" ht="13.5" customHeight="1" x14ac:dyDescent="0.25">
      <c r="A199" s="14" t="s">
        <v>946</v>
      </c>
      <c r="B199" s="14" t="s">
        <v>985</v>
      </c>
      <c r="C199" s="19">
        <v>9640</v>
      </c>
      <c r="D199" s="14" t="s">
        <v>986</v>
      </c>
      <c r="E199" s="14" t="s">
        <v>420</v>
      </c>
      <c r="F199" s="14" t="s">
        <v>1422</v>
      </c>
      <c r="G199" s="14" t="s">
        <v>169</v>
      </c>
      <c r="H199" s="55">
        <v>207865</v>
      </c>
      <c r="I199" s="55">
        <f>VLOOKUP(G199,'[1]Dispositivos exportados de HP W'!$C:$D,2,FALSE)</f>
        <v>207865</v>
      </c>
      <c r="J199" s="55">
        <f t="shared" si="18"/>
        <v>0</v>
      </c>
      <c r="K199" s="55">
        <f>VLOOKUP(G199,'[2]Dispositivos exportados de HP W'!$C:$D,2,FALSE)</f>
        <v>207865</v>
      </c>
      <c r="L199" s="55">
        <f t="shared" si="19"/>
        <v>0</v>
      </c>
      <c r="M199" s="55">
        <f>VLOOKUP(G199,'[3]Dispositivos exportados de HP W'!$C:$D,2,FALSE)</f>
        <v>207865</v>
      </c>
      <c r="N199" s="55">
        <f t="shared" si="20"/>
        <v>0</v>
      </c>
      <c r="O199" s="55">
        <f>VLOOKUP(G199,'[4]Dispositivos exportados de HP W'!$C:$D,2,FALSE)</f>
        <v>207865</v>
      </c>
      <c r="P199" s="55">
        <f t="shared" si="21"/>
        <v>0</v>
      </c>
      <c r="Q199" s="55">
        <f>VLOOKUP(G199,'[6]Dispositivos exportados de HP W'!$C:$D,2,FALSE)</f>
        <v>207865</v>
      </c>
      <c r="R199" s="55">
        <f t="shared" si="22"/>
        <v>0</v>
      </c>
      <c r="S199" s="90">
        <f t="shared" si="23"/>
        <v>0</v>
      </c>
      <c r="T199" s="89">
        <v>46083</v>
      </c>
      <c r="U199" s="14" t="s">
        <v>2040</v>
      </c>
      <c r="V199" s="105" t="s">
        <v>2239</v>
      </c>
      <c r="W199" s="105" t="str">
        <f>VLOOKUP(C199,'Status oficina'!$A$2:$C$208,3,FALSE)</f>
        <v>Cierre temporal</v>
      </c>
    </row>
    <row r="200" spans="1:23" ht="13.5" customHeight="1" x14ac:dyDescent="0.25">
      <c r="A200" s="14" t="s">
        <v>946</v>
      </c>
      <c r="B200" s="14" t="s">
        <v>999</v>
      </c>
      <c r="C200" s="120">
        <v>9610</v>
      </c>
      <c r="D200" s="14" t="s">
        <v>1000</v>
      </c>
      <c r="E200" s="14" t="s">
        <v>420</v>
      </c>
      <c r="F200" s="14" t="s">
        <v>1433</v>
      </c>
      <c r="G200" s="14" t="s">
        <v>165</v>
      </c>
      <c r="H200" s="55">
        <v>886572</v>
      </c>
      <c r="I200" s="55">
        <f>VLOOKUP(G200,'[1]Dispositivos exportados de HP W'!$C:$D,2,FALSE)</f>
        <v>888475</v>
      </c>
      <c r="J200" s="55">
        <f t="shared" si="18"/>
        <v>1903</v>
      </c>
      <c r="K200" s="55">
        <f>VLOOKUP(G200,'[2]Dispositivos exportados de HP W'!$C:$D,2,FALSE)</f>
        <v>890300</v>
      </c>
      <c r="L200" s="55">
        <f t="shared" si="19"/>
        <v>1825</v>
      </c>
      <c r="M200" s="55">
        <f>VLOOKUP(G200,'[3]Dispositivos exportados de HP W'!$C:$D,2,FALSE)</f>
        <v>891673</v>
      </c>
      <c r="N200" s="55">
        <f t="shared" si="20"/>
        <v>1373</v>
      </c>
      <c r="O200" s="55">
        <f>VLOOKUP(G200,'[4]Dispositivos exportados de HP W'!$C:$D,2,FALSE)</f>
        <v>893455</v>
      </c>
      <c r="P200" s="55">
        <f t="shared" si="21"/>
        <v>1782</v>
      </c>
      <c r="Q200" s="55">
        <f>VLOOKUP(G200,'[6]Dispositivos exportados de HP W'!$C:$D,2,FALSE)</f>
        <v>894066</v>
      </c>
      <c r="R200" s="55">
        <f t="shared" si="22"/>
        <v>611</v>
      </c>
      <c r="S200" s="90">
        <f t="shared" si="23"/>
        <v>7494</v>
      </c>
      <c r="T200" s="89">
        <v>46083</v>
      </c>
      <c r="U200" s="14"/>
      <c r="V200" s="105" t="s">
        <v>2383</v>
      </c>
      <c r="W200" s="105" t="str">
        <f>VLOOKUP(C200,'Status oficina'!$A$2:$C$208,3,FALSE)</f>
        <v>Activa</v>
      </c>
    </row>
    <row r="201" spans="1:23" ht="13.5" customHeight="1" x14ac:dyDescent="0.25">
      <c r="A201" s="14" t="s">
        <v>946</v>
      </c>
      <c r="B201" s="14" t="s">
        <v>973</v>
      </c>
      <c r="C201" s="19">
        <v>9630</v>
      </c>
      <c r="D201" s="14" t="s">
        <v>974</v>
      </c>
      <c r="E201" s="14" t="s">
        <v>420</v>
      </c>
      <c r="F201" s="14" t="s">
        <v>1414</v>
      </c>
      <c r="G201" s="14" t="s">
        <v>117</v>
      </c>
      <c r="H201" s="55">
        <v>1055637</v>
      </c>
      <c r="I201" s="55">
        <f>VLOOKUP(G201,'[1]Dispositivos exportados de HP W'!$C:$D,2,FALSE)</f>
        <v>1057536</v>
      </c>
      <c r="J201" s="55">
        <f t="shared" si="18"/>
        <v>1899</v>
      </c>
      <c r="K201" s="55">
        <f>VLOOKUP(G201,'[2]Dispositivos exportados de HP W'!$C:$D,2,FALSE)</f>
        <v>1058990</v>
      </c>
      <c r="L201" s="55">
        <f t="shared" si="19"/>
        <v>1454</v>
      </c>
      <c r="M201" s="55">
        <f>VLOOKUP(G201,'[3]Dispositivos exportados de HP W'!$C:$D,2,FALSE)</f>
        <v>1060793</v>
      </c>
      <c r="N201" s="55">
        <f t="shared" si="20"/>
        <v>1803</v>
      </c>
      <c r="O201" s="55">
        <f>VLOOKUP(G201,'[4]Dispositivos exportados de HP W'!$C:$D,2,FALSE)</f>
        <v>1063255</v>
      </c>
      <c r="P201" s="55">
        <f t="shared" si="21"/>
        <v>2462</v>
      </c>
      <c r="Q201" s="55">
        <f>VLOOKUP(G201,'[6]Dispositivos exportados de HP W'!$C:$D,2,FALSE)</f>
        <v>1064099</v>
      </c>
      <c r="R201" s="55">
        <f t="shared" si="22"/>
        <v>844</v>
      </c>
      <c r="S201" s="90">
        <f t="shared" si="23"/>
        <v>8462</v>
      </c>
      <c r="T201" s="89">
        <v>46083</v>
      </c>
      <c r="U201" s="14"/>
      <c r="V201" s="105" t="s">
        <v>2383</v>
      </c>
      <c r="W201" s="105" t="str">
        <f>VLOOKUP(C201,'Status oficina'!$A$2:$C$208,3,FALSE)</f>
        <v>Activa</v>
      </c>
    </row>
    <row r="202" spans="1:23" ht="13.5" customHeight="1" x14ac:dyDescent="0.25">
      <c r="A202" s="14" t="s">
        <v>2089</v>
      </c>
      <c r="B202" s="14" t="s">
        <v>597</v>
      </c>
      <c r="C202" s="19">
        <v>9831</v>
      </c>
      <c r="D202" s="14" t="s">
        <v>598</v>
      </c>
      <c r="E202" s="14" t="s">
        <v>420</v>
      </c>
      <c r="F202" s="14" t="s">
        <v>1066</v>
      </c>
      <c r="G202" s="14" t="s">
        <v>168</v>
      </c>
      <c r="H202" s="55">
        <v>813380</v>
      </c>
      <c r="I202" s="55">
        <f>VLOOKUP(G202,'[1]Dispositivos exportados de HP W'!$C:$D,2,FALSE)</f>
        <v>815749</v>
      </c>
      <c r="J202" s="55">
        <f t="shared" si="18"/>
        <v>2369</v>
      </c>
      <c r="K202" s="55">
        <f>VLOOKUP(G202,'[2]Dispositivos exportados de HP W'!$C:$D,2,FALSE)</f>
        <v>818390</v>
      </c>
      <c r="L202" s="55">
        <f t="shared" si="19"/>
        <v>2641</v>
      </c>
      <c r="M202" s="55">
        <f>VLOOKUP(G202,'[3]Dispositivos exportados de HP W'!$C:$D,2,FALSE)</f>
        <v>820830</v>
      </c>
      <c r="N202" s="55">
        <f t="shared" si="20"/>
        <v>2440</v>
      </c>
      <c r="O202" s="55">
        <f>VLOOKUP(G202,'[4]Dispositivos exportados de HP W'!$C:$D,2,FALSE)</f>
        <v>823584</v>
      </c>
      <c r="P202" s="55">
        <f t="shared" si="21"/>
        <v>2754</v>
      </c>
      <c r="Q202" s="55">
        <f>VLOOKUP(G202,'[6]Dispositivos exportados de HP W'!$C:$D,2,FALSE)</f>
        <v>825011</v>
      </c>
      <c r="R202" s="55">
        <f t="shared" si="22"/>
        <v>1427</v>
      </c>
      <c r="S202" s="90">
        <f t="shared" si="23"/>
        <v>11631</v>
      </c>
      <c r="T202" s="89">
        <v>46083</v>
      </c>
      <c r="U202" s="14"/>
      <c r="V202" s="105" t="s">
        <v>2383</v>
      </c>
      <c r="W202" s="105" t="str">
        <f>VLOOKUP(C202,'Status oficina'!$A$2:$C$208,3,FALSE)</f>
        <v>Activa</v>
      </c>
    </row>
    <row r="203" spans="1:23" ht="13.5" customHeight="1" x14ac:dyDescent="0.25">
      <c r="A203" s="14" t="s">
        <v>946</v>
      </c>
      <c r="B203" s="14" t="s">
        <v>1061</v>
      </c>
      <c r="C203" s="22">
        <v>9654</v>
      </c>
      <c r="D203" s="14" t="s">
        <v>1062</v>
      </c>
      <c r="E203" s="14" t="s">
        <v>420</v>
      </c>
      <c r="F203" s="12" t="s">
        <v>1468</v>
      </c>
      <c r="G203" s="14" t="s">
        <v>14</v>
      </c>
      <c r="H203" s="55">
        <v>494977</v>
      </c>
      <c r="I203" s="55">
        <f>VLOOKUP(G203,'[1]Dispositivos exportados de HP W'!$C:$D,2,FALSE)</f>
        <v>494977</v>
      </c>
      <c r="J203" s="55">
        <f t="shared" si="18"/>
        <v>0</v>
      </c>
      <c r="K203" s="55">
        <f>VLOOKUP(G203,'[2]Dispositivos exportados de HP W'!$C:$D,2,FALSE)</f>
        <v>494977</v>
      </c>
      <c r="L203" s="55">
        <f t="shared" si="19"/>
        <v>0</v>
      </c>
      <c r="M203" s="55">
        <f>VLOOKUP(G203,'[3]Dispositivos exportados de HP W'!$C:$D,2,FALSE)</f>
        <v>494977</v>
      </c>
      <c r="N203" s="55">
        <f t="shared" si="20"/>
        <v>0</v>
      </c>
      <c r="O203" s="55">
        <f>VLOOKUP(G203,'[4]Dispositivos exportados de HP W'!$C:$D,2,FALSE)</f>
        <v>494977</v>
      </c>
      <c r="P203" s="55">
        <f t="shared" si="21"/>
        <v>0</v>
      </c>
      <c r="Q203" s="55">
        <f>VLOOKUP(G203,'[6]Dispositivos exportados de HP W'!$C:$D,2,FALSE)</f>
        <v>494977</v>
      </c>
      <c r="R203" s="55">
        <f t="shared" si="22"/>
        <v>0</v>
      </c>
      <c r="S203" s="90">
        <f t="shared" si="23"/>
        <v>0</v>
      </c>
      <c r="T203" s="89">
        <v>46083</v>
      </c>
      <c r="U203" s="14"/>
      <c r="V203" s="105" t="s">
        <v>2239</v>
      </c>
      <c r="W203" s="105" t="str">
        <f>VLOOKUP(C203,'Status oficina'!$A$2:$C$208,3,FALSE)</f>
        <v>Cierre temporal</v>
      </c>
    </row>
    <row r="204" spans="1:23" ht="13.5" customHeight="1" x14ac:dyDescent="0.25">
      <c r="A204" s="14" t="s">
        <v>946</v>
      </c>
      <c r="B204" s="14" t="s">
        <v>1061</v>
      </c>
      <c r="C204" s="22">
        <v>9654</v>
      </c>
      <c r="D204" s="14" t="s">
        <v>1062</v>
      </c>
      <c r="E204" s="14" t="s">
        <v>416</v>
      </c>
      <c r="F204" s="14" t="s">
        <v>1469</v>
      </c>
      <c r="G204" s="14" t="s">
        <v>394</v>
      </c>
      <c r="H204" s="55">
        <v>173577</v>
      </c>
      <c r="I204" s="55">
        <f>VLOOKUP(G204,'[1]Dispositivos exportados de HP W'!$C:$D,2,FALSE)</f>
        <v>173577</v>
      </c>
      <c r="J204" s="55">
        <f t="shared" si="18"/>
        <v>0</v>
      </c>
      <c r="K204" s="55">
        <f>VLOOKUP(G204,'[2]Dispositivos exportados de HP W'!$C:$D,2,FALSE)</f>
        <v>173577</v>
      </c>
      <c r="L204" s="55">
        <f t="shared" si="19"/>
        <v>0</v>
      </c>
      <c r="M204" s="55">
        <f>VLOOKUP(G204,'[3]Dispositivos exportados de HP W'!$C:$D,2,FALSE)</f>
        <v>173577</v>
      </c>
      <c r="N204" s="55">
        <f t="shared" si="20"/>
        <v>0</v>
      </c>
      <c r="O204" s="55">
        <f>VLOOKUP(G204,'[4]Dispositivos exportados de HP W'!$C:$D,2,FALSE)</f>
        <v>173577</v>
      </c>
      <c r="P204" s="55">
        <f t="shared" si="21"/>
        <v>0</v>
      </c>
      <c r="Q204" s="55">
        <f>VLOOKUP(G204,'[6]Dispositivos exportados de HP W'!$C:$D,2,FALSE)</f>
        <v>173577</v>
      </c>
      <c r="R204" s="55">
        <f t="shared" si="22"/>
        <v>0</v>
      </c>
      <c r="S204" s="90">
        <f t="shared" si="23"/>
        <v>0</v>
      </c>
      <c r="T204" s="89">
        <v>46083</v>
      </c>
      <c r="U204" s="14"/>
      <c r="V204" s="105" t="s">
        <v>2239</v>
      </c>
      <c r="W204" s="105" t="str">
        <f>VLOOKUP(C204,'Status oficina'!$A$2:$C$208,3,FALSE)</f>
        <v>Cierre temporal</v>
      </c>
    </row>
    <row r="205" spans="1:23" ht="13.5" customHeight="1" x14ac:dyDescent="0.25">
      <c r="A205" s="14" t="s">
        <v>872</v>
      </c>
      <c r="B205" s="14" t="s">
        <v>885</v>
      </c>
      <c r="C205" s="19">
        <v>9815</v>
      </c>
      <c r="D205" s="14" t="s">
        <v>887</v>
      </c>
      <c r="E205" s="14" t="s">
        <v>420</v>
      </c>
      <c r="F205" s="14" t="s">
        <v>1354</v>
      </c>
      <c r="G205" s="14" t="s">
        <v>278</v>
      </c>
      <c r="H205" s="55">
        <v>756260</v>
      </c>
      <c r="I205" s="55">
        <f>VLOOKUP(G205,'[1]Dispositivos exportados de HP W'!$C:$D,2,FALSE)</f>
        <v>758677</v>
      </c>
      <c r="J205" s="55">
        <f t="shared" si="18"/>
        <v>2417</v>
      </c>
      <c r="K205" s="55">
        <f>VLOOKUP(G205,'[2]Dispositivos exportados de HP W'!$C:$D,2,FALSE)</f>
        <v>760720</v>
      </c>
      <c r="L205" s="55">
        <f t="shared" si="19"/>
        <v>2043</v>
      </c>
      <c r="M205" s="55">
        <f>VLOOKUP(G205,'[3]Dispositivos exportados de HP W'!$C:$D,2,FALSE)</f>
        <v>761990</v>
      </c>
      <c r="N205" s="55">
        <f t="shared" si="20"/>
        <v>1270</v>
      </c>
      <c r="O205" s="55">
        <f>VLOOKUP(G205,'[4]Dispositivos exportados de HP W'!$C:$D,2,FALSE)</f>
        <v>764148</v>
      </c>
      <c r="P205" s="55">
        <f t="shared" si="21"/>
        <v>2158</v>
      </c>
      <c r="Q205" s="55">
        <f>VLOOKUP(G205,'[6]Dispositivos exportados de HP W'!$C:$D,2,FALSE)</f>
        <v>765137</v>
      </c>
      <c r="R205" s="55">
        <f t="shared" si="22"/>
        <v>989</v>
      </c>
      <c r="S205" s="90">
        <f t="shared" si="23"/>
        <v>8877</v>
      </c>
      <c r="T205" s="89">
        <v>46083</v>
      </c>
      <c r="U205" s="14"/>
      <c r="V205" s="105" t="s">
        <v>2383</v>
      </c>
      <c r="W205" s="105" t="str">
        <f>VLOOKUP(C205,'Status oficina'!$A$2:$C$208,3,FALSE)</f>
        <v>Activa</v>
      </c>
    </row>
    <row r="206" spans="1:23" ht="13.5" customHeight="1" x14ac:dyDescent="0.25">
      <c r="A206" s="14" t="s">
        <v>2089</v>
      </c>
      <c r="B206" s="14" t="s">
        <v>527</v>
      </c>
      <c r="C206" s="19">
        <v>9340</v>
      </c>
      <c r="D206" s="14" t="s">
        <v>528</v>
      </c>
      <c r="E206" s="14" t="s">
        <v>420</v>
      </c>
      <c r="F206" s="14" t="s">
        <v>1146</v>
      </c>
      <c r="G206" s="14" t="s">
        <v>3</v>
      </c>
      <c r="H206" s="55">
        <v>1136417</v>
      </c>
      <c r="I206" s="55">
        <f>VLOOKUP(G206,'[1]Dispositivos exportados de HP W'!$C:$D,2,FALSE)</f>
        <v>1138573</v>
      </c>
      <c r="J206" s="55">
        <f t="shared" si="18"/>
        <v>2156</v>
      </c>
      <c r="K206" s="55">
        <f>VLOOKUP(G206,'[2]Dispositivos exportados de HP W'!$C:$D,2,FALSE)</f>
        <v>1140595</v>
      </c>
      <c r="L206" s="55">
        <f t="shared" si="19"/>
        <v>2022</v>
      </c>
      <c r="M206" s="55">
        <f>VLOOKUP(G206,'[3]Dispositivos exportados de HP W'!$C:$D,2,FALSE)</f>
        <v>1142180</v>
      </c>
      <c r="N206" s="55">
        <f t="shared" si="20"/>
        <v>1585</v>
      </c>
      <c r="O206" s="55">
        <f>VLOOKUP(G206,'[4]Dispositivos exportados de HP W'!$C:$D,2,FALSE)</f>
        <v>1143900</v>
      </c>
      <c r="P206" s="55">
        <f t="shared" si="21"/>
        <v>1720</v>
      </c>
      <c r="Q206" s="55">
        <f>VLOOKUP(G206,'[6]Dispositivos exportados de HP W'!$C:$D,2,FALSE)</f>
        <v>1144834</v>
      </c>
      <c r="R206" s="55">
        <f t="shared" si="22"/>
        <v>934</v>
      </c>
      <c r="S206" s="90">
        <f t="shared" si="23"/>
        <v>8417</v>
      </c>
      <c r="T206" s="89">
        <v>46083</v>
      </c>
      <c r="U206" s="14"/>
      <c r="V206" s="105" t="s">
        <v>2383</v>
      </c>
      <c r="W206" s="105" t="str">
        <f>VLOOKUP(C206,'Status oficina'!$A$2:$C$208,3,FALSE)</f>
        <v>Activa</v>
      </c>
    </row>
    <row r="207" spans="1:23" ht="13.5" customHeight="1" x14ac:dyDescent="0.25">
      <c r="A207" s="14" t="s">
        <v>2089</v>
      </c>
      <c r="B207" s="14" t="s">
        <v>527</v>
      </c>
      <c r="C207" s="19">
        <v>9340</v>
      </c>
      <c r="D207" s="14" t="s">
        <v>2411</v>
      </c>
      <c r="E207" s="14" t="s">
        <v>416</v>
      </c>
      <c r="F207" s="14" t="s">
        <v>2409</v>
      </c>
      <c r="G207" s="14" t="s">
        <v>2410</v>
      </c>
      <c r="H207" s="55">
        <v>323795</v>
      </c>
      <c r="I207" s="55">
        <f>VLOOKUP(G207,'[1]Dispositivos exportados de HP W'!$C:$D,2,FALSE)</f>
        <v>324025</v>
      </c>
      <c r="J207" s="55">
        <f t="shared" si="18"/>
        <v>230</v>
      </c>
      <c r="K207" s="55">
        <f>VLOOKUP(G207,'[2]Dispositivos exportados de HP W'!$C:$D,2,FALSE)</f>
        <v>324060</v>
      </c>
      <c r="L207" s="55">
        <f t="shared" si="19"/>
        <v>35</v>
      </c>
      <c r="M207" s="55">
        <f>VLOOKUP(G207,'[3]Dispositivos exportados de HP W'!$C:$D,2,FALSE)</f>
        <v>324227</v>
      </c>
      <c r="N207" s="55">
        <f t="shared" si="20"/>
        <v>167</v>
      </c>
      <c r="O207" s="55">
        <f>VLOOKUP(G207,'[4]Dispositivos exportados de HP W'!$C:$D,2,FALSE)</f>
        <v>324539</v>
      </c>
      <c r="P207" s="55">
        <f t="shared" si="21"/>
        <v>312</v>
      </c>
      <c r="Q207" s="55">
        <f>VLOOKUP(G207,'[6]Dispositivos exportados de HP W'!$C:$D,2,FALSE)</f>
        <v>324610</v>
      </c>
      <c r="R207" s="55">
        <f t="shared" si="22"/>
        <v>71</v>
      </c>
      <c r="S207" s="90">
        <f t="shared" si="23"/>
        <v>815</v>
      </c>
      <c r="T207" s="89">
        <v>46083</v>
      </c>
      <c r="U207" s="14"/>
      <c r="V207" s="105" t="s">
        <v>2383</v>
      </c>
      <c r="W207" s="105" t="str">
        <f>VLOOKUP(C207,'Status oficina'!$A$2:$C$208,3,FALSE)</f>
        <v>Activa</v>
      </c>
    </row>
    <row r="208" spans="1:23" ht="13.5" customHeight="1" x14ac:dyDescent="0.25">
      <c r="A208" s="53" t="s">
        <v>872</v>
      </c>
      <c r="B208" s="53" t="s">
        <v>447</v>
      </c>
      <c r="C208" s="120">
        <v>9947</v>
      </c>
      <c r="D208" s="14" t="s">
        <v>448</v>
      </c>
      <c r="E208" s="14" t="s">
        <v>420</v>
      </c>
      <c r="F208" s="14" t="s">
        <v>1090</v>
      </c>
      <c r="G208" s="14" t="s">
        <v>26</v>
      </c>
      <c r="H208" s="55">
        <v>404520</v>
      </c>
      <c r="I208" s="55">
        <f>VLOOKUP(G208,'[1]Dispositivos exportados de HP W'!$C:$D,2,FALSE)</f>
        <v>404520</v>
      </c>
      <c r="J208" s="55">
        <f t="shared" si="18"/>
        <v>0</v>
      </c>
      <c r="K208" s="55">
        <f>VLOOKUP(G208,'[2]Dispositivos exportados de HP W'!$C:$D,2,FALSE)</f>
        <v>404520</v>
      </c>
      <c r="L208" s="55">
        <f t="shared" si="19"/>
        <v>0</v>
      </c>
      <c r="M208" s="55">
        <f>VLOOKUP(G208,'[3]Dispositivos exportados de HP W'!$C:$D,2,FALSE)</f>
        <v>404520</v>
      </c>
      <c r="N208" s="55">
        <f t="shared" si="20"/>
        <v>0</v>
      </c>
      <c r="O208" s="55">
        <f>VLOOKUP(G208,'[4]Dispositivos exportados de HP W'!$C:$D,2,FALSE)</f>
        <v>404520</v>
      </c>
      <c r="P208" s="55">
        <f t="shared" si="21"/>
        <v>0</v>
      </c>
      <c r="Q208" s="55">
        <f>VLOOKUP(G208,'[6]Dispositivos exportados de HP W'!$C:$D,2,FALSE)</f>
        <v>404520</v>
      </c>
      <c r="R208" s="55">
        <f t="shared" si="22"/>
        <v>0</v>
      </c>
      <c r="S208" s="90">
        <f t="shared" si="23"/>
        <v>0</v>
      </c>
      <c r="T208" s="89">
        <v>46083</v>
      </c>
      <c r="U208" s="14"/>
      <c r="V208" s="108" t="s">
        <v>2458</v>
      </c>
      <c r="W208" s="105" t="str">
        <f>VLOOKUP(C208,'Status oficina'!$A$2:$C$208,3,FALSE)</f>
        <v>Cierre definitivo</v>
      </c>
    </row>
    <row r="209" spans="1:23" ht="13.5" customHeight="1" x14ac:dyDescent="0.25">
      <c r="A209" s="53" t="s">
        <v>872</v>
      </c>
      <c r="B209" s="53" t="s">
        <v>444</v>
      </c>
      <c r="C209" s="120">
        <v>9869</v>
      </c>
      <c r="D209" s="14" t="s">
        <v>461</v>
      </c>
      <c r="E209" s="14" t="s">
        <v>420</v>
      </c>
      <c r="F209" s="14" t="s">
        <v>1096</v>
      </c>
      <c r="G209" s="14" t="s">
        <v>104</v>
      </c>
      <c r="H209" s="55">
        <v>342959</v>
      </c>
      <c r="I209" s="55">
        <f>VLOOKUP(G209,'[1]Dispositivos exportados de HP W'!$C:$D,2,FALSE)</f>
        <v>343290</v>
      </c>
      <c r="J209" s="55">
        <f t="shared" si="18"/>
        <v>331</v>
      </c>
      <c r="K209" s="55">
        <f>VLOOKUP(G209,'[2]Dispositivos exportados de HP W'!$C:$D,2,FALSE)</f>
        <v>343475</v>
      </c>
      <c r="L209" s="55">
        <f t="shared" si="19"/>
        <v>185</v>
      </c>
      <c r="M209" s="55">
        <f>VLOOKUP(G209,'[3]Dispositivos exportados de HP W'!$C:$D,2,FALSE)</f>
        <v>343733</v>
      </c>
      <c r="N209" s="55">
        <f t="shared" si="20"/>
        <v>258</v>
      </c>
      <c r="O209" s="55">
        <f>VLOOKUP(G209,'[4]Dispositivos exportados de HP W'!$C:$D,2,FALSE)</f>
        <v>343926</v>
      </c>
      <c r="P209" s="55">
        <f t="shared" si="21"/>
        <v>193</v>
      </c>
      <c r="Q209" s="55">
        <f>VLOOKUP(G209,'[6]Dispositivos exportados de HP W'!$C:$D,2,FALSE)</f>
        <v>344045</v>
      </c>
      <c r="R209" s="55">
        <f t="shared" si="22"/>
        <v>119</v>
      </c>
      <c r="S209" s="90">
        <f t="shared" si="23"/>
        <v>1086</v>
      </c>
      <c r="T209" s="89">
        <v>46083</v>
      </c>
      <c r="U209" s="14"/>
      <c r="V209" s="105" t="s">
        <v>2383</v>
      </c>
      <c r="W209" s="105" t="str">
        <f>VLOOKUP(C209,'Status oficina'!$A$2:$C$208,3,FALSE)</f>
        <v>Activa</v>
      </c>
    </row>
    <row r="210" spans="1:23" ht="13.5" customHeight="1" x14ac:dyDescent="0.25">
      <c r="A210" s="14" t="s">
        <v>946</v>
      </c>
      <c r="B210" s="14" t="s">
        <v>967</v>
      </c>
      <c r="C210" s="19">
        <v>9555</v>
      </c>
      <c r="D210" s="14" t="s">
        <v>968</v>
      </c>
      <c r="E210" s="14" t="s">
        <v>420</v>
      </c>
      <c r="F210" s="14" t="s">
        <v>1409</v>
      </c>
      <c r="G210" s="14" t="s">
        <v>164</v>
      </c>
      <c r="H210" s="55">
        <v>393629</v>
      </c>
      <c r="I210" s="55">
        <f>VLOOKUP(G210,'[1]Dispositivos exportados de HP W'!$C:$D,2,FALSE)</f>
        <v>394129</v>
      </c>
      <c r="J210" s="55">
        <f t="shared" si="18"/>
        <v>500</v>
      </c>
      <c r="K210" s="55">
        <f>VLOOKUP(G210,'[2]Dispositivos exportados de HP W'!$C:$D,2,FALSE)</f>
        <v>394683</v>
      </c>
      <c r="L210" s="55">
        <f t="shared" si="19"/>
        <v>554</v>
      </c>
      <c r="M210" s="55">
        <f>VLOOKUP(G210,'[3]Dispositivos exportados de HP W'!$C:$D,2,FALSE)</f>
        <v>395090</v>
      </c>
      <c r="N210" s="55">
        <f t="shared" si="20"/>
        <v>407</v>
      </c>
      <c r="O210" s="55">
        <f>VLOOKUP(G210,'[4]Dispositivos exportados de HP W'!$C:$D,2,FALSE)</f>
        <v>395658</v>
      </c>
      <c r="P210" s="55">
        <f t="shared" si="21"/>
        <v>568</v>
      </c>
      <c r="Q210" s="55">
        <f>VLOOKUP(G210,'[6]Dispositivos exportados de HP W'!$C:$D,2,FALSE)</f>
        <v>395866</v>
      </c>
      <c r="R210" s="55">
        <f t="shared" si="22"/>
        <v>208</v>
      </c>
      <c r="S210" s="90">
        <f t="shared" si="23"/>
        <v>2237</v>
      </c>
      <c r="T210" s="89">
        <v>46083</v>
      </c>
      <c r="U210" s="14"/>
      <c r="V210" s="105" t="s">
        <v>2383</v>
      </c>
      <c r="W210" s="105" t="str">
        <f>VLOOKUP(C210,'Status oficina'!$A$2:$C$208,3,FALSE)</f>
        <v>Activa</v>
      </c>
    </row>
    <row r="211" spans="1:23" ht="13.5" customHeight="1" x14ac:dyDescent="0.25">
      <c r="A211" s="14" t="s">
        <v>946</v>
      </c>
      <c r="B211" s="14" t="s">
        <v>1016</v>
      </c>
      <c r="C211" s="19">
        <v>9658</v>
      </c>
      <c r="D211" s="14" t="s">
        <v>1017</v>
      </c>
      <c r="E211" s="14" t="s">
        <v>420</v>
      </c>
      <c r="F211" s="14" t="s">
        <v>1438</v>
      </c>
      <c r="G211" s="14" t="s">
        <v>186</v>
      </c>
      <c r="H211" s="55">
        <v>515512</v>
      </c>
      <c r="I211" s="55">
        <f>VLOOKUP(G211,'[1]Dispositivos exportados de HP W'!$C:$D,2,FALSE)</f>
        <v>515512</v>
      </c>
      <c r="J211" s="55">
        <f t="shared" si="18"/>
        <v>0</v>
      </c>
      <c r="K211" s="55">
        <f>VLOOKUP(G211,'[2]Dispositivos exportados de HP W'!$C:$D,2,FALSE)</f>
        <v>515512</v>
      </c>
      <c r="L211" s="55">
        <f t="shared" si="19"/>
        <v>0</v>
      </c>
      <c r="M211" s="55">
        <f>VLOOKUP(G211,'[3]Dispositivos exportados de HP W'!$C:$D,2,FALSE)</f>
        <v>515512</v>
      </c>
      <c r="N211" s="55">
        <f t="shared" si="20"/>
        <v>0</v>
      </c>
      <c r="O211" s="55">
        <f>VLOOKUP(G211,'[4]Dispositivos exportados de HP W'!$C:$D,2,FALSE)</f>
        <v>515512</v>
      </c>
      <c r="P211" s="55">
        <f t="shared" si="21"/>
        <v>0</v>
      </c>
      <c r="Q211" s="55">
        <f>VLOOKUP(G211,'[6]Dispositivos exportados de HP W'!$C:$D,2,FALSE)</f>
        <v>515512</v>
      </c>
      <c r="R211" s="55">
        <f t="shared" si="22"/>
        <v>0</v>
      </c>
      <c r="S211" s="90">
        <f t="shared" si="23"/>
        <v>0</v>
      </c>
      <c r="T211" s="89">
        <v>46083</v>
      </c>
      <c r="U211" s="14"/>
      <c r="V211" s="105" t="s">
        <v>2239</v>
      </c>
      <c r="W211" s="105" t="str">
        <f>VLOOKUP(C211,'Status oficina'!$A$2:$C$208,3,FALSE)</f>
        <v>Cierre temporal</v>
      </c>
    </row>
    <row r="212" spans="1:23" ht="13.5" customHeight="1" x14ac:dyDescent="0.25">
      <c r="A212" s="14" t="s">
        <v>946</v>
      </c>
      <c r="B212" s="14" t="s">
        <v>947</v>
      </c>
      <c r="C212" s="19">
        <v>9660</v>
      </c>
      <c r="D212" s="14" t="s">
        <v>2056</v>
      </c>
      <c r="E212" s="14" t="s">
        <v>416</v>
      </c>
      <c r="F212" s="14" t="s">
        <v>1399</v>
      </c>
      <c r="G212" s="2"/>
      <c r="H212" s="55">
        <v>210346</v>
      </c>
      <c r="I212" s="55">
        <v>210346</v>
      </c>
      <c r="J212" s="55">
        <f t="shared" si="18"/>
        <v>0</v>
      </c>
      <c r="K212" s="55">
        <v>210346</v>
      </c>
      <c r="L212" s="55">
        <f t="shared" si="19"/>
        <v>0</v>
      </c>
      <c r="M212" s="55">
        <v>210346</v>
      </c>
      <c r="N212" s="55">
        <f t="shared" si="20"/>
        <v>0</v>
      </c>
      <c r="O212" s="55">
        <v>210346</v>
      </c>
      <c r="P212" s="55">
        <f t="shared" si="21"/>
        <v>0</v>
      </c>
      <c r="Q212" s="55">
        <v>210346</v>
      </c>
      <c r="R212" s="55">
        <f t="shared" si="22"/>
        <v>0</v>
      </c>
      <c r="S212" s="90">
        <f t="shared" si="23"/>
        <v>0</v>
      </c>
      <c r="T212" s="89">
        <v>46083</v>
      </c>
      <c r="U212" s="105" t="s">
        <v>2467</v>
      </c>
      <c r="V212" s="105" t="s">
        <v>2382</v>
      </c>
      <c r="W212" s="105" t="str">
        <f>VLOOKUP(C212,'Status oficina'!$A$2:$C$208,3,FALSE)</f>
        <v>Cierre temporal</v>
      </c>
    </row>
    <row r="213" spans="1:23" ht="13.5" customHeight="1" x14ac:dyDescent="0.25">
      <c r="A213" s="53" t="s">
        <v>872</v>
      </c>
      <c r="B213" s="53" t="s">
        <v>421</v>
      </c>
      <c r="C213" s="19">
        <v>9874</v>
      </c>
      <c r="D213" s="14" t="s">
        <v>422</v>
      </c>
      <c r="E213" s="14" t="s">
        <v>420</v>
      </c>
      <c r="F213" s="14" t="s">
        <v>1073</v>
      </c>
      <c r="G213" s="14" t="s">
        <v>257</v>
      </c>
      <c r="H213" s="55">
        <v>467410</v>
      </c>
      <c r="I213" s="55">
        <f>VLOOKUP(G213,'[1]Dispositivos exportados de HP W'!$C:$D,2,FALSE)</f>
        <v>468316</v>
      </c>
      <c r="J213" s="55">
        <f t="shared" si="18"/>
        <v>906</v>
      </c>
      <c r="K213" s="55">
        <f>VLOOKUP(G213,'[2]Dispositivos exportados de HP W'!$C:$D,2,FALSE)</f>
        <v>469039</v>
      </c>
      <c r="L213" s="55">
        <f t="shared" si="19"/>
        <v>723</v>
      </c>
      <c r="M213" s="55">
        <f>VLOOKUP(G213,'[3]Dispositivos exportados de HP W'!$C:$D,2,FALSE)</f>
        <v>469592</v>
      </c>
      <c r="N213" s="55">
        <f t="shared" si="20"/>
        <v>553</v>
      </c>
      <c r="O213" s="55">
        <f>VLOOKUP(G213,'[4]Dispositivos exportados de HP W'!$C:$D,2,FALSE)</f>
        <v>470146</v>
      </c>
      <c r="P213" s="55">
        <f t="shared" si="21"/>
        <v>554</v>
      </c>
      <c r="Q213" s="55">
        <f>VLOOKUP(G213,'[6]Dispositivos exportados de HP W'!$C:$D,2,FALSE)</f>
        <v>470453</v>
      </c>
      <c r="R213" s="55">
        <f t="shared" si="22"/>
        <v>307</v>
      </c>
      <c r="S213" s="90">
        <f t="shared" si="23"/>
        <v>3043</v>
      </c>
      <c r="T213" s="89">
        <v>46083</v>
      </c>
      <c r="U213" s="14"/>
      <c r="V213" s="105" t="s">
        <v>2383</v>
      </c>
      <c r="W213" s="105" t="str">
        <f>VLOOKUP(C213,'Status oficina'!$A$2:$C$208,3,FALSE)</f>
        <v>Activa</v>
      </c>
    </row>
    <row r="214" spans="1:23" ht="13.5" customHeight="1" x14ac:dyDescent="0.25">
      <c r="A214" s="14" t="s">
        <v>2089</v>
      </c>
      <c r="B214" s="14" t="s">
        <v>524</v>
      </c>
      <c r="C214" s="19">
        <v>9393</v>
      </c>
      <c r="D214" s="14" t="s">
        <v>526</v>
      </c>
      <c r="E214" s="15" t="s">
        <v>420</v>
      </c>
      <c r="F214" s="14" t="s">
        <v>1145</v>
      </c>
      <c r="G214" s="15" t="s">
        <v>363</v>
      </c>
      <c r="H214" s="55">
        <v>621805</v>
      </c>
      <c r="I214" s="55">
        <f>VLOOKUP(G214,'[1]Dispositivos exportados de HP W'!$C:$D,2,FALSE)</f>
        <v>623092</v>
      </c>
      <c r="J214" s="55">
        <f t="shared" si="18"/>
        <v>1287</v>
      </c>
      <c r="K214" s="55">
        <f>VLOOKUP(G214,'[2]Dispositivos exportados de HP W'!$C:$D,2,FALSE)</f>
        <v>624712</v>
      </c>
      <c r="L214" s="55">
        <f t="shared" si="19"/>
        <v>1620</v>
      </c>
      <c r="M214" s="55">
        <f>VLOOKUP(G214,'[3]Dispositivos exportados de HP W'!$C:$D,2,FALSE)</f>
        <v>625900</v>
      </c>
      <c r="N214" s="55">
        <f t="shared" si="20"/>
        <v>1188</v>
      </c>
      <c r="O214" s="55">
        <f>VLOOKUP(G214,'[4]Dispositivos exportados de HP W'!$C:$D,2,FALSE)</f>
        <v>627361</v>
      </c>
      <c r="P214" s="55">
        <f t="shared" si="21"/>
        <v>1461</v>
      </c>
      <c r="Q214" s="55">
        <f>VLOOKUP(G214,'[6]Dispositivos exportados de HP W'!$C:$D,2,FALSE)</f>
        <v>627746</v>
      </c>
      <c r="R214" s="55">
        <f t="shared" si="22"/>
        <v>385</v>
      </c>
      <c r="S214" s="90">
        <f t="shared" si="23"/>
        <v>5941</v>
      </c>
      <c r="T214" s="89">
        <v>46083</v>
      </c>
      <c r="U214" s="14"/>
      <c r="V214" s="105" t="s">
        <v>2383</v>
      </c>
      <c r="W214" s="105" t="str">
        <f>VLOOKUP(C214,'Status oficina'!$A$2:$C$208,3,FALSE)</f>
        <v>Activa</v>
      </c>
    </row>
    <row r="215" spans="1:23" ht="13.5" customHeight="1" x14ac:dyDescent="0.25">
      <c r="A215" s="14" t="s">
        <v>946</v>
      </c>
      <c r="B215" s="14" t="s">
        <v>953</v>
      </c>
      <c r="C215" s="19">
        <v>9665</v>
      </c>
      <c r="D215" s="14" t="s">
        <v>954</v>
      </c>
      <c r="E215" s="14" t="s">
        <v>420</v>
      </c>
      <c r="F215" s="14" t="s">
        <v>1402</v>
      </c>
      <c r="G215" s="14" t="s">
        <v>210</v>
      </c>
      <c r="H215" s="55">
        <v>668726</v>
      </c>
      <c r="I215" s="55">
        <f>VLOOKUP(G215,'[1]Dispositivos exportados de HP W'!$C:$D,2,FALSE)</f>
        <v>668726</v>
      </c>
      <c r="J215" s="55">
        <f t="shared" si="18"/>
        <v>0</v>
      </c>
      <c r="K215" s="55">
        <f>VLOOKUP(G215,'[2]Dispositivos exportados de HP W'!$C:$D,2,FALSE)</f>
        <v>668726</v>
      </c>
      <c r="L215" s="55">
        <f t="shared" si="19"/>
        <v>0</v>
      </c>
      <c r="M215" s="55">
        <f>VLOOKUP(G215,'[3]Dispositivos exportados de HP W'!$C:$D,2,FALSE)</f>
        <v>668726</v>
      </c>
      <c r="N215" s="55">
        <f t="shared" si="20"/>
        <v>0</v>
      </c>
      <c r="O215" s="55">
        <f>VLOOKUP(G215,'[4]Dispositivos exportados de HP W'!$C:$D,2,FALSE)</f>
        <v>668726</v>
      </c>
      <c r="P215" s="55">
        <f t="shared" si="21"/>
        <v>0</v>
      </c>
      <c r="Q215" s="55">
        <f>VLOOKUP(G215,'[6]Dispositivos exportados de HP W'!$C:$D,2,FALSE)</f>
        <v>668726</v>
      </c>
      <c r="R215" s="55">
        <f t="shared" si="22"/>
        <v>0</v>
      </c>
      <c r="S215" s="90">
        <f t="shared" si="23"/>
        <v>0</v>
      </c>
      <c r="T215" s="89">
        <v>46083</v>
      </c>
      <c r="U215" s="14"/>
      <c r="V215" s="105" t="s">
        <v>2239</v>
      </c>
      <c r="W215" s="105" t="str">
        <f>VLOOKUP(C215,'Status oficina'!$A$2:$C$208,3,FALSE)</f>
        <v>Cierre temporal</v>
      </c>
    </row>
    <row r="216" spans="1:23" ht="13.5" customHeight="1" x14ac:dyDescent="0.25">
      <c r="A216" s="14" t="s">
        <v>872</v>
      </c>
      <c r="B216" s="14" t="s">
        <v>880</v>
      </c>
      <c r="C216" s="19">
        <v>9818</v>
      </c>
      <c r="D216" s="14" t="s">
        <v>882</v>
      </c>
      <c r="E216" s="14" t="s">
        <v>420</v>
      </c>
      <c r="F216" s="14" t="s">
        <v>1348</v>
      </c>
      <c r="G216" s="14" t="s">
        <v>2422</v>
      </c>
      <c r="H216" s="55">
        <v>784511</v>
      </c>
      <c r="I216" s="55">
        <f>VLOOKUP(G216,'[1]Dispositivos exportados de HP W'!$C:$D,2,FALSE)</f>
        <v>786376</v>
      </c>
      <c r="J216" s="55">
        <f t="shared" si="18"/>
        <v>1865</v>
      </c>
      <c r="K216" s="55">
        <f>VLOOKUP(G216,'[2]Dispositivos exportados de HP W'!$C:$D,2,FALSE)</f>
        <v>787852</v>
      </c>
      <c r="L216" s="55">
        <f t="shared" si="19"/>
        <v>1476</v>
      </c>
      <c r="M216" s="55">
        <f>VLOOKUP(G216,'[3]Dispositivos exportados de HP W'!$C:$D,2,FALSE)</f>
        <v>789089</v>
      </c>
      <c r="N216" s="55">
        <f t="shared" si="20"/>
        <v>1237</v>
      </c>
      <c r="O216" s="55">
        <v>789089</v>
      </c>
      <c r="P216" s="55">
        <f t="shared" si="21"/>
        <v>0</v>
      </c>
      <c r="Q216" s="55">
        <f>VLOOKUP(G216,'[6]Dispositivos exportados de HP W'!$C:$D,2,FALSE)</f>
        <v>791608</v>
      </c>
      <c r="R216" s="55">
        <f t="shared" si="22"/>
        <v>2519</v>
      </c>
      <c r="S216" s="90">
        <f t="shared" si="23"/>
        <v>7097</v>
      </c>
      <c r="T216" s="89">
        <v>46083</v>
      </c>
      <c r="U216" s="14"/>
      <c r="V216" s="105" t="s">
        <v>2383</v>
      </c>
      <c r="W216" s="105" t="s">
        <v>2236</v>
      </c>
    </row>
    <row r="217" spans="1:23" ht="13.5" customHeight="1" x14ac:dyDescent="0.25">
      <c r="A217" s="14" t="s">
        <v>946</v>
      </c>
      <c r="B217" s="14" t="s">
        <v>947</v>
      </c>
      <c r="C217" s="19">
        <v>9660</v>
      </c>
      <c r="D217" s="14" t="s">
        <v>948</v>
      </c>
      <c r="E217" s="14" t="s">
        <v>416</v>
      </c>
      <c r="F217" s="95" t="s">
        <v>1423</v>
      </c>
      <c r="G217" s="14" t="s">
        <v>80</v>
      </c>
      <c r="H217" s="55">
        <v>276837</v>
      </c>
      <c r="I217" s="55">
        <v>276837</v>
      </c>
      <c r="J217" s="55">
        <f t="shared" si="18"/>
        <v>0</v>
      </c>
      <c r="K217" s="55">
        <v>276837</v>
      </c>
      <c r="L217" s="55">
        <f t="shared" si="19"/>
        <v>0</v>
      </c>
      <c r="M217" s="55">
        <v>276837</v>
      </c>
      <c r="N217" s="55">
        <f t="shared" si="20"/>
        <v>0</v>
      </c>
      <c r="O217" s="55">
        <v>276837</v>
      </c>
      <c r="P217" s="55">
        <f t="shared" si="21"/>
        <v>0</v>
      </c>
      <c r="Q217" s="55">
        <v>276837</v>
      </c>
      <c r="R217" s="55">
        <f t="shared" si="22"/>
        <v>0</v>
      </c>
      <c r="S217" s="90">
        <f t="shared" si="23"/>
        <v>0</v>
      </c>
      <c r="T217" s="89">
        <v>46083</v>
      </c>
      <c r="U217" s="14" t="s">
        <v>2468</v>
      </c>
      <c r="V217" s="105" t="s">
        <v>2239</v>
      </c>
      <c r="W217" s="105" t="str">
        <f>VLOOKUP(C217,'Status oficina'!$A$2:$C$208,3,FALSE)</f>
        <v>Cierre temporal</v>
      </c>
    </row>
    <row r="218" spans="1:23" ht="13.5" customHeight="1" x14ac:dyDescent="0.25">
      <c r="A218" s="14" t="s">
        <v>2089</v>
      </c>
      <c r="B218" s="14" t="s">
        <v>589</v>
      </c>
      <c r="C218" s="19">
        <v>9853</v>
      </c>
      <c r="D218" s="14" t="s">
        <v>592</v>
      </c>
      <c r="E218" s="14" t="s">
        <v>420</v>
      </c>
      <c r="F218" s="14" t="s">
        <v>593</v>
      </c>
      <c r="G218" s="14" t="s">
        <v>393</v>
      </c>
      <c r="H218" s="55">
        <v>405976</v>
      </c>
      <c r="I218" s="55">
        <f>VLOOKUP(G218,'[1]Dispositivos exportados de HP W'!$C:$D,2,FALSE)</f>
        <v>406110</v>
      </c>
      <c r="J218" s="55">
        <f t="shared" si="18"/>
        <v>134</v>
      </c>
      <c r="K218" s="55">
        <f>VLOOKUP(G218,'[2]Dispositivos exportados de HP W'!$C:$D,2,FALSE)</f>
        <v>406346</v>
      </c>
      <c r="L218" s="55">
        <f t="shared" si="19"/>
        <v>236</v>
      </c>
      <c r="M218" s="55">
        <f>VLOOKUP(G218,'[3]Dispositivos exportados de HP W'!$C:$D,2,FALSE)</f>
        <v>406500</v>
      </c>
      <c r="N218" s="55">
        <f t="shared" si="20"/>
        <v>154</v>
      </c>
      <c r="O218" s="55">
        <f>VLOOKUP(G218,'[4]Dispositivos exportados de HP W'!$C:$D,2,FALSE)</f>
        <v>406682</v>
      </c>
      <c r="P218" s="55">
        <f t="shared" si="21"/>
        <v>182</v>
      </c>
      <c r="Q218" s="55">
        <f>VLOOKUP(G218,'[6]Dispositivos exportados de HP W'!$C:$D,2,FALSE)</f>
        <v>406776</v>
      </c>
      <c r="R218" s="55">
        <f t="shared" si="22"/>
        <v>94</v>
      </c>
      <c r="S218" s="90">
        <f t="shared" si="23"/>
        <v>800</v>
      </c>
      <c r="T218" s="89">
        <v>46083</v>
      </c>
      <c r="U218" s="14"/>
      <c r="V218" s="105" t="s">
        <v>2383</v>
      </c>
      <c r="W218" s="105" t="str">
        <f>VLOOKUP(C218,'Status oficina'!$A$2:$C$208,3,FALSE)</f>
        <v>Activa</v>
      </c>
    </row>
    <row r="219" spans="1:23" ht="13.5" customHeight="1" x14ac:dyDescent="0.25">
      <c r="A219" s="14" t="s">
        <v>2451</v>
      </c>
      <c r="B219" s="14" t="s">
        <v>772</v>
      </c>
      <c r="C219" s="19">
        <v>9221</v>
      </c>
      <c r="D219" s="14" t="s">
        <v>773</v>
      </c>
      <c r="E219" s="14" t="s">
        <v>420</v>
      </c>
      <c r="F219" s="14" t="s">
        <v>1281</v>
      </c>
      <c r="G219" s="14" t="s">
        <v>10</v>
      </c>
      <c r="H219" s="55">
        <v>742518</v>
      </c>
      <c r="I219" s="55">
        <f>VLOOKUP(G219,'[1]Dispositivos exportados de HP W'!$C:$D,2,FALSE)</f>
        <v>742518</v>
      </c>
      <c r="J219" s="55">
        <f t="shared" si="18"/>
        <v>0</v>
      </c>
      <c r="K219" s="55">
        <f>VLOOKUP(G219,'[2]Dispositivos exportados de HP W'!$C:$D,2,FALSE)</f>
        <v>742518</v>
      </c>
      <c r="L219" s="55">
        <f t="shared" si="19"/>
        <v>0</v>
      </c>
      <c r="M219" s="55">
        <f>VLOOKUP(G219,'[3]Dispositivos exportados de HP W'!$C:$D,2,FALSE)</f>
        <v>742518</v>
      </c>
      <c r="N219" s="55">
        <f t="shared" si="20"/>
        <v>0</v>
      </c>
      <c r="O219" s="55">
        <f>VLOOKUP(G219,'[4]Dispositivos exportados de HP W'!$C:$D,2,FALSE)</f>
        <v>742518</v>
      </c>
      <c r="P219" s="55">
        <f t="shared" si="21"/>
        <v>0</v>
      </c>
      <c r="Q219" s="55">
        <f>VLOOKUP(G219,'[6]Dispositivos exportados de HP W'!$C:$D,2,FALSE)</f>
        <v>742518</v>
      </c>
      <c r="R219" s="55">
        <f t="shared" si="22"/>
        <v>0</v>
      </c>
      <c r="S219" s="90">
        <f t="shared" si="23"/>
        <v>0</v>
      </c>
      <c r="T219" s="89">
        <v>46083</v>
      </c>
      <c r="U219" s="14"/>
      <c r="V219" s="105" t="s">
        <v>2246</v>
      </c>
      <c r="W219" s="105" t="str">
        <f>VLOOKUP(C219,'Status oficina'!$A$2:$C$208,3,FALSE)</f>
        <v>Cierre definitivo</v>
      </c>
    </row>
    <row r="220" spans="1:23" ht="13.5" customHeight="1" x14ac:dyDescent="0.25">
      <c r="A220" s="14" t="s">
        <v>946</v>
      </c>
      <c r="B220" s="14" t="s">
        <v>961</v>
      </c>
      <c r="C220" s="19">
        <v>9678</v>
      </c>
      <c r="D220" s="14" t="s">
        <v>963</v>
      </c>
      <c r="E220" s="14" t="s">
        <v>420</v>
      </c>
      <c r="F220" s="14" t="s">
        <v>964</v>
      </c>
      <c r="G220" s="14" t="s">
        <v>235</v>
      </c>
      <c r="H220" s="55">
        <v>177849</v>
      </c>
      <c r="I220" s="55">
        <f>VLOOKUP(G220,'[1]Dispositivos exportados de HP W'!$C:$D,2,FALSE)</f>
        <v>177849</v>
      </c>
      <c r="J220" s="55">
        <f t="shared" si="18"/>
        <v>0</v>
      </c>
      <c r="K220" s="55">
        <f>VLOOKUP(G220,'[2]Dispositivos exportados de HP W'!$C:$D,2,FALSE)</f>
        <v>177849</v>
      </c>
      <c r="L220" s="55">
        <f t="shared" si="19"/>
        <v>0</v>
      </c>
      <c r="M220" s="55">
        <f>VLOOKUP(G220,'[3]Dispositivos exportados de HP W'!$C:$D,2,FALSE)</f>
        <v>177849</v>
      </c>
      <c r="N220" s="55">
        <f t="shared" si="20"/>
        <v>0</v>
      </c>
      <c r="O220" s="55">
        <f>VLOOKUP(G220,'[4]Dispositivos exportados de HP W'!$C:$D,2,FALSE)</f>
        <v>177849</v>
      </c>
      <c r="P220" s="55">
        <f t="shared" si="21"/>
        <v>0</v>
      </c>
      <c r="Q220" s="55">
        <f>VLOOKUP(G220,'[6]Dispositivos exportados de HP W'!$C:$D,2,FALSE)</f>
        <v>177849</v>
      </c>
      <c r="R220" s="55">
        <f t="shared" si="22"/>
        <v>0</v>
      </c>
      <c r="S220" s="90">
        <f t="shared" si="23"/>
        <v>0</v>
      </c>
      <c r="T220" s="89">
        <v>46083</v>
      </c>
      <c r="U220" s="14"/>
      <c r="V220" s="105" t="s">
        <v>2239</v>
      </c>
      <c r="W220" s="105" t="str">
        <f>VLOOKUP(C220,'Status oficina'!$A$2:$C$208,3,FALSE)</f>
        <v>Cierre temporal</v>
      </c>
    </row>
    <row r="221" spans="1:23" ht="13.5" customHeight="1" x14ac:dyDescent="0.25">
      <c r="A221" s="14" t="s">
        <v>946</v>
      </c>
      <c r="B221" s="14" t="s">
        <v>961</v>
      </c>
      <c r="C221" s="19">
        <v>9678</v>
      </c>
      <c r="D221" s="14" t="s">
        <v>962</v>
      </c>
      <c r="E221" s="14" t="s">
        <v>416</v>
      </c>
      <c r="F221" s="14" t="s">
        <v>1406</v>
      </c>
      <c r="G221" s="14" t="s">
        <v>231</v>
      </c>
      <c r="H221" s="55">
        <v>144319</v>
      </c>
      <c r="I221" s="55">
        <f>VLOOKUP(G221,'[1]Dispositivos exportados de HP W'!$C:$D,2,FALSE)</f>
        <v>144319</v>
      </c>
      <c r="J221" s="55">
        <f t="shared" si="18"/>
        <v>0</v>
      </c>
      <c r="K221" s="55">
        <f>VLOOKUP(G221,'[2]Dispositivos exportados de HP W'!$C:$D,2,FALSE)</f>
        <v>144319</v>
      </c>
      <c r="L221" s="55">
        <f t="shared" si="19"/>
        <v>0</v>
      </c>
      <c r="M221" s="55">
        <f>VLOOKUP(G221,'[3]Dispositivos exportados de HP W'!$C:$D,2,FALSE)</f>
        <v>144319</v>
      </c>
      <c r="N221" s="55">
        <f t="shared" si="20"/>
        <v>0</v>
      </c>
      <c r="O221" s="55">
        <f>VLOOKUP(G221,'[4]Dispositivos exportados de HP W'!$C:$D,2,FALSE)</f>
        <v>144319</v>
      </c>
      <c r="P221" s="55">
        <f t="shared" si="21"/>
        <v>0</v>
      </c>
      <c r="Q221" s="55">
        <f>VLOOKUP(G221,'[6]Dispositivos exportados de HP W'!$C:$D,2,FALSE)</f>
        <v>144319</v>
      </c>
      <c r="R221" s="55">
        <f t="shared" si="22"/>
        <v>0</v>
      </c>
      <c r="S221" s="90">
        <f t="shared" si="23"/>
        <v>0</v>
      </c>
      <c r="T221" s="89">
        <v>46083</v>
      </c>
      <c r="U221" s="14"/>
      <c r="V221" s="105" t="s">
        <v>2239</v>
      </c>
      <c r="W221" s="105" t="str">
        <f>VLOOKUP(C221,'Status oficina'!$A$2:$C$208,3,FALSE)</f>
        <v>Cierre temporal</v>
      </c>
    </row>
    <row r="222" spans="1:23" ht="13.5" customHeight="1" x14ac:dyDescent="0.25">
      <c r="A222" s="14" t="s">
        <v>872</v>
      </c>
      <c r="B222" s="14" t="s">
        <v>935</v>
      </c>
      <c r="C222" s="22">
        <v>9801</v>
      </c>
      <c r="D222" s="14" t="s">
        <v>937</v>
      </c>
      <c r="E222" s="14" t="s">
        <v>420</v>
      </c>
      <c r="F222" s="14" t="s">
        <v>1391</v>
      </c>
      <c r="G222" s="14" t="s">
        <v>259</v>
      </c>
      <c r="H222" s="55">
        <v>366883</v>
      </c>
      <c r="I222" s="55">
        <f>VLOOKUP(G222,'[1]Dispositivos exportados de HP W'!$C:$D,2,FALSE)</f>
        <v>366883</v>
      </c>
      <c r="J222" s="55">
        <f t="shared" si="18"/>
        <v>0</v>
      </c>
      <c r="K222" s="55">
        <f>VLOOKUP(G222,'[2]Dispositivos exportados de HP W'!$C:$D,2,FALSE)</f>
        <v>366883</v>
      </c>
      <c r="L222" s="55">
        <f t="shared" si="19"/>
        <v>0</v>
      </c>
      <c r="M222" s="55">
        <f>VLOOKUP(G222,'[3]Dispositivos exportados de HP W'!$C:$D,2,FALSE)</f>
        <v>366883</v>
      </c>
      <c r="N222" s="55">
        <f t="shared" si="20"/>
        <v>0</v>
      </c>
      <c r="O222" s="55">
        <f>VLOOKUP(G222,'[4]Dispositivos exportados de HP W'!$C:$D,2,FALSE)</f>
        <v>366883</v>
      </c>
      <c r="P222" s="55">
        <f t="shared" si="21"/>
        <v>0</v>
      </c>
      <c r="Q222" s="55">
        <f>VLOOKUP(G222,'[6]Dispositivos exportados de HP W'!$C:$D,2,FALSE)</f>
        <v>366883</v>
      </c>
      <c r="R222" s="55">
        <f t="shared" si="22"/>
        <v>0</v>
      </c>
      <c r="S222" s="90">
        <f t="shared" si="23"/>
        <v>0</v>
      </c>
      <c r="T222" s="89">
        <v>46083</v>
      </c>
      <c r="U222" s="14"/>
      <c r="V222" s="105" t="s">
        <v>2239</v>
      </c>
      <c r="W222" s="105" t="str">
        <f>VLOOKUP(C222,'Status oficina'!$A$2:$C$208,3,FALSE)</f>
        <v>Cierre temporal</v>
      </c>
    </row>
    <row r="223" spans="1:23" ht="13.5" customHeight="1" x14ac:dyDescent="0.25">
      <c r="A223" s="14" t="s">
        <v>872</v>
      </c>
      <c r="B223" s="14" t="s">
        <v>935</v>
      </c>
      <c r="C223" s="22">
        <v>9801</v>
      </c>
      <c r="D223" s="14" t="s">
        <v>936</v>
      </c>
      <c r="E223" s="14" t="s">
        <v>416</v>
      </c>
      <c r="F223" s="14" t="s">
        <v>1390</v>
      </c>
      <c r="G223" s="14" t="s">
        <v>102</v>
      </c>
      <c r="H223" s="55">
        <v>59666</v>
      </c>
      <c r="I223" s="55">
        <f>VLOOKUP(G223,'[1]Dispositivos exportados de HP W'!$C:$D,2,FALSE)</f>
        <v>59666</v>
      </c>
      <c r="J223" s="55">
        <f t="shared" si="18"/>
        <v>0</v>
      </c>
      <c r="K223" s="55">
        <f>VLOOKUP(G223,'[2]Dispositivos exportados de HP W'!$C:$D,2,FALSE)</f>
        <v>59666</v>
      </c>
      <c r="L223" s="55">
        <f t="shared" si="19"/>
        <v>0</v>
      </c>
      <c r="M223" s="55">
        <f>VLOOKUP(G223,'[3]Dispositivos exportados de HP W'!$C:$D,2,FALSE)</f>
        <v>59666</v>
      </c>
      <c r="N223" s="55">
        <f t="shared" si="20"/>
        <v>0</v>
      </c>
      <c r="O223" s="55">
        <f>VLOOKUP(G223,'[4]Dispositivos exportados de HP W'!$C:$D,2,FALSE)</f>
        <v>59666</v>
      </c>
      <c r="P223" s="55">
        <f t="shared" si="21"/>
        <v>0</v>
      </c>
      <c r="Q223" s="55">
        <f>VLOOKUP(G223,'[6]Dispositivos exportados de HP W'!$C:$D,2,FALSE)</f>
        <v>59666</v>
      </c>
      <c r="R223" s="55">
        <f t="shared" si="22"/>
        <v>0</v>
      </c>
      <c r="S223" s="90">
        <f t="shared" si="23"/>
        <v>0</v>
      </c>
      <c r="T223" s="89">
        <v>46083</v>
      </c>
      <c r="U223" s="14"/>
      <c r="V223" s="105" t="s">
        <v>2239</v>
      </c>
      <c r="W223" s="105" t="str">
        <f>VLOOKUP(C223,'Status oficina'!$A$2:$C$208,3,FALSE)</f>
        <v>Cierre temporal</v>
      </c>
    </row>
    <row r="224" spans="1:23" ht="13.5" customHeight="1" x14ac:dyDescent="0.25">
      <c r="A224" s="15" t="s">
        <v>872</v>
      </c>
      <c r="B224" s="15" t="s">
        <v>943</v>
      </c>
      <c r="C224" s="22">
        <v>9805</v>
      </c>
      <c r="D224" s="14" t="s">
        <v>945</v>
      </c>
      <c r="E224" s="15" t="s">
        <v>416</v>
      </c>
      <c r="F224" s="14" t="s">
        <v>1397</v>
      </c>
      <c r="G224" s="15" t="s">
        <v>369</v>
      </c>
      <c r="H224" s="55">
        <v>116281</v>
      </c>
      <c r="I224" s="55">
        <f>VLOOKUP(G224,'[1]Dispositivos exportados de HP W'!$C:$D,2,FALSE)</f>
        <v>116281</v>
      </c>
      <c r="J224" s="55">
        <f t="shared" si="18"/>
        <v>0</v>
      </c>
      <c r="K224" s="55">
        <f>VLOOKUP(G224,'[2]Dispositivos exportados de HP W'!$C:$D,2,FALSE)</f>
        <v>116281</v>
      </c>
      <c r="L224" s="55">
        <f t="shared" si="19"/>
        <v>0</v>
      </c>
      <c r="M224" s="55">
        <f>VLOOKUP(G224,'[3]Dispositivos exportados de HP W'!$C:$D,2,FALSE)</f>
        <v>116281</v>
      </c>
      <c r="N224" s="55">
        <f t="shared" si="20"/>
        <v>0</v>
      </c>
      <c r="O224" s="55">
        <f>VLOOKUP(G224,'[4]Dispositivos exportados de HP W'!$C:$D,2,FALSE)</f>
        <v>116281</v>
      </c>
      <c r="P224" s="55">
        <f t="shared" si="21"/>
        <v>0</v>
      </c>
      <c r="Q224" s="55">
        <f>VLOOKUP(G224,'[6]Dispositivos exportados de HP W'!$C:$D,2,FALSE)</f>
        <v>116281</v>
      </c>
      <c r="R224" s="55">
        <f t="shared" si="22"/>
        <v>0</v>
      </c>
      <c r="S224" s="90">
        <f t="shared" si="23"/>
        <v>0</v>
      </c>
      <c r="T224" s="89">
        <v>46083</v>
      </c>
      <c r="U224" s="14" t="s">
        <v>2398</v>
      </c>
      <c r="V224" s="105" t="s">
        <v>2382</v>
      </c>
      <c r="W224" s="105" t="str">
        <f>VLOOKUP(C224,'Status oficina'!$A$2:$C$208,3,FALSE)</f>
        <v>Activa</v>
      </c>
    </row>
    <row r="225" spans="1:23" ht="13.5" customHeight="1" x14ac:dyDescent="0.25">
      <c r="A225" s="14" t="s">
        <v>872</v>
      </c>
      <c r="B225" s="14" t="s">
        <v>918</v>
      </c>
      <c r="C225" s="120">
        <v>9813</v>
      </c>
      <c r="D225" s="14" t="s">
        <v>919</v>
      </c>
      <c r="E225" s="14" t="s">
        <v>420</v>
      </c>
      <c r="F225" s="14" t="s">
        <v>1375</v>
      </c>
      <c r="G225" s="14" t="s">
        <v>96</v>
      </c>
      <c r="H225" s="55">
        <v>1096948</v>
      </c>
      <c r="I225" s="55">
        <f>VLOOKUP(G225,'[1]Dispositivos exportados de HP W'!$C:$D,2,FALSE)</f>
        <v>1099634</v>
      </c>
      <c r="J225" s="55">
        <f t="shared" si="18"/>
        <v>2686</v>
      </c>
      <c r="K225" s="55">
        <f>VLOOKUP(G225,'[2]Dispositivos exportados de HP W'!$C:$D,2,FALSE)</f>
        <v>1102148</v>
      </c>
      <c r="L225" s="55">
        <f t="shared" si="19"/>
        <v>2514</v>
      </c>
      <c r="M225" s="55">
        <f>VLOOKUP(G225,'[3]Dispositivos exportados de HP W'!$C:$D,2,FALSE)</f>
        <v>1104267</v>
      </c>
      <c r="N225" s="55">
        <f t="shared" si="20"/>
        <v>2119</v>
      </c>
      <c r="O225" s="55">
        <f>VLOOKUP(G225,'[4]Dispositivos exportados de HP W'!$C:$D,2,FALSE)</f>
        <v>1106908</v>
      </c>
      <c r="P225" s="55">
        <f t="shared" si="21"/>
        <v>2641</v>
      </c>
      <c r="Q225" s="55">
        <f>VLOOKUP(G225,'[6]Dispositivos exportados de HP W'!$C:$D,2,FALSE)</f>
        <v>1107798</v>
      </c>
      <c r="R225" s="55">
        <f t="shared" si="22"/>
        <v>890</v>
      </c>
      <c r="S225" s="90">
        <f t="shared" si="23"/>
        <v>10850</v>
      </c>
      <c r="T225" s="89">
        <v>46083</v>
      </c>
      <c r="U225" s="14"/>
      <c r="V225" s="105" t="s">
        <v>2383</v>
      </c>
      <c r="W225" s="105" t="str">
        <f>VLOOKUP(C225,'Status oficina'!$A$2:$C$208,3,FALSE)</f>
        <v>Activa</v>
      </c>
    </row>
    <row r="226" spans="1:23" ht="13.5" customHeight="1" x14ac:dyDescent="0.25">
      <c r="A226" s="14" t="s">
        <v>872</v>
      </c>
      <c r="B226" s="14" t="s">
        <v>873</v>
      </c>
      <c r="C226" s="19">
        <v>9811</v>
      </c>
      <c r="D226" s="14" t="s">
        <v>874</v>
      </c>
      <c r="E226" s="14" t="s">
        <v>420</v>
      </c>
      <c r="F226" s="14" t="s">
        <v>1344</v>
      </c>
      <c r="G226" s="14" t="s">
        <v>118</v>
      </c>
      <c r="H226" s="55">
        <v>267445</v>
      </c>
      <c r="I226" s="55">
        <f>VLOOKUP(G226,'[1]Dispositivos exportados de HP W'!$C:$D,2,FALSE)</f>
        <v>267445</v>
      </c>
      <c r="J226" s="55">
        <f t="shared" si="18"/>
        <v>0</v>
      </c>
      <c r="K226" s="55">
        <f>VLOOKUP(G226,'[2]Dispositivos exportados de HP W'!$C:$D,2,FALSE)</f>
        <v>267445</v>
      </c>
      <c r="L226" s="55">
        <f t="shared" si="19"/>
        <v>0</v>
      </c>
      <c r="M226" s="55">
        <f>VLOOKUP(G226,'[3]Dispositivos exportados de HP W'!$C:$D,2,FALSE)</f>
        <v>267445</v>
      </c>
      <c r="N226" s="55">
        <f t="shared" si="20"/>
        <v>0</v>
      </c>
      <c r="O226" s="55">
        <f>VLOOKUP(G226,'[4]Dispositivos exportados de HP W'!$C:$D,2,FALSE)</f>
        <v>267445</v>
      </c>
      <c r="P226" s="55">
        <f t="shared" si="21"/>
        <v>0</v>
      </c>
      <c r="Q226" s="55">
        <f>VLOOKUP(G226,'[6]Dispositivos exportados de HP W'!$C:$D,2,FALSE)</f>
        <v>267445</v>
      </c>
      <c r="R226" s="55">
        <f t="shared" si="22"/>
        <v>0</v>
      </c>
      <c r="S226" s="90">
        <f t="shared" si="23"/>
        <v>0</v>
      </c>
      <c r="T226" s="89">
        <v>46083</v>
      </c>
      <c r="U226" s="14" t="s">
        <v>2038</v>
      </c>
      <c r="V226" s="105" t="s">
        <v>2239</v>
      </c>
      <c r="W226" s="105" t="str">
        <f>VLOOKUP(C226,'Status oficina'!$A$2:$C$208,3,FALSE)</f>
        <v>Cierre temporal</v>
      </c>
    </row>
    <row r="227" spans="1:23" ht="13.5" customHeight="1" x14ac:dyDescent="0.25">
      <c r="A227" s="14" t="s">
        <v>872</v>
      </c>
      <c r="B227" s="14" t="s">
        <v>873</v>
      </c>
      <c r="C227" s="19">
        <v>9811</v>
      </c>
      <c r="D227" s="14" t="s">
        <v>875</v>
      </c>
      <c r="E227" s="14" t="s">
        <v>420</v>
      </c>
      <c r="F227" s="14" t="s">
        <v>1345</v>
      </c>
      <c r="G227" s="14" t="s">
        <v>206</v>
      </c>
      <c r="H227" s="55">
        <v>233499</v>
      </c>
      <c r="I227" s="55">
        <f>VLOOKUP(G227,'[1]Dispositivos exportados de HP W'!$C:$D,2,FALSE)</f>
        <v>233499</v>
      </c>
      <c r="J227" s="55">
        <f t="shared" si="18"/>
        <v>0</v>
      </c>
      <c r="K227" s="55">
        <f>VLOOKUP(G227,'[2]Dispositivos exportados de HP W'!$C:$D,2,FALSE)</f>
        <v>233499</v>
      </c>
      <c r="L227" s="55">
        <f t="shared" si="19"/>
        <v>0</v>
      </c>
      <c r="M227" s="55">
        <f>VLOOKUP(G227,'[3]Dispositivos exportados de HP W'!$C:$D,2,FALSE)</f>
        <v>233499</v>
      </c>
      <c r="N227" s="55">
        <f t="shared" si="20"/>
        <v>0</v>
      </c>
      <c r="O227" s="55">
        <f>VLOOKUP(G227,'[4]Dispositivos exportados de HP W'!$C:$D,2,FALSE)</f>
        <v>233499</v>
      </c>
      <c r="P227" s="55">
        <f t="shared" si="21"/>
        <v>0</v>
      </c>
      <c r="Q227" s="55">
        <f>VLOOKUP(G227,'[6]Dispositivos exportados de HP W'!$C:$D,2,FALSE)</f>
        <v>233499</v>
      </c>
      <c r="R227" s="55">
        <f t="shared" si="22"/>
        <v>0</v>
      </c>
      <c r="S227" s="90">
        <f t="shared" si="23"/>
        <v>0</v>
      </c>
      <c r="T227" s="89">
        <v>46083</v>
      </c>
      <c r="U227" s="14" t="s">
        <v>2038</v>
      </c>
      <c r="V227" s="105" t="s">
        <v>2239</v>
      </c>
      <c r="W227" s="105" t="str">
        <f>VLOOKUP(C227,'Status oficina'!$A$2:$C$208,3,FALSE)</f>
        <v>Cierre temporal</v>
      </c>
    </row>
    <row r="228" spans="1:23" ht="13.5" customHeight="1" x14ac:dyDescent="0.25">
      <c r="A228" s="14" t="s">
        <v>946</v>
      </c>
      <c r="B228" s="14" t="s">
        <v>1042</v>
      </c>
      <c r="C228" s="120">
        <v>9510</v>
      </c>
      <c r="D228" s="14" t="s">
        <v>1044</v>
      </c>
      <c r="E228" s="14" t="s">
        <v>420</v>
      </c>
      <c r="F228" s="14" t="s">
        <v>1457</v>
      </c>
      <c r="G228" s="14" t="s">
        <v>82</v>
      </c>
      <c r="H228" s="55">
        <v>761985</v>
      </c>
      <c r="I228" s="55">
        <f>VLOOKUP(G228,'[1]Dispositivos exportados de HP W'!$C:$D,2,FALSE)</f>
        <v>763813</v>
      </c>
      <c r="J228" s="55">
        <f t="shared" si="18"/>
        <v>1828</v>
      </c>
      <c r="K228" s="55">
        <f>VLOOKUP(G228,'[2]Dispositivos exportados de HP W'!$C:$D,2,FALSE)</f>
        <v>765315</v>
      </c>
      <c r="L228" s="55">
        <f t="shared" si="19"/>
        <v>1502</v>
      </c>
      <c r="M228" s="55">
        <f>VLOOKUP(G228,'[3]Dispositivos exportados de HP W'!$C:$D,2,FALSE)</f>
        <v>766823</v>
      </c>
      <c r="N228" s="55">
        <f t="shared" si="20"/>
        <v>1508</v>
      </c>
      <c r="O228" s="55">
        <f>VLOOKUP(G228,'[4]Dispositivos exportados de HP W'!$C:$D,2,FALSE)</f>
        <v>768254</v>
      </c>
      <c r="P228" s="55">
        <f t="shared" si="21"/>
        <v>1431</v>
      </c>
      <c r="Q228" s="55">
        <f>VLOOKUP(G228,'[6]Dispositivos exportados de HP W'!$C:$D,2,FALSE)</f>
        <v>768772</v>
      </c>
      <c r="R228" s="55">
        <f t="shared" si="22"/>
        <v>518</v>
      </c>
      <c r="S228" s="90">
        <f t="shared" si="23"/>
        <v>6787</v>
      </c>
      <c r="T228" s="89">
        <v>46083</v>
      </c>
      <c r="U228" s="14"/>
      <c r="V228" s="108" t="s">
        <v>2383</v>
      </c>
      <c r="W228" s="105" t="str">
        <f>VLOOKUP(C228,'Status oficina'!$A$2:$C$208,3,FALSE)</f>
        <v>Activa</v>
      </c>
    </row>
    <row r="229" spans="1:23" ht="13.5" customHeight="1" x14ac:dyDescent="0.25">
      <c r="A229" s="14" t="s">
        <v>872</v>
      </c>
      <c r="B229" s="14" t="s">
        <v>918</v>
      </c>
      <c r="C229" s="120">
        <v>9813</v>
      </c>
      <c r="D229" s="14" t="s">
        <v>2117</v>
      </c>
      <c r="E229" s="14" t="s">
        <v>416</v>
      </c>
      <c r="F229" s="14" t="s">
        <v>1378</v>
      </c>
      <c r="G229" s="14" t="s">
        <v>175</v>
      </c>
      <c r="H229" s="55">
        <v>197278</v>
      </c>
      <c r="I229" s="55">
        <f>VLOOKUP(G229,'[1]Dispositivos exportados de HP W'!$C:$D,2,FALSE)</f>
        <v>197446</v>
      </c>
      <c r="J229" s="55">
        <f t="shared" si="18"/>
        <v>168</v>
      </c>
      <c r="K229" s="55">
        <f>VLOOKUP(G229,'[2]Dispositivos exportados de HP W'!$C:$D,2,FALSE)</f>
        <v>197898</v>
      </c>
      <c r="L229" s="55">
        <f t="shared" si="19"/>
        <v>452</v>
      </c>
      <c r="M229" s="55">
        <f>VLOOKUP(G229,'[3]Dispositivos exportados de HP W'!$C:$D,2,FALSE)</f>
        <v>198302</v>
      </c>
      <c r="N229" s="55">
        <f t="shared" si="20"/>
        <v>404</v>
      </c>
      <c r="O229" s="55">
        <f>VLOOKUP(G229,'[4]Dispositivos exportados de HP W'!$C:$D,2,FALSE)</f>
        <v>198886</v>
      </c>
      <c r="P229" s="55">
        <f t="shared" si="21"/>
        <v>584</v>
      </c>
      <c r="Q229" s="55">
        <f>VLOOKUP(G229,'[6]Dispositivos exportados de HP W'!$C:$D,2,FALSE)</f>
        <v>199332</v>
      </c>
      <c r="R229" s="55">
        <f t="shared" si="22"/>
        <v>446</v>
      </c>
      <c r="S229" s="90">
        <f t="shared" si="23"/>
        <v>2054</v>
      </c>
      <c r="T229" s="89">
        <v>46083</v>
      </c>
      <c r="U229" s="14"/>
      <c r="V229" s="105" t="s">
        <v>2383</v>
      </c>
      <c r="W229" s="105" t="str">
        <f>VLOOKUP(C229,'Status oficina'!$A$2:$C$208,3,FALSE)</f>
        <v>Activa</v>
      </c>
    </row>
    <row r="230" spans="1:23" ht="13.5" customHeight="1" x14ac:dyDescent="0.25">
      <c r="A230" s="14" t="s">
        <v>946</v>
      </c>
      <c r="B230" s="14" t="s">
        <v>1010</v>
      </c>
      <c r="C230" s="120">
        <v>9536</v>
      </c>
      <c r="D230" s="54" t="s">
        <v>1011</v>
      </c>
      <c r="E230" s="14" t="s">
        <v>420</v>
      </c>
      <c r="F230" s="54" t="s">
        <v>1012</v>
      </c>
      <c r="G230" s="54" t="s">
        <v>400</v>
      </c>
      <c r="H230" s="55">
        <v>612239</v>
      </c>
      <c r="I230" s="55">
        <f>VLOOKUP(G230,'[1]Dispositivos exportados de HP W'!$C:$D,2,FALSE)</f>
        <v>613661</v>
      </c>
      <c r="J230" s="55">
        <f t="shared" si="18"/>
        <v>1422</v>
      </c>
      <c r="K230" s="55">
        <f>VLOOKUP(G230,'[2]Dispositivos exportados de HP W'!$C:$D,2,FALSE)</f>
        <v>614672</v>
      </c>
      <c r="L230" s="55">
        <f t="shared" si="19"/>
        <v>1011</v>
      </c>
      <c r="M230" s="55">
        <f>VLOOKUP(G230,'[3]Dispositivos exportados de HP W'!$C:$D,2,FALSE)</f>
        <v>615623</v>
      </c>
      <c r="N230" s="55">
        <f t="shared" si="20"/>
        <v>951</v>
      </c>
      <c r="O230" s="55">
        <f>VLOOKUP(G230,'[4]Dispositivos exportados de HP W'!$C:$D,2,FALSE)</f>
        <v>616698</v>
      </c>
      <c r="P230" s="55">
        <f t="shared" si="21"/>
        <v>1075</v>
      </c>
      <c r="Q230" s="55">
        <f>VLOOKUP(G230,'[6]Dispositivos exportados de HP W'!$C:$D,2,FALSE)</f>
        <v>617198</v>
      </c>
      <c r="R230" s="55">
        <f t="shared" si="22"/>
        <v>500</v>
      </c>
      <c r="S230" s="90">
        <f t="shared" si="23"/>
        <v>4959</v>
      </c>
      <c r="T230" s="89">
        <v>46083</v>
      </c>
      <c r="U230" s="14"/>
      <c r="V230" s="105" t="s">
        <v>2383</v>
      </c>
      <c r="W230" s="105" t="str">
        <f>VLOOKUP(C230,'Status oficina'!$A$2:$C$208,3,FALSE)</f>
        <v>Activa</v>
      </c>
    </row>
    <row r="231" spans="1:23" s="34" customFormat="1" ht="13.5" customHeight="1" x14ac:dyDescent="0.25">
      <c r="A231" s="14" t="s">
        <v>946</v>
      </c>
      <c r="B231" s="14" t="s">
        <v>950</v>
      </c>
      <c r="C231" s="19">
        <v>9580</v>
      </c>
      <c r="D231" s="14" t="s">
        <v>952</v>
      </c>
      <c r="E231" s="14" t="s">
        <v>420</v>
      </c>
      <c r="F231" s="14" t="s">
        <v>1401</v>
      </c>
      <c r="G231" s="14" t="s">
        <v>112</v>
      </c>
      <c r="H231" s="55">
        <v>932833</v>
      </c>
      <c r="I231" s="55">
        <f>VLOOKUP(G231,'[1]Dispositivos exportados de HP W'!$C:$D,2,FALSE)</f>
        <v>934159</v>
      </c>
      <c r="J231" s="55">
        <f t="shared" si="18"/>
        <v>1326</v>
      </c>
      <c r="K231" s="55">
        <f>VLOOKUP(G231,'[2]Dispositivos exportados de HP W'!$C:$D,2,FALSE)</f>
        <v>935410</v>
      </c>
      <c r="L231" s="55">
        <f t="shared" si="19"/>
        <v>1251</v>
      </c>
      <c r="M231" s="55">
        <f>VLOOKUP(G231,'[3]Dispositivos exportados de HP W'!$C:$D,2,FALSE)</f>
        <v>936312</v>
      </c>
      <c r="N231" s="55">
        <f t="shared" si="20"/>
        <v>902</v>
      </c>
      <c r="O231" s="55">
        <f>VLOOKUP(G231,'[4]Dispositivos exportados de HP W'!$C:$D,2,FALSE)</f>
        <v>937678</v>
      </c>
      <c r="P231" s="55">
        <f t="shared" si="21"/>
        <v>1366</v>
      </c>
      <c r="Q231" s="55">
        <f>VLOOKUP(G231,'[6]Dispositivos exportados de HP W'!$C:$D,2,FALSE)</f>
        <v>937988</v>
      </c>
      <c r="R231" s="55">
        <f t="shared" si="22"/>
        <v>310</v>
      </c>
      <c r="S231" s="90">
        <f t="shared" si="23"/>
        <v>5155</v>
      </c>
      <c r="T231" s="89">
        <v>46083</v>
      </c>
      <c r="U231" s="13"/>
      <c r="V231" s="105" t="s">
        <v>2383</v>
      </c>
      <c r="W231" s="105" t="str">
        <f>VLOOKUP(C231,'Status oficina'!$A$2:$C$208,3,FALSE)</f>
        <v>Activa</v>
      </c>
    </row>
    <row r="232" spans="1:23" ht="13.5" customHeight="1" x14ac:dyDescent="0.25">
      <c r="A232" s="14" t="s">
        <v>872</v>
      </c>
      <c r="B232" s="14" t="s">
        <v>899</v>
      </c>
      <c r="C232" s="120">
        <v>9854</v>
      </c>
      <c r="D232" s="14" t="s">
        <v>900</v>
      </c>
      <c r="E232" s="14" t="s">
        <v>420</v>
      </c>
      <c r="F232" s="14" t="s">
        <v>1363</v>
      </c>
      <c r="G232" s="14" t="s">
        <v>176</v>
      </c>
      <c r="H232" s="55">
        <v>951555</v>
      </c>
      <c r="I232" s="55">
        <f>VLOOKUP(G232,'[1]Dispositivos exportados de HP W'!$C:$D,2,FALSE)</f>
        <v>953538</v>
      </c>
      <c r="J232" s="55">
        <f t="shared" si="18"/>
        <v>1983</v>
      </c>
      <c r="K232" s="55">
        <f>VLOOKUP(G232,'[2]Dispositivos exportados de HP W'!$C:$D,2,FALSE)</f>
        <v>955478</v>
      </c>
      <c r="L232" s="55">
        <f t="shared" si="19"/>
        <v>1940</v>
      </c>
      <c r="M232" s="55">
        <f>VLOOKUP(G232,'[3]Dispositivos exportados de HP W'!$C:$D,2,FALSE)</f>
        <v>957215</v>
      </c>
      <c r="N232" s="55">
        <f t="shared" si="20"/>
        <v>1737</v>
      </c>
      <c r="O232" s="55">
        <f>VLOOKUP(G232,'[4]Dispositivos exportados de HP W'!$C:$D,2,FALSE)</f>
        <v>959392</v>
      </c>
      <c r="P232" s="55">
        <f t="shared" si="21"/>
        <v>2177</v>
      </c>
      <c r="Q232" s="55">
        <f>VLOOKUP(G232,'[6]Dispositivos exportados de HP W'!$C:$D,2,FALSE)</f>
        <v>960055</v>
      </c>
      <c r="R232" s="55">
        <f t="shared" si="22"/>
        <v>663</v>
      </c>
      <c r="S232" s="90">
        <f t="shared" si="23"/>
        <v>8500</v>
      </c>
      <c r="T232" s="89">
        <v>46083</v>
      </c>
      <c r="U232" s="14"/>
      <c r="V232" s="105" t="s">
        <v>2383</v>
      </c>
      <c r="W232" s="105" t="str">
        <f>VLOOKUP(C232,'Status oficina'!$A$2:$C$208,3,FALSE)</f>
        <v>Activa</v>
      </c>
    </row>
    <row r="233" spans="1:23" ht="13.5" customHeight="1" x14ac:dyDescent="0.25">
      <c r="A233" s="53" t="s">
        <v>2450</v>
      </c>
      <c r="B233" s="14" t="s">
        <v>718</v>
      </c>
      <c r="C233" s="19">
        <v>9226</v>
      </c>
      <c r="D233" s="14" t="s">
        <v>719</v>
      </c>
      <c r="E233" s="14" t="s">
        <v>420</v>
      </c>
      <c r="F233" s="14" t="s">
        <v>1248</v>
      </c>
      <c r="G233" s="14" t="s">
        <v>17</v>
      </c>
      <c r="H233" s="55">
        <v>679060</v>
      </c>
      <c r="I233" s="55">
        <f>VLOOKUP(G233,'[1]Dispositivos exportados de HP W'!$C:$D,2,FALSE)</f>
        <v>679959</v>
      </c>
      <c r="J233" s="55">
        <f t="shared" si="18"/>
        <v>899</v>
      </c>
      <c r="K233" s="55">
        <f>VLOOKUP(G233,'[2]Dispositivos exportados de HP W'!$C:$D,2,FALSE)</f>
        <v>680823</v>
      </c>
      <c r="L233" s="55">
        <f t="shared" si="19"/>
        <v>864</v>
      </c>
      <c r="M233" s="55">
        <f>VLOOKUP(G233,'[3]Dispositivos exportados de HP W'!$C:$D,2,FALSE)</f>
        <v>681416</v>
      </c>
      <c r="N233" s="55">
        <f t="shared" si="20"/>
        <v>593</v>
      </c>
      <c r="O233" s="55">
        <f>VLOOKUP(G233,'[4]Dispositivos exportados de HP W'!$C:$D,2,FALSE)</f>
        <v>682125</v>
      </c>
      <c r="P233" s="55">
        <f t="shared" si="21"/>
        <v>709</v>
      </c>
      <c r="Q233" s="55">
        <f>VLOOKUP(G233,'[6]Dispositivos exportados de HP W'!$C:$D,2,FALSE)</f>
        <v>682473</v>
      </c>
      <c r="R233" s="55">
        <f t="shared" si="22"/>
        <v>348</v>
      </c>
      <c r="S233" s="90">
        <f t="shared" si="23"/>
        <v>3413</v>
      </c>
      <c r="T233" s="89">
        <v>46083</v>
      </c>
      <c r="U233" s="14"/>
      <c r="V233" s="105" t="s">
        <v>2383</v>
      </c>
      <c r="W233" s="105" t="str">
        <f>VLOOKUP(C233,'Status oficina'!$A$2:$C$208,3,FALSE)</f>
        <v>Activa</v>
      </c>
    </row>
    <row r="234" spans="1:23" ht="13.5" customHeight="1" x14ac:dyDescent="0.25">
      <c r="A234" s="14" t="s">
        <v>946</v>
      </c>
      <c r="B234" s="14" t="s">
        <v>1029</v>
      </c>
      <c r="C234" s="120">
        <v>9615</v>
      </c>
      <c r="D234" s="14" t="s">
        <v>1031</v>
      </c>
      <c r="E234" s="14" t="s">
        <v>420</v>
      </c>
      <c r="F234" s="14" t="s">
        <v>1448</v>
      </c>
      <c r="G234" s="14" t="s">
        <v>64</v>
      </c>
      <c r="H234" s="55">
        <v>573052</v>
      </c>
      <c r="I234" s="55">
        <f>VLOOKUP(G234,'[1]Dispositivos exportados de HP W'!$C:$D,2,FALSE)</f>
        <v>574096</v>
      </c>
      <c r="J234" s="55">
        <f t="shared" si="18"/>
        <v>1044</v>
      </c>
      <c r="K234" s="55">
        <f>VLOOKUP(G234,'[2]Dispositivos exportados de HP W'!$C:$D,2,FALSE)</f>
        <v>575385</v>
      </c>
      <c r="L234" s="55">
        <f t="shared" si="19"/>
        <v>1289</v>
      </c>
      <c r="M234" s="55">
        <f>VLOOKUP(G234,'[3]Dispositivos exportados de HP W'!$C:$D,2,FALSE)</f>
        <v>576314</v>
      </c>
      <c r="N234" s="55">
        <f t="shared" si="20"/>
        <v>929</v>
      </c>
      <c r="O234" s="55">
        <f>VLOOKUP(G234,'[4]Dispositivos exportados de HP W'!$C:$D,2,FALSE)</f>
        <v>577522</v>
      </c>
      <c r="P234" s="55">
        <f t="shared" si="21"/>
        <v>1208</v>
      </c>
      <c r="Q234" s="55">
        <f>VLOOKUP(G234,'[6]Dispositivos exportados de HP W'!$C:$D,2,FALSE)</f>
        <v>577966</v>
      </c>
      <c r="R234" s="55">
        <f t="shared" si="22"/>
        <v>444</v>
      </c>
      <c r="S234" s="90">
        <f t="shared" si="23"/>
        <v>4914</v>
      </c>
      <c r="T234" s="89">
        <v>46083</v>
      </c>
      <c r="U234" s="14"/>
      <c r="V234" s="105" t="s">
        <v>2383</v>
      </c>
      <c r="W234" s="105" t="str">
        <f>VLOOKUP(C234,'Status oficina'!$A$2:$C$208,3,FALSE)</f>
        <v>Activa</v>
      </c>
    </row>
    <row r="235" spans="1:23" ht="13.5" customHeight="1" x14ac:dyDescent="0.25">
      <c r="A235" s="53" t="s">
        <v>2450</v>
      </c>
      <c r="B235" s="14" t="s">
        <v>721</v>
      </c>
      <c r="C235" s="19">
        <v>9250</v>
      </c>
      <c r="D235" s="14" t="s">
        <v>722</v>
      </c>
      <c r="E235" s="14" t="s">
        <v>420</v>
      </c>
      <c r="F235" s="14" t="s">
        <v>1250</v>
      </c>
      <c r="G235" s="14" t="s">
        <v>1</v>
      </c>
      <c r="H235" s="55">
        <v>771152</v>
      </c>
      <c r="I235" s="55">
        <f>VLOOKUP(G235,'[1]Dispositivos exportados de HP W'!$C:$D,2,FALSE)</f>
        <v>772681</v>
      </c>
      <c r="J235" s="55">
        <f t="shared" si="18"/>
        <v>1529</v>
      </c>
      <c r="K235" s="55">
        <f>VLOOKUP(G235,'[2]Dispositivos exportados de HP W'!$C:$D,2,FALSE)</f>
        <v>773772</v>
      </c>
      <c r="L235" s="55">
        <f t="shared" si="19"/>
        <v>1091</v>
      </c>
      <c r="M235" s="55">
        <f>VLOOKUP(G235,'[3]Dispositivos exportados de HP W'!$C:$D,2,FALSE)</f>
        <v>774860</v>
      </c>
      <c r="N235" s="55">
        <f t="shared" si="20"/>
        <v>1088</v>
      </c>
      <c r="O235" s="55">
        <f>VLOOKUP(G235,'[4]Dispositivos exportados de HP W'!$C:$D,2,FALSE)</f>
        <v>776122</v>
      </c>
      <c r="P235" s="55">
        <f t="shared" si="21"/>
        <v>1262</v>
      </c>
      <c r="Q235" s="55">
        <f>VLOOKUP(G235,'[6]Dispositivos exportados de HP W'!$C:$D,2,FALSE)</f>
        <v>776633</v>
      </c>
      <c r="R235" s="55">
        <f t="shared" si="22"/>
        <v>511</v>
      </c>
      <c r="S235" s="90">
        <f t="shared" si="23"/>
        <v>5481</v>
      </c>
      <c r="T235" s="89">
        <v>46083</v>
      </c>
      <c r="U235" s="14"/>
      <c r="V235" s="105" t="s">
        <v>2383</v>
      </c>
      <c r="W235" s="105" t="str">
        <f>VLOOKUP(C235,'Status oficina'!$A$2:$C$208,3,FALSE)</f>
        <v>Activa</v>
      </c>
    </row>
    <row r="236" spans="1:23" ht="13.5" customHeight="1" x14ac:dyDescent="0.25">
      <c r="A236" s="14" t="s">
        <v>872</v>
      </c>
      <c r="B236" s="14" t="s">
        <v>889</v>
      </c>
      <c r="C236" s="19">
        <v>9816</v>
      </c>
      <c r="D236" s="14" t="s">
        <v>890</v>
      </c>
      <c r="E236" s="14" t="s">
        <v>420</v>
      </c>
      <c r="F236" s="14" t="s">
        <v>1372</v>
      </c>
      <c r="G236" s="14" t="s">
        <v>2176</v>
      </c>
      <c r="H236" s="55">
        <v>650789</v>
      </c>
      <c r="I236" s="55">
        <f>VLOOKUP(G236,'[1]Dispositivos exportados de HP W'!$C:$D,2,FALSE)</f>
        <v>652209</v>
      </c>
      <c r="J236" s="55">
        <f t="shared" si="18"/>
        <v>1420</v>
      </c>
      <c r="K236" s="55">
        <f>VLOOKUP(G236,'[2]Dispositivos exportados de HP W'!$C:$D,2,FALSE)</f>
        <v>653785</v>
      </c>
      <c r="L236" s="55">
        <f t="shared" si="19"/>
        <v>1576</v>
      </c>
      <c r="M236" s="55">
        <f>VLOOKUP(G236,'[3]Dispositivos exportados de HP W'!$C:$D,2,FALSE)</f>
        <v>654749</v>
      </c>
      <c r="N236" s="55">
        <f t="shared" si="20"/>
        <v>964</v>
      </c>
      <c r="O236" s="55">
        <f>VLOOKUP(G236,'[4]Dispositivos exportados de HP W'!$C:$D,2,FALSE)</f>
        <v>656094</v>
      </c>
      <c r="P236" s="55">
        <f t="shared" si="21"/>
        <v>1345</v>
      </c>
      <c r="Q236" s="55">
        <f>VLOOKUP(G236,'[6]Dispositivos exportados de HP W'!$C:$D,2,FALSE)</f>
        <v>656549</v>
      </c>
      <c r="R236" s="55">
        <f t="shared" si="22"/>
        <v>455</v>
      </c>
      <c r="S236" s="90">
        <f t="shared" si="23"/>
        <v>5760</v>
      </c>
      <c r="T236" s="89">
        <v>46083</v>
      </c>
      <c r="U236" s="14" t="s">
        <v>2177</v>
      </c>
      <c r="V236" s="105" t="s">
        <v>2383</v>
      </c>
      <c r="W236" s="105" t="str">
        <f>VLOOKUP(C236,'Status oficina'!$A$2:$C$208,3,FALSE)</f>
        <v>Activa</v>
      </c>
    </row>
    <row r="237" spans="1:23" ht="13.5" customHeight="1" x14ac:dyDescent="0.25">
      <c r="A237" s="14" t="s">
        <v>2089</v>
      </c>
      <c r="B237" s="14" t="s">
        <v>529</v>
      </c>
      <c r="C237" s="19">
        <v>9392</v>
      </c>
      <c r="D237" s="54" t="s">
        <v>530</v>
      </c>
      <c r="E237" s="54" t="s">
        <v>420</v>
      </c>
      <c r="F237" s="54" t="s">
        <v>1147</v>
      </c>
      <c r="G237" s="54" t="s">
        <v>147</v>
      </c>
      <c r="H237" s="55">
        <v>669064</v>
      </c>
      <c r="I237" s="55">
        <f>VLOOKUP(G237,'[1]Dispositivos exportados de HP W'!$C:$D,2,FALSE)</f>
        <v>670028</v>
      </c>
      <c r="J237" s="55">
        <f t="shared" si="18"/>
        <v>964</v>
      </c>
      <c r="K237" s="55">
        <f>VLOOKUP(G237,'[2]Dispositivos exportados de HP W'!$C:$D,2,FALSE)</f>
        <v>671497</v>
      </c>
      <c r="L237" s="55">
        <f t="shared" si="19"/>
        <v>1469</v>
      </c>
      <c r="M237" s="55">
        <f>VLOOKUP(G237,'[3]Dispositivos exportados de HP W'!$C:$D,2,FALSE)</f>
        <v>672671</v>
      </c>
      <c r="N237" s="55">
        <f t="shared" si="20"/>
        <v>1174</v>
      </c>
      <c r="O237" s="55">
        <f>VLOOKUP(G237,'[4]Dispositivos exportados de HP W'!$C:$D,2,FALSE)</f>
        <v>673851</v>
      </c>
      <c r="P237" s="55">
        <f t="shared" si="21"/>
        <v>1180</v>
      </c>
      <c r="Q237" s="55">
        <f>VLOOKUP(G237,'[6]Dispositivos exportados de HP W'!$C:$D,2,FALSE)</f>
        <v>674353</v>
      </c>
      <c r="R237" s="55">
        <f t="shared" si="22"/>
        <v>502</v>
      </c>
      <c r="S237" s="90">
        <f t="shared" si="23"/>
        <v>5289</v>
      </c>
      <c r="T237" s="89">
        <v>46083</v>
      </c>
      <c r="U237" s="14"/>
      <c r="V237" s="105" t="s">
        <v>2383</v>
      </c>
      <c r="W237" s="105" t="str">
        <f>VLOOKUP(C237,'Status oficina'!$A$2:$C$208,3,FALSE)</f>
        <v>Activa</v>
      </c>
    </row>
    <row r="238" spans="1:23" ht="13.5" customHeight="1" x14ac:dyDescent="0.25">
      <c r="A238" s="14" t="s">
        <v>872</v>
      </c>
      <c r="B238" s="14" t="s">
        <v>889</v>
      </c>
      <c r="C238" s="19">
        <v>9816</v>
      </c>
      <c r="D238" s="14" t="s">
        <v>890</v>
      </c>
      <c r="E238" s="14" t="s">
        <v>420</v>
      </c>
      <c r="F238" s="14" t="s">
        <v>1356</v>
      </c>
      <c r="G238" s="14"/>
      <c r="H238" s="55">
        <v>483177</v>
      </c>
      <c r="I238" s="55">
        <v>483177</v>
      </c>
      <c r="J238" s="55">
        <f t="shared" si="18"/>
        <v>0</v>
      </c>
      <c r="K238" s="55">
        <v>483177</v>
      </c>
      <c r="L238" s="55">
        <f t="shared" si="19"/>
        <v>0</v>
      </c>
      <c r="M238" s="55">
        <v>483177</v>
      </c>
      <c r="N238" s="55">
        <f t="shared" si="20"/>
        <v>0</v>
      </c>
      <c r="O238" s="55">
        <v>483177</v>
      </c>
      <c r="P238" s="55">
        <f t="shared" si="21"/>
        <v>0</v>
      </c>
      <c r="Q238" s="55">
        <v>483177</v>
      </c>
      <c r="R238" s="55">
        <f t="shared" si="22"/>
        <v>0</v>
      </c>
      <c r="S238" s="90">
        <f t="shared" si="23"/>
        <v>0</v>
      </c>
      <c r="T238" s="89">
        <v>46083</v>
      </c>
      <c r="U238" s="14" t="s">
        <v>2156</v>
      </c>
      <c r="V238" s="105" t="s">
        <v>2382</v>
      </c>
      <c r="W238" s="105" t="str">
        <f>VLOOKUP(C238,'Status oficina'!$A$2:$C$208,3,FALSE)</f>
        <v>Activa</v>
      </c>
    </row>
    <row r="239" spans="1:23" ht="13.5" customHeight="1" x14ac:dyDescent="0.25">
      <c r="A239" s="14" t="s">
        <v>2089</v>
      </c>
      <c r="B239" s="14" t="s">
        <v>573</v>
      </c>
      <c r="C239" s="120">
        <v>9391</v>
      </c>
      <c r="D239" s="54" t="s">
        <v>574</v>
      </c>
      <c r="E239" s="54" t="s">
        <v>420</v>
      </c>
      <c r="F239" s="54" t="s">
        <v>1174</v>
      </c>
      <c r="G239" s="54" t="s">
        <v>248</v>
      </c>
      <c r="H239" s="55">
        <v>472285</v>
      </c>
      <c r="I239" s="55">
        <f>VLOOKUP(G239,'[1]Dispositivos exportados de HP W'!$C:$D,2,FALSE)</f>
        <v>473715</v>
      </c>
      <c r="J239" s="55">
        <f t="shared" si="18"/>
        <v>1430</v>
      </c>
      <c r="K239" s="55">
        <f>VLOOKUP(G239,'[2]Dispositivos exportados de HP W'!$C:$D,2,FALSE)</f>
        <v>475068</v>
      </c>
      <c r="L239" s="55">
        <f t="shared" si="19"/>
        <v>1353</v>
      </c>
      <c r="M239" s="55">
        <f>VLOOKUP(G239,'[3]Dispositivos exportados de HP W'!$C:$D,2,FALSE)</f>
        <v>476305</v>
      </c>
      <c r="N239" s="55">
        <f t="shared" si="20"/>
        <v>1237</v>
      </c>
      <c r="O239" s="55">
        <f>VLOOKUP(G239,'[4]Dispositivos exportados de HP W'!$C:$D,2,FALSE)</f>
        <v>477459</v>
      </c>
      <c r="P239" s="55">
        <f t="shared" si="21"/>
        <v>1154</v>
      </c>
      <c r="Q239" s="55">
        <f>VLOOKUP(G239,'[6]Dispositivos exportados de HP W'!$C:$D,2,FALSE)</f>
        <v>478126</v>
      </c>
      <c r="R239" s="55">
        <f t="shared" si="22"/>
        <v>667</v>
      </c>
      <c r="S239" s="90">
        <f t="shared" si="23"/>
        <v>5841</v>
      </c>
      <c r="T239" s="89">
        <v>46083</v>
      </c>
      <c r="U239" s="14"/>
      <c r="V239" s="105" t="s">
        <v>2383</v>
      </c>
      <c r="W239" s="105" t="str">
        <f>VLOOKUP(C239,'Status oficina'!$A$2:$C$208,3,FALSE)</f>
        <v>Activa</v>
      </c>
    </row>
    <row r="240" spans="1:23" ht="13.5" customHeight="1" x14ac:dyDescent="0.25">
      <c r="A240" s="14" t="s">
        <v>2089</v>
      </c>
      <c r="B240" s="14" t="s">
        <v>546</v>
      </c>
      <c r="C240" s="120">
        <v>9312</v>
      </c>
      <c r="D240" s="54" t="s">
        <v>2098</v>
      </c>
      <c r="E240" s="54" t="s">
        <v>420</v>
      </c>
      <c r="F240" s="54" t="s">
        <v>1156</v>
      </c>
      <c r="G240" s="54" t="s">
        <v>84</v>
      </c>
      <c r="H240" s="55">
        <v>369349</v>
      </c>
      <c r="I240" s="55">
        <f>VLOOKUP(G240,'[1]Dispositivos exportados de HP W'!$C:$D,2,FALSE)</f>
        <v>370509</v>
      </c>
      <c r="J240" s="55">
        <f t="shared" si="18"/>
        <v>1160</v>
      </c>
      <c r="K240" s="55">
        <f>VLOOKUP(G240,'[2]Dispositivos exportados de HP W'!$C:$D,2,FALSE)</f>
        <v>371326</v>
      </c>
      <c r="L240" s="55">
        <f t="shared" si="19"/>
        <v>817</v>
      </c>
      <c r="M240" s="55">
        <f>VLOOKUP(G240,'[3]Dispositivos exportados de HP W'!$C:$D,2,FALSE)</f>
        <v>372111</v>
      </c>
      <c r="N240" s="55">
        <f t="shared" si="20"/>
        <v>785</v>
      </c>
      <c r="O240" s="55">
        <f>VLOOKUP(G240,'[4]Dispositivos exportados de HP W'!$C:$D,2,FALSE)</f>
        <v>373162</v>
      </c>
      <c r="P240" s="55">
        <f t="shared" si="21"/>
        <v>1051</v>
      </c>
      <c r="Q240" s="55">
        <f>VLOOKUP(G240,'[6]Dispositivos exportados de HP W'!$C:$D,2,FALSE)</f>
        <v>373501</v>
      </c>
      <c r="R240" s="55">
        <f t="shared" si="22"/>
        <v>339</v>
      </c>
      <c r="S240" s="90">
        <f t="shared" si="23"/>
        <v>4152</v>
      </c>
      <c r="T240" s="89">
        <v>46083</v>
      </c>
      <c r="U240" s="14"/>
      <c r="V240" s="105" t="s">
        <v>2383</v>
      </c>
      <c r="W240" s="105" t="str">
        <f>VLOOKUP(C240,'Status oficina'!$A$2:$C$208,3,FALSE)</f>
        <v>Activa</v>
      </c>
    </row>
    <row r="241" spans="1:23" ht="13.5" customHeight="1" x14ac:dyDescent="0.25">
      <c r="A241" s="14" t="s">
        <v>872</v>
      </c>
      <c r="B241" s="14" t="s">
        <v>880</v>
      </c>
      <c r="C241" s="19">
        <v>9818</v>
      </c>
      <c r="D241" s="14" t="s">
        <v>882</v>
      </c>
      <c r="E241" s="14" t="s">
        <v>420</v>
      </c>
      <c r="F241" s="14" t="s">
        <v>1350</v>
      </c>
      <c r="G241" s="14"/>
      <c r="H241" s="55">
        <v>359622</v>
      </c>
      <c r="I241" s="55">
        <v>359622</v>
      </c>
      <c r="J241" s="55">
        <f t="shared" si="18"/>
        <v>0</v>
      </c>
      <c r="K241" s="55">
        <v>359622</v>
      </c>
      <c r="L241" s="55">
        <f t="shared" si="19"/>
        <v>0</v>
      </c>
      <c r="M241" s="55">
        <v>359622</v>
      </c>
      <c r="N241" s="55">
        <f t="shared" si="20"/>
        <v>0</v>
      </c>
      <c r="O241" s="55">
        <v>359622</v>
      </c>
      <c r="P241" s="55">
        <f t="shared" si="21"/>
        <v>0</v>
      </c>
      <c r="Q241" s="55">
        <v>359622</v>
      </c>
      <c r="R241" s="55">
        <f t="shared" si="22"/>
        <v>0</v>
      </c>
      <c r="S241" s="90">
        <f t="shared" si="23"/>
        <v>0</v>
      </c>
      <c r="T241" s="89">
        <v>46083</v>
      </c>
      <c r="U241" s="14" t="s">
        <v>2419</v>
      </c>
      <c r="V241" s="105" t="s">
        <v>2418</v>
      </c>
      <c r="W241" s="105" t="s">
        <v>2236</v>
      </c>
    </row>
    <row r="242" spans="1:23" ht="13.5" customHeight="1" x14ac:dyDescent="0.25">
      <c r="A242" s="14" t="s">
        <v>872</v>
      </c>
      <c r="B242" s="14" t="s">
        <v>880</v>
      </c>
      <c r="C242" s="19">
        <v>9818</v>
      </c>
      <c r="D242" s="14" t="s">
        <v>881</v>
      </c>
      <c r="E242" s="54" t="s">
        <v>420</v>
      </c>
      <c r="F242" s="53" t="s">
        <v>1343</v>
      </c>
      <c r="G242" s="14"/>
      <c r="H242" s="55">
        <v>194608</v>
      </c>
      <c r="I242" s="55">
        <v>194608</v>
      </c>
      <c r="J242" s="55">
        <f t="shared" si="18"/>
        <v>0</v>
      </c>
      <c r="K242" s="55">
        <v>194608</v>
      </c>
      <c r="L242" s="55">
        <f t="shared" si="19"/>
        <v>0</v>
      </c>
      <c r="M242" s="55">
        <v>194608</v>
      </c>
      <c r="N242" s="55">
        <f t="shared" si="20"/>
        <v>0</v>
      </c>
      <c r="O242" s="55">
        <v>194608</v>
      </c>
      <c r="P242" s="55">
        <f t="shared" si="21"/>
        <v>0</v>
      </c>
      <c r="Q242" s="55">
        <v>194608</v>
      </c>
      <c r="R242" s="55">
        <f t="shared" si="22"/>
        <v>0</v>
      </c>
      <c r="S242" s="90">
        <f t="shared" si="23"/>
        <v>0</v>
      </c>
      <c r="T242" s="89">
        <v>46083</v>
      </c>
      <c r="U242" s="14" t="s">
        <v>2419</v>
      </c>
      <c r="V242" s="105" t="s">
        <v>2382</v>
      </c>
      <c r="W242" s="105" t="s">
        <v>2236</v>
      </c>
    </row>
    <row r="243" spans="1:23" ht="13.5" customHeight="1" x14ac:dyDescent="0.25">
      <c r="A243" s="14" t="s">
        <v>946</v>
      </c>
      <c r="B243" s="14" t="s">
        <v>1042</v>
      </c>
      <c r="C243" s="120">
        <v>9510</v>
      </c>
      <c r="D243" s="14" t="s">
        <v>2115</v>
      </c>
      <c r="E243" s="14" t="s">
        <v>420</v>
      </c>
      <c r="F243" s="14" t="s">
        <v>1461</v>
      </c>
      <c r="G243" s="14" t="s">
        <v>122</v>
      </c>
      <c r="H243" s="55">
        <v>378929</v>
      </c>
      <c r="I243" s="55">
        <f>VLOOKUP(G243,'[1]Dispositivos exportados de HP W'!$C:$D,2,FALSE)</f>
        <v>379101</v>
      </c>
      <c r="J243" s="55">
        <f t="shared" si="18"/>
        <v>172</v>
      </c>
      <c r="K243" s="55">
        <f>VLOOKUP(G243,'[2]Dispositivos exportados de HP W'!$C:$D,2,FALSE)</f>
        <v>379344</v>
      </c>
      <c r="L243" s="55">
        <f t="shared" si="19"/>
        <v>243</v>
      </c>
      <c r="M243" s="55">
        <f>VLOOKUP(G243,'[3]Dispositivos exportados de HP W'!$C:$D,2,FALSE)</f>
        <v>379792</v>
      </c>
      <c r="N243" s="55">
        <f t="shared" si="20"/>
        <v>448</v>
      </c>
      <c r="O243" s="55">
        <f>VLOOKUP(G243,'[4]Dispositivos exportados de HP W'!$C:$D,2,FALSE)</f>
        <v>380532</v>
      </c>
      <c r="P243" s="55">
        <f t="shared" si="21"/>
        <v>740</v>
      </c>
      <c r="Q243" s="55">
        <f>VLOOKUP(G243,'[6]Dispositivos exportados de HP W'!$C:$D,2,FALSE)</f>
        <v>380788</v>
      </c>
      <c r="R243" s="55">
        <f t="shared" si="22"/>
        <v>256</v>
      </c>
      <c r="S243" s="90">
        <f t="shared" si="23"/>
        <v>1859</v>
      </c>
      <c r="T243" s="89">
        <v>46083</v>
      </c>
      <c r="U243" s="14"/>
      <c r="V243" s="108" t="s">
        <v>2383</v>
      </c>
      <c r="W243" s="105" t="str">
        <f>VLOOKUP(C243,'Status oficina'!$A$2:$C$208,3,FALSE)</f>
        <v>Activa</v>
      </c>
    </row>
    <row r="244" spans="1:23" ht="13.5" customHeight="1" x14ac:dyDescent="0.25">
      <c r="A244" s="14" t="s">
        <v>872</v>
      </c>
      <c r="B244" s="14" t="s">
        <v>903</v>
      </c>
      <c r="C244" s="120">
        <v>9884</v>
      </c>
      <c r="D244" s="14" t="s">
        <v>905</v>
      </c>
      <c r="E244" s="14" t="s">
        <v>420</v>
      </c>
      <c r="F244" s="14" t="s">
        <v>1365</v>
      </c>
      <c r="G244" s="14" t="s">
        <v>250</v>
      </c>
      <c r="H244" s="55">
        <v>524793</v>
      </c>
      <c r="I244" s="55">
        <f>VLOOKUP(G244,'[1]Dispositivos exportados de HP W'!$C:$D,2,FALSE)</f>
        <v>526454</v>
      </c>
      <c r="J244" s="55">
        <f t="shared" si="18"/>
        <v>1661</v>
      </c>
      <c r="K244" s="55">
        <f>VLOOKUP(G244,'[2]Dispositivos exportados de HP W'!$C:$D,2,FALSE)</f>
        <v>528092</v>
      </c>
      <c r="L244" s="55">
        <f t="shared" si="19"/>
        <v>1638</v>
      </c>
      <c r="M244" s="55">
        <f>VLOOKUP(G244,'[3]Dispositivos exportados de HP W'!$C:$D,2,FALSE)</f>
        <v>529333</v>
      </c>
      <c r="N244" s="55">
        <f t="shared" si="20"/>
        <v>1241</v>
      </c>
      <c r="O244" s="55">
        <f>VLOOKUP(G244,'[4]Dispositivos exportados de HP W'!$C:$D,2,FALSE)</f>
        <v>530812</v>
      </c>
      <c r="P244" s="55">
        <f t="shared" si="21"/>
        <v>1479</v>
      </c>
      <c r="Q244" s="55">
        <f>VLOOKUP(G244,'[6]Dispositivos exportados de HP W'!$C:$D,2,FALSE)</f>
        <v>531505</v>
      </c>
      <c r="R244" s="55">
        <f t="shared" si="22"/>
        <v>693</v>
      </c>
      <c r="S244" s="90">
        <f t="shared" si="23"/>
        <v>6712</v>
      </c>
      <c r="T244" s="89">
        <v>46083</v>
      </c>
      <c r="U244" s="14"/>
      <c r="V244" s="105" t="s">
        <v>2383</v>
      </c>
      <c r="W244" s="105" t="str">
        <f>VLOOKUP(C244,'Status oficina'!$A$2:$C$208,3,FALSE)</f>
        <v>Activa</v>
      </c>
    </row>
    <row r="245" spans="1:23" ht="13.5" customHeight="1" x14ac:dyDescent="0.25">
      <c r="A245" s="15" t="s">
        <v>872</v>
      </c>
      <c r="B245" s="15" t="s">
        <v>943</v>
      </c>
      <c r="C245" s="22">
        <v>9805</v>
      </c>
      <c r="D245" s="14" t="s">
        <v>944</v>
      </c>
      <c r="E245" s="15" t="s">
        <v>420</v>
      </c>
      <c r="F245" s="14" t="s">
        <v>1396</v>
      </c>
      <c r="G245" s="15" t="s">
        <v>368</v>
      </c>
      <c r="H245" s="55">
        <v>596948</v>
      </c>
      <c r="I245" s="55">
        <f>VLOOKUP(G245,'[1]Dispositivos exportados de HP W'!$C:$D,2,FALSE)</f>
        <v>598234</v>
      </c>
      <c r="J245" s="55">
        <f t="shared" si="18"/>
        <v>1286</v>
      </c>
      <c r="K245" s="55">
        <f>VLOOKUP(G245,'[2]Dispositivos exportados de HP W'!$C:$D,2,FALSE)</f>
        <v>599743</v>
      </c>
      <c r="L245" s="55">
        <f t="shared" si="19"/>
        <v>1509</v>
      </c>
      <c r="M245" s="55">
        <f>VLOOKUP(G245,'[3]Dispositivos exportados de HP W'!$C:$D,2,FALSE)</f>
        <v>600496</v>
      </c>
      <c r="N245" s="55">
        <f t="shared" si="20"/>
        <v>753</v>
      </c>
      <c r="O245" s="55">
        <f>VLOOKUP(G245,'[4]Dispositivos exportados de HP W'!$C:$D,2,FALSE)</f>
        <v>602214</v>
      </c>
      <c r="P245" s="55">
        <f t="shared" si="21"/>
        <v>1718</v>
      </c>
      <c r="Q245" s="55">
        <f>VLOOKUP(G245,'[6]Dispositivos exportados de HP W'!$C:$D,2,FALSE)</f>
        <v>602795</v>
      </c>
      <c r="R245" s="55">
        <f t="shared" si="22"/>
        <v>581</v>
      </c>
      <c r="S245" s="90">
        <f t="shared" si="23"/>
        <v>5847</v>
      </c>
      <c r="T245" s="89">
        <v>46083</v>
      </c>
      <c r="U245" s="14"/>
      <c r="V245" s="105" t="s">
        <v>2383</v>
      </c>
      <c r="W245" s="105" t="str">
        <f>VLOOKUP(C245,'Status oficina'!$A$2:$C$208,3,FALSE)</f>
        <v>Activa</v>
      </c>
    </row>
    <row r="246" spans="1:23" ht="13.5" customHeight="1" x14ac:dyDescent="0.25">
      <c r="A246" s="14" t="s">
        <v>946</v>
      </c>
      <c r="B246" s="14" t="s">
        <v>969</v>
      </c>
      <c r="C246" s="19">
        <v>9570</v>
      </c>
      <c r="D246" s="14" t="s">
        <v>970</v>
      </c>
      <c r="E246" s="14" t="s">
        <v>420</v>
      </c>
      <c r="F246" s="14" t="s">
        <v>1412</v>
      </c>
      <c r="G246" s="14" t="s">
        <v>279</v>
      </c>
      <c r="H246" s="55">
        <v>628372</v>
      </c>
      <c r="I246" s="55">
        <f>VLOOKUP(G246,'[1]Dispositivos exportados de HP W'!$C:$D,2,FALSE)</f>
        <v>629409</v>
      </c>
      <c r="J246" s="55">
        <f t="shared" si="18"/>
        <v>1037</v>
      </c>
      <c r="K246" s="55">
        <f>VLOOKUP(G246,'[2]Dispositivos exportados de HP W'!$C:$D,2,FALSE)</f>
        <v>630450</v>
      </c>
      <c r="L246" s="55">
        <f t="shared" si="19"/>
        <v>1041</v>
      </c>
      <c r="M246" s="55">
        <f>VLOOKUP(G246,'[3]Dispositivos exportados de HP W'!$C:$D,2,FALSE)</f>
        <v>631349</v>
      </c>
      <c r="N246" s="55">
        <f t="shared" si="20"/>
        <v>899</v>
      </c>
      <c r="O246" s="55">
        <f>VLOOKUP(G246,'[4]Dispositivos exportados de HP W'!$C:$D,2,FALSE)</f>
        <v>632202</v>
      </c>
      <c r="P246" s="55">
        <f t="shared" si="21"/>
        <v>853</v>
      </c>
      <c r="Q246" s="55">
        <f>VLOOKUP(G246,'[6]Dispositivos exportados de HP W'!$C:$D,2,FALSE)</f>
        <v>632632</v>
      </c>
      <c r="R246" s="55">
        <f t="shared" si="22"/>
        <v>430</v>
      </c>
      <c r="S246" s="90">
        <f t="shared" si="23"/>
        <v>4260</v>
      </c>
      <c r="T246" s="89">
        <v>46083</v>
      </c>
      <c r="U246" s="14"/>
      <c r="V246" s="105" t="s">
        <v>2383</v>
      </c>
      <c r="W246" s="105" t="str">
        <f>VLOOKUP(C246,'Status oficina'!$A$2:$C$208,3,FALSE)</f>
        <v>Activa</v>
      </c>
    </row>
    <row r="247" spans="1:23" ht="13.5" customHeight="1" x14ac:dyDescent="0.25">
      <c r="A247" s="53" t="s">
        <v>2450</v>
      </c>
      <c r="B247" s="14" t="s">
        <v>711</v>
      </c>
      <c r="C247" s="19">
        <v>9907</v>
      </c>
      <c r="D247" s="14" t="s">
        <v>712</v>
      </c>
      <c r="E247" s="14" t="s">
        <v>420</v>
      </c>
      <c r="F247" s="14" t="s">
        <v>1245</v>
      </c>
      <c r="G247" s="14" t="s">
        <v>229</v>
      </c>
      <c r="H247" s="55">
        <v>681336</v>
      </c>
      <c r="I247" s="55">
        <f>VLOOKUP(G247,'[1]Dispositivos exportados de HP W'!$C:$D,2,FALSE)</f>
        <v>682706</v>
      </c>
      <c r="J247" s="55">
        <f t="shared" si="18"/>
        <v>1370</v>
      </c>
      <c r="K247" s="55">
        <f>VLOOKUP(G247,'[2]Dispositivos exportados de HP W'!$C:$D,2,FALSE)</f>
        <v>684022</v>
      </c>
      <c r="L247" s="55">
        <f t="shared" si="19"/>
        <v>1316</v>
      </c>
      <c r="M247" s="55">
        <f>VLOOKUP(G247,'[3]Dispositivos exportados de HP W'!$C:$D,2,FALSE)</f>
        <v>684948</v>
      </c>
      <c r="N247" s="55">
        <f t="shared" si="20"/>
        <v>926</v>
      </c>
      <c r="O247" s="55">
        <f>VLOOKUP(G247,'[4]Dispositivos exportados de HP W'!$C:$D,2,FALSE)</f>
        <v>686160</v>
      </c>
      <c r="P247" s="55">
        <f t="shared" si="21"/>
        <v>1212</v>
      </c>
      <c r="Q247" s="55">
        <f>VLOOKUP(G247,'[6]Dispositivos exportados de HP W'!$C:$D,2,FALSE)</f>
        <v>686645</v>
      </c>
      <c r="R247" s="55">
        <f t="shared" si="22"/>
        <v>485</v>
      </c>
      <c r="S247" s="90">
        <f t="shared" si="23"/>
        <v>5309</v>
      </c>
      <c r="T247" s="89">
        <v>46083</v>
      </c>
      <c r="U247" s="14"/>
      <c r="V247" s="105" t="s">
        <v>2383</v>
      </c>
      <c r="W247" s="105" t="str">
        <f>VLOOKUP(C247,'Status oficina'!$A$2:$C$208,3,FALSE)</f>
        <v>Activa</v>
      </c>
    </row>
    <row r="248" spans="1:23" ht="13.5" customHeight="1" x14ac:dyDescent="0.25">
      <c r="A248" s="14" t="s">
        <v>2451</v>
      </c>
      <c r="B248" s="14" t="s">
        <v>854</v>
      </c>
      <c r="C248" s="120">
        <v>9394</v>
      </c>
      <c r="D248" s="14" t="s">
        <v>855</v>
      </c>
      <c r="E248" s="14" t="s">
        <v>420</v>
      </c>
      <c r="F248" s="14" t="s">
        <v>1334</v>
      </c>
      <c r="G248" s="14" t="s">
        <v>282</v>
      </c>
      <c r="H248" s="55">
        <v>270190</v>
      </c>
      <c r="I248" s="55">
        <f>VLOOKUP(G248,'[1]Dispositivos exportados de HP W'!$C:$D,2,FALSE)</f>
        <v>271532</v>
      </c>
      <c r="J248" s="55">
        <f t="shared" si="18"/>
        <v>1342</v>
      </c>
      <c r="K248" s="55">
        <f>VLOOKUP(G248,'[2]Dispositivos exportados de HP W'!$C:$D,2,FALSE)</f>
        <v>272830</v>
      </c>
      <c r="L248" s="55">
        <f t="shared" si="19"/>
        <v>1298</v>
      </c>
      <c r="M248" s="55">
        <f>VLOOKUP(G248,'[3]Dispositivos exportados de HP W'!$C:$D,2,FALSE)</f>
        <v>273644</v>
      </c>
      <c r="N248" s="55">
        <f t="shared" si="20"/>
        <v>814</v>
      </c>
      <c r="O248" s="55">
        <f>VLOOKUP(G248,'[4]Dispositivos exportados de HP W'!$C:$D,2,FALSE)</f>
        <v>274932</v>
      </c>
      <c r="P248" s="55">
        <f t="shared" si="21"/>
        <v>1288</v>
      </c>
      <c r="Q248" s="55">
        <f>VLOOKUP(G248,'[6]Dispositivos exportados de HP W'!$C:$D,2,FALSE)</f>
        <v>275524</v>
      </c>
      <c r="R248" s="55">
        <f t="shared" si="22"/>
        <v>592</v>
      </c>
      <c r="S248" s="90">
        <f t="shared" si="23"/>
        <v>5334</v>
      </c>
      <c r="T248" s="89">
        <v>46083</v>
      </c>
      <c r="U248" s="14"/>
      <c r="V248" s="105" t="s">
        <v>2383</v>
      </c>
      <c r="W248" s="105" t="str">
        <f>VLOOKUP(C248,'Status oficina'!$A$2:$C$208,3,FALSE)</f>
        <v>Activa</v>
      </c>
    </row>
    <row r="249" spans="1:23" ht="13.5" customHeight="1" x14ac:dyDescent="0.25">
      <c r="A249" s="53" t="s">
        <v>2450</v>
      </c>
      <c r="B249" s="14" t="s">
        <v>729</v>
      </c>
      <c r="C249" s="120">
        <v>9276</v>
      </c>
      <c r="D249" s="14" t="s">
        <v>730</v>
      </c>
      <c r="E249" s="14" t="s">
        <v>420</v>
      </c>
      <c r="F249" s="14" t="s">
        <v>1256</v>
      </c>
      <c r="G249" s="14" t="s">
        <v>93</v>
      </c>
      <c r="H249" s="55">
        <v>501248</v>
      </c>
      <c r="I249" s="55">
        <f>VLOOKUP(G249,'[1]Dispositivos exportados de HP W'!$C:$D,2,FALSE)</f>
        <v>502037</v>
      </c>
      <c r="J249" s="55">
        <f t="shared" si="18"/>
        <v>789</v>
      </c>
      <c r="K249" s="55">
        <f>VLOOKUP(G249,'[2]Dispositivos exportados de HP W'!$C:$D,2,FALSE)</f>
        <v>502734</v>
      </c>
      <c r="L249" s="55">
        <f t="shared" si="19"/>
        <v>697</v>
      </c>
      <c r="M249" s="55">
        <f>VLOOKUP(G249,'[3]Dispositivos exportados de HP W'!$C:$D,2,FALSE)</f>
        <v>503364</v>
      </c>
      <c r="N249" s="55">
        <f t="shared" si="20"/>
        <v>630</v>
      </c>
      <c r="O249" s="55">
        <f>VLOOKUP(G249,'[4]Dispositivos exportados de HP W'!$C:$D,2,FALSE)</f>
        <v>504013</v>
      </c>
      <c r="P249" s="55">
        <f t="shared" si="21"/>
        <v>649</v>
      </c>
      <c r="Q249" s="55">
        <f>VLOOKUP(G249,'[6]Dispositivos exportados de HP W'!$C:$D,2,FALSE)</f>
        <v>504190</v>
      </c>
      <c r="R249" s="55">
        <f t="shared" si="22"/>
        <v>177</v>
      </c>
      <c r="S249" s="90">
        <f t="shared" si="23"/>
        <v>2942</v>
      </c>
      <c r="T249" s="89">
        <v>46083</v>
      </c>
      <c r="U249" s="14"/>
      <c r="V249" s="105" t="s">
        <v>2383</v>
      </c>
      <c r="W249" s="105" t="str">
        <f>VLOOKUP(C249,'Status oficina'!$A$2:$C$208,3,FALSE)</f>
        <v>Activa</v>
      </c>
    </row>
    <row r="250" spans="1:23" ht="13.5" customHeight="1" x14ac:dyDescent="0.25">
      <c r="A250" s="14" t="s">
        <v>2089</v>
      </c>
      <c r="B250" s="14" t="s">
        <v>603</v>
      </c>
      <c r="C250" s="19">
        <v>9833</v>
      </c>
      <c r="D250" s="14" t="s">
        <v>606</v>
      </c>
      <c r="E250" s="14" t="s">
        <v>420</v>
      </c>
      <c r="F250" s="54" t="s">
        <v>2172</v>
      </c>
      <c r="G250" s="54" t="s">
        <v>32</v>
      </c>
      <c r="H250" s="55">
        <v>446917</v>
      </c>
      <c r="I250" s="55">
        <f>VLOOKUP(G250,'[1]Dispositivos exportados de HP W'!$C:$D,2,FALSE)</f>
        <v>448152</v>
      </c>
      <c r="J250" s="55">
        <f t="shared" si="18"/>
        <v>1235</v>
      </c>
      <c r="K250" s="55">
        <f>VLOOKUP(G250,'[2]Dispositivos exportados de HP W'!$C:$D,2,FALSE)</f>
        <v>449414</v>
      </c>
      <c r="L250" s="55">
        <f t="shared" si="19"/>
        <v>1262</v>
      </c>
      <c r="M250" s="55">
        <f>VLOOKUP(G250,'[3]Dispositivos exportados de HP W'!$C:$D,2,FALSE)</f>
        <v>450260</v>
      </c>
      <c r="N250" s="55">
        <f t="shared" si="20"/>
        <v>846</v>
      </c>
      <c r="O250" s="55">
        <f>VLOOKUP(G250,'[4]Dispositivos exportados de HP W'!$C:$D,2,FALSE)</f>
        <v>451575</v>
      </c>
      <c r="P250" s="55">
        <f t="shared" si="21"/>
        <v>1315</v>
      </c>
      <c r="Q250" s="55">
        <f>VLOOKUP(G250,'[6]Dispositivos exportados de HP W'!$C:$D,2,FALSE)</f>
        <v>452312</v>
      </c>
      <c r="R250" s="55">
        <f t="shared" si="22"/>
        <v>737</v>
      </c>
      <c r="S250" s="90">
        <f t="shared" si="23"/>
        <v>5395</v>
      </c>
      <c r="T250" s="89">
        <v>46083</v>
      </c>
      <c r="U250" s="77"/>
      <c r="V250" s="105" t="s">
        <v>2383</v>
      </c>
      <c r="W250" s="105" t="str">
        <f>VLOOKUP(C250,'Status oficina'!$A$2:$C$208,3,FALSE)</f>
        <v>Activa</v>
      </c>
    </row>
    <row r="251" spans="1:23" ht="13.5" customHeight="1" x14ac:dyDescent="0.25">
      <c r="A251" s="14" t="s">
        <v>2089</v>
      </c>
      <c r="B251" s="14" t="s">
        <v>630</v>
      </c>
      <c r="C251" s="120">
        <v>9868</v>
      </c>
      <c r="D251" s="14" t="s">
        <v>631</v>
      </c>
      <c r="E251" s="14" t="s">
        <v>420</v>
      </c>
      <c r="F251" s="14" t="s">
        <v>1197</v>
      </c>
      <c r="G251" s="14" t="s">
        <v>90</v>
      </c>
      <c r="H251" s="55">
        <v>615659</v>
      </c>
      <c r="I251" s="55">
        <f>VLOOKUP(G251,'[1]Dispositivos exportados de HP W'!$C:$D,2,FALSE)</f>
        <v>618070</v>
      </c>
      <c r="J251" s="55">
        <f t="shared" si="18"/>
        <v>2411</v>
      </c>
      <c r="K251" s="55">
        <f>VLOOKUP(G251,'[2]Dispositivos exportados de HP W'!$C:$D,2,FALSE)</f>
        <v>618804</v>
      </c>
      <c r="L251" s="55">
        <f t="shared" si="19"/>
        <v>734</v>
      </c>
      <c r="M251" s="55">
        <f>VLOOKUP(G251,'[3]Dispositivos exportados de HP W'!$C:$D,2,FALSE)</f>
        <v>620492</v>
      </c>
      <c r="N251" s="55">
        <f t="shared" si="20"/>
        <v>1688</v>
      </c>
      <c r="O251" s="55">
        <f>VLOOKUP(G251,'[4]Dispositivos exportados de HP W'!$C:$D,2,FALSE)</f>
        <v>622535</v>
      </c>
      <c r="P251" s="55">
        <f t="shared" si="21"/>
        <v>2043</v>
      </c>
      <c r="Q251" s="55">
        <f>VLOOKUP(G251,'[6]Dispositivos exportados de HP W'!$C:$D,2,FALSE)</f>
        <v>622950</v>
      </c>
      <c r="R251" s="55">
        <f t="shared" si="22"/>
        <v>415</v>
      </c>
      <c r="S251" s="90">
        <f t="shared" si="23"/>
        <v>7291</v>
      </c>
      <c r="T251" s="89">
        <v>46083</v>
      </c>
      <c r="U251" s="14"/>
      <c r="V251" s="105" t="s">
        <v>2383</v>
      </c>
      <c r="W251" s="105" t="str">
        <f>VLOOKUP(C251,'Status oficina'!$A$2:$C$208,3,FALSE)</f>
        <v>Activa</v>
      </c>
    </row>
    <row r="252" spans="1:23" ht="13.5" customHeight="1" x14ac:dyDescent="0.25">
      <c r="A252" s="14" t="s">
        <v>2451</v>
      </c>
      <c r="B252" s="14" t="s">
        <v>834</v>
      </c>
      <c r="C252" s="120">
        <v>9228</v>
      </c>
      <c r="D252" s="14" t="s">
        <v>835</v>
      </c>
      <c r="E252" s="14" t="s">
        <v>420</v>
      </c>
      <c r="F252" s="14" t="s">
        <v>1323</v>
      </c>
      <c r="G252" s="14"/>
      <c r="H252" s="55">
        <v>661519</v>
      </c>
      <c r="I252" s="55">
        <v>661519</v>
      </c>
      <c r="J252" s="55">
        <f t="shared" si="18"/>
        <v>0</v>
      </c>
      <c r="K252" s="55">
        <v>661519</v>
      </c>
      <c r="L252" s="55">
        <f t="shared" si="19"/>
        <v>0</v>
      </c>
      <c r="M252" s="55">
        <v>661519</v>
      </c>
      <c r="N252" s="55">
        <f t="shared" si="20"/>
        <v>0</v>
      </c>
      <c r="O252" s="55">
        <v>661519</v>
      </c>
      <c r="P252" s="55">
        <f t="shared" si="21"/>
        <v>0</v>
      </c>
      <c r="Q252" s="55">
        <v>661519</v>
      </c>
      <c r="R252" s="55">
        <f t="shared" si="22"/>
        <v>0</v>
      </c>
      <c r="S252" s="90">
        <f t="shared" si="23"/>
        <v>0</v>
      </c>
      <c r="T252" s="89">
        <v>46083</v>
      </c>
      <c r="U252" s="14" t="s">
        <v>2423</v>
      </c>
      <c r="V252" s="105" t="s">
        <v>2382</v>
      </c>
      <c r="W252" s="105" t="str">
        <f>VLOOKUP(C252,'Status oficina'!$A$2:$C$208,3,FALSE)</f>
        <v>Activa</v>
      </c>
    </row>
    <row r="253" spans="1:23" ht="13.5" customHeight="1" x14ac:dyDescent="0.25">
      <c r="A253" s="14" t="s">
        <v>872</v>
      </c>
      <c r="B253" s="14" t="s">
        <v>918</v>
      </c>
      <c r="C253" s="120">
        <v>9813</v>
      </c>
      <c r="D253" s="14" t="s">
        <v>2118</v>
      </c>
      <c r="E253" s="14" t="s">
        <v>420</v>
      </c>
      <c r="F253" s="14" t="s">
        <v>1377</v>
      </c>
      <c r="G253" s="14" t="s">
        <v>39</v>
      </c>
      <c r="H253" s="55">
        <v>580433</v>
      </c>
      <c r="I253" s="55">
        <f>VLOOKUP(G253,'[1]Dispositivos exportados de HP W'!$C:$D,2,FALSE)</f>
        <v>581166</v>
      </c>
      <c r="J253" s="55">
        <f t="shared" si="18"/>
        <v>733</v>
      </c>
      <c r="K253" s="55">
        <f>VLOOKUP(G253,'[2]Dispositivos exportados de HP W'!$C:$D,2,FALSE)</f>
        <v>582058</v>
      </c>
      <c r="L253" s="55">
        <f t="shared" si="19"/>
        <v>892</v>
      </c>
      <c r="M253" s="55">
        <f>VLOOKUP(G253,'[3]Dispositivos exportados de HP W'!$C:$D,2,FALSE)</f>
        <v>582644</v>
      </c>
      <c r="N253" s="55">
        <f t="shared" si="20"/>
        <v>586</v>
      </c>
      <c r="O253" s="55">
        <f>VLOOKUP(G253,'[4]Dispositivos exportados de HP W'!$C:$D,2,FALSE)</f>
        <v>583396</v>
      </c>
      <c r="P253" s="55">
        <f t="shared" si="21"/>
        <v>752</v>
      </c>
      <c r="Q253" s="55">
        <f>VLOOKUP(G253,'[6]Dispositivos exportados de HP W'!$C:$D,2,FALSE)</f>
        <v>583734</v>
      </c>
      <c r="R253" s="55">
        <f t="shared" si="22"/>
        <v>338</v>
      </c>
      <c r="S253" s="90">
        <f t="shared" si="23"/>
        <v>3301</v>
      </c>
      <c r="T253" s="89">
        <v>46083</v>
      </c>
      <c r="U253" s="14"/>
      <c r="V253" s="105" t="s">
        <v>2383</v>
      </c>
      <c r="W253" s="105" t="str">
        <f>VLOOKUP(C253,'Status oficina'!$A$2:$C$208,3,FALSE)</f>
        <v>Activa</v>
      </c>
    </row>
    <row r="254" spans="1:23" ht="13.5" customHeight="1" x14ac:dyDescent="0.25">
      <c r="A254" s="53" t="s">
        <v>2450</v>
      </c>
      <c r="B254" s="14" t="s">
        <v>746</v>
      </c>
      <c r="C254" s="120">
        <v>9264</v>
      </c>
      <c r="D254" s="14" t="s">
        <v>747</v>
      </c>
      <c r="E254" s="14" t="s">
        <v>420</v>
      </c>
      <c r="F254" s="14" t="s">
        <v>1268</v>
      </c>
      <c r="G254" s="14" t="s">
        <v>180</v>
      </c>
      <c r="H254" s="55">
        <v>445163</v>
      </c>
      <c r="I254" s="55">
        <f>VLOOKUP(G254,'[1]Dispositivos exportados de HP W'!$C:$D,2,FALSE)</f>
        <v>445823</v>
      </c>
      <c r="J254" s="55">
        <f t="shared" si="18"/>
        <v>660</v>
      </c>
      <c r="K254" s="55">
        <f>VLOOKUP(G254,'[2]Dispositivos exportados de HP W'!$C:$D,2,FALSE)</f>
        <v>446671</v>
      </c>
      <c r="L254" s="55">
        <f t="shared" si="19"/>
        <v>848</v>
      </c>
      <c r="M254" s="55">
        <f>VLOOKUP(G254,'[3]Dispositivos exportados de HP W'!$C:$D,2,FALSE)</f>
        <v>447063</v>
      </c>
      <c r="N254" s="55">
        <f t="shared" si="20"/>
        <v>392</v>
      </c>
      <c r="O254" s="55">
        <f>VLOOKUP(G254,'[4]Dispositivos exportados de HP W'!$C:$D,2,FALSE)</f>
        <v>447604</v>
      </c>
      <c r="P254" s="55">
        <f t="shared" si="21"/>
        <v>541</v>
      </c>
      <c r="Q254" s="55">
        <f>VLOOKUP(G254,'[6]Dispositivos exportados de HP W'!$C:$D,2,FALSE)</f>
        <v>447783</v>
      </c>
      <c r="R254" s="55">
        <f t="shared" si="22"/>
        <v>179</v>
      </c>
      <c r="S254" s="90">
        <f t="shared" si="23"/>
        <v>2620</v>
      </c>
      <c r="T254" s="89">
        <v>46083</v>
      </c>
      <c r="U254" s="14"/>
      <c r="V254" s="105" t="s">
        <v>2383</v>
      </c>
      <c r="W254" s="105" t="str">
        <f>VLOOKUP(C254,'Status oficina'!$A$2:$C$208,3,FALSE)</f>
        <v>Activa</v>
      </c>
    </row>
    <row r="255" spans="1:23" ht="13.5" customHeight="1" x14ac:dyDescent="0.25">
      <c r="A255" s="14" t="s">
        <v>2089</v>
      </c>
      <c r="B255" s="14" t="s">
        <v>575</v>
      </c>
      <c r="C255" s="120">
        <v>9398</v>
      </c>
      <c r="D255" s="14" t="s">
        <v>576</v>
      </c>
      <c r="E255" s="14" t="s">
        <v>420</v>
      </c>
      <c r="F255" s="14" t="s">
        <v>1175</v>
      </c>
      <c r="G255" s="54" t="s">
        <v>160</v>
      </c>
      <c r="H255" s="55">
        <v>752431</v>
      </c>
      <c r="I255" s="55">
        <f>VLOOKUP(G255,'[1]Dispositivos exportados de HP W'!$C:$D,2,FALSE)</f>
        <v>753892</v>
      </c>
      <c r="J255" s="55">
        <f t="shared" si="18"/>
        <v>1461</v>
      </c>
      <c r="K255" s="55">
        <f>VLOOKUP(G255,'[2]Dispositivos exportados de HP W'!$C:$D,2,FALSE)</f>
        <v>755595</v>
      </c>
      <c r="L255" s="55">
        <f t="shared" si="19"/>
        <v>1703</v>
      </c>
      <c r="M255" s="55">
        <f>VLOOKUP(G255,'[3]Dispositivos exportados de HP W'!$C:$D,2,FALSE)</f>
        <v>756938</v>
      </c>
      <c r="N255" s="55">
        <f t="shared" si="20"/>
        <v>1343</v>
      </c>
      <c r="O255" s="55">
        <f>VLOOKUP(G255,'[4]Dispositivos exportados de HP W'!$C:$D,2,FALSE)</f>
        <v>758487</v>
      </c>
      <c r="P255" s="55">
        <f t="shared" si="21"/>
        <v>1549</v>
      </c>
      <c r="Q255" s="55">
        <f>VLOOKUP(G255,'[6]Dispositivos exportados de HP W'!$C:$D,2,FALSE)</f>
        <v>759094</v>
      </c>
      <c r="R255" s="55">
        <f t="shared" si="22"/>
        <v>607</v>
      </c>
      <c r="S255" s="90">
        <f t="shared" si="23"/>
        <v>6663</v>
      </c>
      <c r="T255" s="89">
        <v>46083</v>
      </c>
      <c r="U255" s="14"/>
      <c r="V255" s="105" t="s">
        <v>2383</v>
      </c>
      <c r="W255" s="105" t="str">
        <f>VLOOKUP(C255,'Status oficina'!$A$2:$C$208,3,FALSE)</f>
        <v>Activa</v>
      </c>
    </row>
    <row r="256" spans="1:23" ht="13.5" customHeight="1" x14ac:dyDescent="0.25">
      <c r="A256" s="14" t="s">
        <v>2089</v>
      </c>
      <c r="B256" s="14" t="s">
        <v>589</v>
      </c>
      <c r="C256" s="19">
        <v>9853</v>
      </c>
      <c r="D256" s="14" t="s">
        <v>590</v>
      </c>
      <c r="E256" s="14" t="s">
        <v>420</v>
      </c>
      <c r="F256" s="14" t="s">
        <v>591</v>
      </c>
      <c r="G256" s="14" t="s">
        <v>406</v>
      </c>
      <c r="H256" s="55">
        <v>817418</v>
      </c>
      <c r="I256" s="55">
        <f>VLOOKUP(G256,'[1]Dispositivos exportados de HP W'!$C:$D,2,FALSE)</f>
        <v>820327</v>
      </c>
      <c r="J256" s="55">
        <f t="shared" si="18"/>
        <v>2909</v>
      </c>
      <c r="K256" s="55">
        <f>VLOOKUP(G256,'[2]Dispositivos exportados de HP W'!$C:$D,2,FALSE)</f>
        <v>822898</v>
      </c>
      <c r="L256" s="55">
        <f t="shared" si="19"/>
        <v>2571</v>
      </c>
      <c r="M256" s="55">
        <f>VLOOKUP(G256,'[3]Dispositivos exportados de HP W'!$C:$D,2,FALSE)</f>
        <v>824937</v>
      </c>
      <c r="N256" s="55">
        <f t="shared" si="20"/>
        <v>2039</v>
      </c>
      <c r="O256" s="55">
        <f>VLOOKUP(G256,'[4]Dispositivos exportados de HP W'!$C:$D,2,FALSE)</f>
        <v>827708</v>
      </c>
      <c r="P256" s="55">
        <f t="shared" si="21"/>
        <v>2771</v>
      </c>
      <c r="Q256" s="55">
        <f>VLOOKUP(G256,'[6]Dispositivos exportados de HP W'!$C:$D,2,FALSE)</f>
        <v>828890</v>
      </c>
      <c r="R256" s="55">
        <f t="shared" si="22"/>
        <v>1182</v>
      </c>
      <c r="S256" s="90">
        <f t="shared" si="23"/>
        <v>11472</v>
      </c>
      <c r="T256" s="89">
        <v>46083</v>
      </c>
      <c r="U256" s="14"/>
      <c r="V256" s="105" t="s">
        <v>2383</v>
      </c>
      <c r="W256" s="105" t="str">
        <f>VLOOKUP(C256,'Status oficina'!$A$2:$C$208,3,FALSE)</f>
        <v>Activa</v>
      </c>
    </row>
    <row r="257" spans="1:23" ht="13.5" customHeight="1" x14ac:dyDescent="0.25">
      <c r="A257" s="14" t="s">
        <v>872</v>
      </c>
      <c r="B257" s="14" t="s">
        <v>938</v>
      </c>
      <c r="C257" s="120">
        <v>9827</v>
      </c>
      <c r="D257" s="14" t="s">
        <v>939</v>
      </c>
      <c r="E257" s="14" t="s">
        <v>420</v>
      </c>
      <c r="F257" s="14" t="s">
        <v>1393</v>
      </c>
      <c r="G257" s="14" t="s">
        <v>44</v>
      </c>
      <c r="H257" s="55">
        <v>260251</v>
      </c>
      <c r="I257" s="55">
        <f>VLOOKUP(G257,'[1]Dispositivos exportados de HP W'!$C:$D,2,FALSE)</f>
        <v>261118</v>
      </c>
      <c r="J257" s="55">
        <f t="shared" si="18"/>
        <v>867</v>
      </c>
      <c r="K257" s="55">
        <f>VLOOKUP(G257,'[2]Dispositivos exportados de HP W'!$C:$D,2,FALSE)</f>
        <v>261650</v>
      </c>
      <c r="L257" s="55">
        <f t="shared" si="19"/>
        <v>532</v>
      </c>
      <c r="M257" s="55">
        <f>VLOOKUP(G257,'[3]Dispositivos exportados de HP W'!$C:$D,2,FALSE)</f>
        <v>262226</v>
      </c>
      <c r="N257" s="55">
        <f t="shared" si="20"/>
        <v>576</v>
      </c>
      <c r="O257" s="55">
        <f>VLOOKUP(G257,'[4]Dispositivos exportados de HP W'!$C:$D,2,FALSE)</f>
        <v>263050</v>
      </c>
      <c r="P257" s="55">
        <f t="shared" si="21"/>
        <v>824</v>
      </c>
      <c r="Q257" s="55">
        <f>VLOOKUP(G257,'[6]Dispositivos exportados de HP W'!$C:$D,2,FALSE)</f>
        <v>263301</v>
      </c>
      <c r="R257" s="55">
        <f t="shared" si="22"/>
        <v>251</v>
      </c>
      <c r="S257" s="90">
        <f t="shared" si="23"/>
        <v>3050</v>
      </c>
      <c r="T257" s="89">
        <v>46083</v>
      </c>
      <c r="U257" s="14"/>
      <c r="V257" s="105" t="s">
        <v>2383</v>
      </c>
      <c r="W257" s="105" t="str">
        <f>VLOOKUP(C257,'Status oficina'!$A$2:$C$208,3,FALSE)</f>
        <v>Activa</v>
      </c>
    </row>
    <row r="258" spans="1:23" ht="13.5" customHeight="1" x14ac:dyDescent="0.25">
      <c r="A258" s="14" t="s">
        <v>872</v>
      </c>
      <c r="B258" s="14" t="s">
        <v>892</v>
      </c>
      <c r="C258" s="19">
        <v>9826</v>
      </c>
      <c r="D258" s="14" t="s">
        <v>893</v>
      </c>
      <c r="E258" s="14" t="s">
        <v>420</v>
      </c>
      <c r="F258" s="14" t="s">
        <v>1358</v>
      </c>
      <c r="G258" s="14" t="s">
        <v>217</v>
      </c>
      <c r="H258" s="55">
        <v>567651</v>
      </c>
      <c r="I258" s="55">
        <f>VLOOKUP(G258,'[1]Dispositivos exportados de HP W'!$C:$D,2,FALSE)</f>
        <v>569538</v>
      </c>
      <c r="J258" s="55">
        <f t="shared" si="18"/>
        <v>1887</v>
      </c>
      <c r="K258" s="55">
        <f>VLOOKUP(G258,'[2]Dispositivos exportados de HP W'!$C:$D,2,FALSE)</f>
        <v>571063</v>
      </c>
      <c r="L258" s="55">
        <f t="shared" si="19"/>
        <v>1525</v>
      </c>
      <c r="M258" s="55">
        <f>VLOOKUP(G258,'[3]Dispositivos exportados de HP W'!$C:$D,2,FALSE)</f>
        <v>572258</v>
      </c>
      <c r="N258" s="55">
        <f t="shared" si="20"/>
        <v>1195</v>
      </c>
      <c r="O258" s="55">
        <f>VLOOKUP(G258,'[4]Dispositivos exportados de HP W'!$C:$D,2,FALSE)</f>
        <v>573866</v>
      </c>
      <c r="P258" s="55">
        <f t="shared" si="21"/>
        <v>1608</v>
      </c>
      <c r="Q258" s="55">
        <f>VLOOKUP(G258,'[6]Dispositivos exportados de HP W'!$C:$D,2,FALSE)</f>
        <v>574490</v>
      </c>
      <c r="R258" s="55">
        <f t="shared" si="22"/>
        <v>624</v>
      </c>
      <c r="S258" s="90">
        <f t="shared" si="23"/>
        <v>6839</v>
      </c>
      <c r="T258" s="89">
        <v>46083</v>
      </c>
      <c r="U258" s="14"/>
      <c r="V258" s="105" t="s">
        <v>2383</v>
      </c>
      <c r="W258" s="105" t="str">
        <f>VLOOKUP(C258,'Status oficina'!$A$2:$C$208,3,FALSE)</f>
        <v>Activa</v>
      </c>
    </row>
    <row r="259" spans="1:23" ht="13.5" customHeight="1" x14ac:dyDescent="0.25">
      <c r="A259" s="14" t="s">
        <v>2451</v>
      </c>
      <c r="B259" s="14" t="s">
        <v>821</v>
      </c>
      <c r="C259" s="120">
        <v>9291</v>
      </c>
      <c r="D259" s="54" t="s">
        <v>822</v>
      </c>
      <c r="E259" s="14" t="s">
        <v>420</v>
      </c>
      <c r="F259" s="14" t="s">
        <v>1315</v>
      </c>
      <c r="G259" s="14" t="s">
        <v>178</v>
      </c>
      <c r="H259" s="55">
        <v>738891</v>
      </c>
      <c r="I259" s="55">
        <f>VLOOKUP(G259,'[1]Dispositivos exportados de HP W'!$C:$D,2,FALSE)</f>
        <v>740711</v>
      </c>
      <c r="J259" s="55">
        <f t="shared" ref="J259:J322" si="24">I259-H259</f>
        <v>1820</v>
      </c>
      <c r="K259" s="55">
        <f>VLOOKUP(G259,'[2]Dispositivos exportados de HP W'!$C:$D,2,FALSE)</f>
        <v>743006</v>
      </c>
      <c r="L259" s="55">
        <f t="shared" ref="L259:L322" si="25">K259-I259</f>
        <v>2295</v>
      </c>
      <c r="M259" s="55">
        <f>VLOOKUP(G259,'[3]Dispositivos exportados de HP W'!$C:$D,2,FALSE)</f>
        <v>744674</v>
      </c>
      <c r="N259" s="55">
        <f t="shared" ref="N259:N322" si="26">M259-K259</f>
        <v>1668</v>
      </c>
      <c r="O259" s="55">
        <f>VLOOKUP(G259,'[4]Dispositivos exportados de HP W'!$C:$D,2,FALSE)</f>
        <v>746822</v>
      </c>
      <c r="P259" s="55">
        <f t="shared" ref="P259:P322" si="27">O259-M259</f>
        <v>2148</v>
      </c>
      <c r="Q259" s="55">
        <f>VLOOKUP(G259,'[6]Dispositivos exportados de HP W'!$C:$D,2,FALSE)</f>
        <v>747803</v>
      </c>
      <c r="R259" s="55">
        <f t="shared" ref="R259:R322" si="28">Q259-O259</f>
        <v>981</v>
      </c>
      <c r="S259" s="90">
        <f t="shared" ref="S259:S322" si="29">R259+P259+N259+L259+J259</f>
        <v>8912</v>
      </c>
      <c r="T259" s="89">
        <v>46083</v>
      </c>
      <c r="U259" s="14"/>
      <c r="V259" s="105" t="s">
        <v>2383</v>
      </c>
      <c r="W259" s="105" t="str">
        <f>VLOOKUP(C259,'Status oficina'!$A$2:$C$208,3,FALSE)</f>
        <v>Activa</v>
      </c>
    </row>
    <row r="260" spans="1:23" ht="13.5" customHeight="1" x14ac:dyDescent="0.25">
      <c r="A260" s="14" t="s">
        <v>872</v>
      </c>
      <c r="B260" s="14" t="s">
        <v>929</v>
      </c>
      <c r="C260" s="120">
        <v>9814</v>
      </c>
      <c r="D260" s="14" t="s">
        <v>931</v>
      </c>
      <c r="E260" s="14" t="s">
        <v>420</v>
      </c>
      <c r="F260" s="14" t="s">
        <v>1386</v>
      </c>
      <c r="G260" s="14" t="s">
        <v>49</v>
      </c>
      <c r="H260" s="55">
        <v>238995</v>
      </c>
      <c r="I260" s="55">
        <f>VLOOKUP(G260,'[1]Dispositivos exportados de HP W'!$C:$D,2,FALSE)</f>
        <v>239056</v>
      </c>
      <c r="J260" s="55">
        <f t="shared" si="24"/>
        <v>61</v>
      </c>
      <c r="K260" s="55">
        <f>VLOOKUP(G260,'[2]Dispositivos exportados de HP W'!$C:$D,2,FALSE)</f>
        <v>239171</v>
      </c>
      <c r="L260" s="55">
        <f t="shared" si="25"/>
        <v>115</v>
      </c>
      <c r="M260" s="55">
        <f>VLOOKUP(G260,'[3]Dispositivos exportados de HP W'!$C:$D,2,FALSE)</f>
        <v>239286</v>
      </c>
      <c r="N260" s="55">
        <f t="shared" si="26"/>
        <v>115</v>
      </c>
      <c r="O260" s="55">
        <f>VLOOKUP(G260,'[4]Dispositivos exportados de HP W'!$C:$D,2,FALSE)</f>
        <v>239370</v>
      </c>
      <c r="P260" s="55">
        <f t="shared" si="27"/>
        <v>84</v>
      </c>
      <c r="Q260" s="55">
        <f>VLOOKUP(G260,'[6]Dispositivos exportados de HP W'!$C:$D,2,FALSE)</f>
        <v>239377</v>
      </c>
      <c r="R260" s="55">
        <f t="shared" si="28"/>
        <v>7</v>
      </c>
      <c r="S260" s="90">
        <f t="shared" si="29"/>
        <v>382</v>
      </c>
      <c r="T260" s="89">
        <v>46083</v>
      </c>
      <c r="U260" s="14"/>
      <c r="V260" s="105" t="s">
        <v>2383</v>
      </c>
      <c r="W260" s="105" t="str">
        <f>VLOOKUP(C260,'Status oficina'!$A$2:$C$208,3,FALSE)</f>
        <v>Activa</v>
      </c>
    </row>
    <row r="261" spans="1:23" ht="13.5" customHeight="1" x14ac:dyDescent="0.25">
      <c r="A261" s="53" t="s">
        <v>2450</v>
      </c>
      <c r="B261" s="14" t="s">
        <v>731</v>
      </c>
      <c r="C261" s="120">
        <v>9246</v>
      </c>
      <c r="D261" s="14" t="s">
        <v>732</v>
      </c>
      <c r="E261" s="14" t="s">
        <v>420</v>
      </c>
      <c r="F261" s="14" t="s">
        <v>1257</v>
      </c>
      <c r="G261" s="14" t="s">
        <v>138</v>
      </c>
      <c r="H261" s="55">
        <v>316005</v>
      </c>
      <c r="I261" s="55">
        <f>VLOOKUP(G261,'[1]Dispositivos exportados de HP W'!$C:$D,2,FALSE)</f>
        <v>316877</v>
      </c>
      <c r="J261" s="55">
        <f t="shared" si="24"/>
        <v>872</v>
      </c>
      <c r="K261" s="55">
        <f>VLOOKUP(G261,'[2]Dispositivos exportados de HP W'!$C:$D,2,FALSE)</f>
        <v>317536</v>
      </c>
      <c r="L261" s="55">
        <f t="shared" si="25"/>
        <v>659</v>
      </c>
      <c r="M261" s="55">
        <f>VLOOKUP(G261,'[3]Dispositivos exportados de HP W'!$C:$D,2,FALSE)</f>
        <v>317928</v>
      </c>
      <c r="N261" s="55">
        <f t="shared" si="26"/>
        <v>392</v>
      </c>
      <c r="O261" s="55">
        <f>VLOOKUP(G261,'[4]Dispositivos exportados de HP W'!$C:$D,2,FALSE)</f>
        <v>318555</v>
      </c>
      <c r="P261" s="55">
        <f t="shared" si="27"/>
        <v>627</v>
      </c>
      <c r="Q261" s="55">
        <f>VLOOKUP(G261,'[6]Dispositivos exportados de HP W'!$C:$D,2,FALSE)</f>
        <v>318674</v>
      </c>
      <c r="R261" s="55">
        <f t="shared" si="28"/>
        <v>119</v>
      </c>
      <c r="S261" s="90">
        <f t="shared" si="29"/>
        <v>2669</v>
      </c>
      <c r="T261" s="89">
        <v>46083</v>
      </c>
      <c r="U261" s="14"/>
      <c r="V261" s="105" t="s">
        <v>2383</v>
      </c>
      <c r="W261" s="105" t="str">
        <f>VLOOKUP(C261,'Status oficina'!$A$2:$C$208,3,FALSE)</f>
        <v>Activa</v>
      </c>
    </row>
    <row r="262" spans="1:23" ht="13.5" customHeight="1" x14ac:dyDescent="0.25">
      <c r="A262" s="14" t="s">
        <v>872</v>
      </c>
      <c r="B262" s="14" t="s">
        <v>920</v>
      </c>
      <c r="C262" s="120">
        <v>9817</v>
      </c>
      <c r="D262" s="14" t="s">
        <v>921</v>
      </c>
      <c r="E262" s="14" t="s">
        <v>420</v>
      </c>
      <c r="F262" s="14" t="s">
        <v>1379</v>
      </c>
      <c r="G262" s="14" t="s">
        <v>54</v>
      </c>
      <c r="H262" s="55">
        <v>259273</v>
      </c>
      <c r="I262" s="55">
        <f>VLOOKUP(G262,'[1]Dispositivos exportados de HP W'!$C:$D,2,FALSE)</f>
        <v>259389</v>
      </c>
      <c r="J262" s="55">
        <f t="shared" si="24"/>
        <v>116</v>
      </c>
      <c r="K262" s="55">
        <f>VLOOKUP(G262,'[2]Dispositivos exportados de HP W'!$C:$D,2,FALSE)</f>
        <v>259650</v>
      </c>
      <c r="L262" s="55">
        <f t="shared" si="25"/>
        <v>261</v>
      </c>
      <c r="M262" s="55">
        <f>VLOOKUP(G262,'[3]Dispositivos exportados de HP W'!$C:$D,2,FALSE)</f>
        <v>260172</v>
      </c>
      <c r="N262" s="55">
        <f t="shared" si="26"/>
        <v>522</v>
      </c>
      <c r="O262" s="55">
        <f>VLOOKUP(G262,'[4]Dispositivos exportados de HP W'!$C:$D,2,FALSE)</f>
        <v>260365</v>
      </c>
      <c r="P262" s="55">
        <f t="shared" si="27"/>
        <v>193</v>
      </c>
      <c r="Q262" s="55">
        <f>VLOOKUP(G262,'[6]Dispositivos exportados de HP W'!$C:$D,2,FALSE)</f>
        <v>260455</v>
      </c>
      <c r="R262" s="55">
        <f t="shared" si="28"/>
        <v>90</v>
      </c>
      <c r="S262" s="90">
        <f t="shared" si="29"/>
        <v>1182</v>
      </c>
      <c r="T262" s="89">
        <v>46083</v>
      </c>
      <c r="U262" s="14"/>
      <c r="V262" s="105" t="s">
        <v>2383</v>
      </c>
      <c r="W262" s="105" t="str">
        <f>VLOOKUP(C262,'Status oficina'!$A$2:$C$208,3,FALSE)</f>
        <v>Activa</v>
      </c>
    </row>
    <row r="263" spans="1:23" ht="13.5" customHeight="1" x14ac:dyDescent="0.25">
      <c r="A263" s="14" t="s">
        <v>2451</v>
      </c>
      <c r="B263" s="14" t="s">
        <v>836</v>
      </c>
      <c r="C263" s="120">
        <v>9284</v>
      </c>
      <c r="D263" s="14" t="s">
        <v>837</v>
      </c>
      <c r="E263" s="14" t="s">
        <v>420</v>
      </c>
      <c r="F263" s="14" t="s">
        <v>1395</v>
      </c>
      <c r="G263" s="14" t="s">
        <v>8</v>
      </c>
      <c r="H263" s="55">
        <v>368610</v>
      </c>
      <c r="I263" s="55">
        <f>VLOOKUP(G263,'[1]Dispositivos exportados de HP W'!$C:$D,2,FALSE)</f>
        <v>368625</v>
      </c>
      <c r="J263" s="55">
        <f t="shared" si="24"/>
        <v>15</v>
      </c>
      <c r="K263" s="55">
        <f>VLOOKUP(G263,'[2]Dispositivos exportados de HP W'!$C:$D,2,FALSE)</f>
        <v>368625</v>
      </c>
      <c r="L263" s="55">
        <f t="shared" si="25"/>
        <v>0</v>
      </c>
      <c r="M263" s="55">
        <f>VLOOKUP(G263,'[3]Dispositivos exportados de HP W'!$C:$D,2,FALSE)</f>
        <v>368625</v>
      </c>
      <c r="N263" s="55">
        <f t="shared" si="26"/>
        <v>0</v>
      </c>
      <c r="O263" s="55">
        <f>VLOOKUP(G263,'[4]Dispositivos exportados de HP W'!$C:$D,2,FALSE)</f>
        <v>368625</v>
      </c>
      <c r="P263" s="55">
        <f t="shared" si="27"/>
        <v>0</v>
      </c>
      <c r="Q263" s="55">
        <f>VLOOKUP(G263,'[6]Dispositivos exportados de HP W'!$C:$D,2,FALSE)</f>
        <v>368625</v>
      </c>
      <c r="R263" s="55">
        <f t="shared" si="28"/>
        <v>0</v>
      </c>
      <c r="S263" s="90">
        <f t="shared" si="29"/>
        <v>15</v>
      </c>
      <c r="T263" s="89">
        <v>46083</v>
      </c>
      <c r="U263" s="14"/>
      <c r="V263" s="105" t="s">
        <v>2239</v>
      </c>
      <c r="W263" s="105" t="s">
        <v>2239</v>
      </c>
    </row>
    <row r="264" spans="1:23" ht="13.5" customHeight="1" x14ac:dyDescent="0.25">
      <c r="A264" s="14" t="s">
        <v>2089</v>
      </c>
      <c r="B264" s="14" t="s">
        <v>637</v>
      </c>
      <c r="C264" s="120">
        <v>9444</v>
      </c>
      <c r="D264" s="14" t="s">
        <v>638</v>
      </c>
      <c r="E264" s="14" t="s">
        <v>420</v>
      </c>
      <c r="F264" s="14" t="s">
        <v>1202</v>
      </c>
      <c r="G264" s="14" t="s">
        <v>224</v>
      </c>
      <c r="H264" s="55">
        <v>420814</v>
      </c>
      <c r="I264" s="55">
        <f>VLOOKUP(G264,'[1]Dispositivos exportados de HP W'!$C:$D,2,FALSE)</f>
        <v>422379</v>
      </c>
      <c r="J264" s="55">
        <f t="shared" si="24"/>
        <v>1565</v>
      </c>
      <c r="K264" s="55">
        <f>VLOOKUP(G264,'[2]Dispositivos exportados de HP W'!$C:$D,2,FALSE)</f>
        <v>424085</v>
      </c>
      <c r="L264" s="55">
        <f t="shared" si="25"/>
        <v>1706</v>
      </c>
      <c r="M264" s="55">
        <f>VLOOKUP(G264,'[3]Dispositivos exportados de HP W'!$C:$D,2,FALSE)</f>
        <v>425496</v>
      </c>
      <c r="N264" s="55">
        <f t="shared" si="26"/>
        <v>1411</v>
      </c>
      <c r="O264" s="55">
        <f>VLOOKUP(G264,'[4]Dispositivos exportados de HP W'!$C:$D,2,FALSE)</f>
        <v>427674</v>
      </c>
      <c r="P264" s="55">
        <f t="shared" si="27"/>
        <v>2178</v>
      </c>
      <c r="Q264" s="55">
        <f>VLOOKUP(G264,'[6]Dispositivos exportados de HP W'!$C:$D,2,FALSE)</f>
        <v>428661</v>
      </c>
      <c r="R264" s="55">
        <f t="shared" si="28"/>
        <v>987</v>
      </c>
      <c r="S264" s="90">
        <f t="shared" si="29"/>
        <v>7847</v>
      </c>
      <c r="T264" s="89">
        <v>46083</v>
      </c>
      <c r="U264" s="14"/>
      <c r="V264" s="105" t="s">
        <v>2383</v>
      </c>
      <c r="W264" s="105" t="str">
        <f>VLOOKUP(C264,'Status oficina'!$A$2:$C$208,3,FALSE)</f>
        <v>Activa</v>
      </c>
    </row>
    <row r="265" spans="1:23" ht="13.5" customHeight="1" x14ac:dyDescent="0.25">
      <c r="A265" s="14" t="s">
        <v>946</v>
      </c>
      <c r="B265" s="14" t="s">
        <v>987</v>
      </c>
      <c r="C265" s="120">
        <v>9655</v>
      </c>
      <c r="D265" s="14" t="s">
        <v>2124</v>
      </c>
      <c r="E265" s="14" t="s">
        <v>420</v>
      </c>
      <c r="F265" s="14" t="s">
        <v>1424</v>
      </c>
      <c r="G265" s="14" t="s">
        <v>2044</v>
      </c>
      <c r="H265" s="55">
        <v>264954</v>
      </c>
      <c r="I265" s="55">
        <f>VLOOKUP(G265,'[1]Dispositivos exportados de HP W'!$C:$D,2,FALSE)</f>
        <v>265852</v>
      </c>
      <c r="J265" s="55">
        <f t="shared" si="24"/>
        <v>898</v>
      </c>
      <c r="K265" s="55">
        <f>VLOOKUP(G265,'[2]Dispositivos exportados de HP W'!$C:$D,2,FALSE)</f>
        <v>266989</v>
      </c>
      <c r="L265" s="55">
        <f t="shared" si="25"/>
        <v>1137</v>
      </c>
      <c r="M265" s="55">
        <f>VLOOKUP(G265,'[3]Dispositivos exportados de HP W'!$C:$D,2,FALSE)</f>
        <v>267494</v>
      </c>
      <c r="N265" s="55">
        <f t="shared" si="26"/>
        <v>505</v>
      </c>
      <c r="O265" s="55">
        <f>VLOOKUP(G265,'[4]Dispositivos exportados de HP W'!$C:$D,2,FALSE)</f>
        <v>268027</v>
      </c>
      <c r="P265" s="55">
        <f t="shared" si="27"/>
        <v>533</v>
      </c>
      <c r="Q265" s="55">
        <f>VLOOKUP(G265,'[6]Dispositivos exportados de HP W'!$C:$D,2,FALSE)</f>
        <v>268234</v>
      </c>
      <c r="R265" s="55">
        <f t="shared" si="28"/>
        <v>207</v>
      </c>
      <c r="S265" s="90">
        <f t="shared" si="29"/>
        <v>3280</v>
      </c>
      <c r="T265" s="89">
        <v>46083</v>
      </c>
      <c r="U265" s="14"/>
      <c r="V265" s="108" t="s">
        <v>2383</v>
      </c>
      <c r="W265" s="105" t="str">
        <f>VLOOKUP(C265,'Status oficina'!$A$2:$C$208,3,FALSE)</f>
        <v>Activa</v>
      </c>
    </row>
    <row r="266" spans="1:23" ht="13.5" customHeight="1" x14ac:dyDescent="0.25">
      <c r="A266" s="14" t="s">
        <v>2089</v>
      </c>
      <c r="B266" s="14" t="s">
        <v>600</v>
      </c>
      <c r="C266" s="19">
        <v>9841</v>
      </c>
      <c r="D266" s="14" t="s">
        <v>601</v>
      </c>
      <c r="E266" s="14" t="s">
        <v>420</v>
      </c>
      <c r="F266" s="14" t="s">
        <v>1185</v>
      </c>
      <c r="G266" s="14" t="s">
        <v>275</v>
      </c>
      <c r="H266" s="55">
        <v>369555</v>
      </c>
      <c r="I266" s="55">
        <f>VLOOKUP(G266,'[1]Dispositivos exportados de HP W'!$C:$D,2,FALSE)</f>
        <v>369555</v>
      </c>
      <c r="J266" s="55">
        <f t="shared" si="24"/>
        <v>0</v>
      </c>
      <c r="K266" s="55">
        <f>VLOOKUP(G266,'[2]Dispositivos exportados de HP W'!$C:$D,2,FALSE)</f>
        <v>369555</v>
      </c>
      <c r="L266" s="55">
        <f t="shared" si="25"/>
        <v>0</v>
      </c>
      <c r="M266" s="55">
        <f>VLOOKUP(G266,'[3]Dispositivos exportados de HP W'!$C:$D,2,FALSE)</f>
        <v>369555</v>
      </c>
      <c r="N266" s="55">
        <f t="shared" si="26"/>
        <v>0</v>
      </c>
      <c r="O266" s="55">
        <f>VLOOKUP(G266,'[4]Dispositivos exportados de HP W'!$C:$D,2,FALSE)</f>
        <v>369555</v>
      </c>
      <c r="P266" s="55">
        <f t="shared" si="27"/>
        <v>0</v>
      </c>
      <c r="Q266" s="55">
        <f>VLOOKUP(G266,'[6]Dispositivos exportados de HP W'!$C:$D,2,FALSE)</f>
        <v>369555</v>
      </c>
      <c r="R266" s="55">
        <f t="shared" si="28"/>
        <v>0</v>
      </c>
      <c r="S266" s="90">
        <f t="shared" si="29"/>
        <v>0</v>
      </c>
      <c r="T266" s="89">
        <v>46083</v>
      </c>
      <c r="U266" s="14"/>
      <c r="V266" s="105" t="s">
        <v>2239</v>
      </c>
      <c r="W266" s="105" t="str">
        <f>VLOOKUP(C266,'Status oficina'!$A$2:$C$208,3,FALSE)</f>
        <v>Cierre temporal</v>
      </c>
    </row>
    <row r="267" spans="1:23" ht="13.5" customHeight="1" x14ac:dyDescent="0.25">
      <c r="A267" s="14" t="s">
        <v>2089</v>
      </c>
      <c r="B267" s="14" t="s">
        <v>600</v>
      </c>
      <c r="C267" s="19">
        <v>9841</v>
      </c>
      <c r="D267" s="14" t="s">
        <v>602</v>
      </c>
      <c r="E267" s="15" t="s">
        <v>416</v>
      </c>
      <c r="F267" s="14" t="s">
        <v>1186</v>
      </c>
      <c r="G267" s="15" t="s">
        <v>370</v>
      </c>
      <c r="H267" s="55">
        <v>76108</v>
      </c>
      <c r="I267" s="55">
        <f>VLOOKUP(G267,'[1]Dispositivos exportados de HP W'!$C:$D,2,FALSE)</f>
        <v>76108</v>
      </c>
      <c r="J267" s="55">
        <f t="shared" si="24"/>
        <v>0</v>
      </c>
      <c r="K267" s="55">
        <f>VLOOKUP(G267,'[2]Dispositivos exportados de HP W'!$C:$D,2,FALSE)</f>
        <v>76108</v>
      </c>
      <c r="L267" s="55">
        <f t="shared" si="25"/>
        <v>0</v>
      </c>
      <c r="M267" s="55">
        <f>VLOOKUP(G267,'[3]Dispositivos exportados de HP W'!$C:$D,2,FALSE)</f>
        <v>76108</v>
      </c>
      <c r="N267" s="55">
        <f t="shared" si="26"/>
        <v>0</v>
      </c>
      <c r="O267" s="55">
        <f>VLOOKUP(G267,'[4]Dispositivos exportados de HP W'!$C:$D,2,FALSE)</f>
        <v>76108</v>
      </c>
      <c r="P267" s="55">
        <f t="shared" si="27"/>
        <v>0</v>
      </c>
      <c r="Q267" s="55">
        <f>VLOOKUP(G267,'[6]Dispositivos exportados de HP W'!$C:$D,2,FALSE)</f>
        <v>76108</v>
      </c>
      <c r="R267" s="55">
        <f t="shared" si="28"/>
        <v>0</v>
      </c>
      <c r="S267" s="90">
        <f t="shared" si="29"/>
        <v>0</v>
      </c>
      <c r="T267" s="89">
        <v>46083</v>
      </c>
      <c r="U267" s="14"/>
      <c r="V267" s="105" t="s">
        <v>2239</v>
      </c>
      <c r="W267" s="105" t="str">
        <f>VLOOKUP(C267,'Status oficina'!$A$2:$C$208,3,FALSE)</f>
        <v>Cierre temporal</v>
      </c>
    </row>
    <row r="268" spans="1:23" ht="13.5" customHeight="1" x14ac:dyDescent="0.25">
      <c r="A268" s="14" t="s">
        <v>2089</v>
      </c>
      <c r="B268" s="14" t="s">
        <v>619</v>
      </c>
      <c r="C268" s="19">
        <v>9842</v>
      </c>
      <c r="D268" s="14" t="s">
        <v>620</v>
      </c>
      <c r="E268" s="14" t="s">
        <v>420</v>
      </c>
      <c r="F268" s="14" t="s">
        <v>1193</v>
      </c>
      <c r="G268" s="14" t="s">
        <v>103</v>
      </c>
      <c r="H268" s="55">
        <v>555430</v>
      </c>
      <c r="I268" s="55">
        <f>VLOOKUP(G268,'[1]Dispositivos exportados de HP W'!$C:$D,2,FALSE)</f>
        <v>555430</v>
      </c>
      <c r="J268" s="55">
        <f t="shared" si="24"/>
        <v>0</v>
      </c>
      <c r="K268" s="55">
        <f>VLOOKUP(G268,'[2]Dispositivos exportados de HP W'!$C:$D,2,FALSE)</f>
        <v>555430</v>
      </c>
      <c r="L268" s="55">
        <f t="shared" si="25"/>
        <v>0</v>
      </c>
      <c r="M268" s="55">
        <f>VLOOKUP(G268,'[3]Dispositivos exportados de HP W'!$C:$D,2,FALSE)</f>
        <v>555430</v>
      </c>
      <c r="N268" s="55">
        <f t="shared" si="26"/>
        <v>0</v>
      </c>
      <c r="O268" s="55">
        <f>VLOOKUP(G268,'[4]Dispositivos exportados de HP W'!$C:$D,2,FALSE)</f>
        <v>555430</v>
      </c>
      <c r="P268" s="55">
        <f t="shared" si="27"/>
        <v>0</v>
      </c>
      <c r="Q268" s="55">
        <f>VLOOKUP(G268,'[6]Dispositivos exportados de HP W'!$C:$D,2,FALSE)</f>
        <v>555430</v>
      </c>
      <c r="R268" s="55">
        <f t="shared" si="28"/>
        <v>0</v>
      </c>
      <c r="S268" s="90">
        <f t="shared" si="29"/>
        <v>0</v>
      </c>
      <c r="T268" s="89">
        <v>46083</v>
      </c>
      <c r="U268" s="14"/>
      <c r="V268" s="105" t="s">
        <v>2239</v>
      </c>
      <c r="W268" s="105" t="str">
        <f>VLOOKUP(C268,'Status oficina'!$A$2:$C$208,3,FALSE)</f>
        <v>Cierre temporal</v>
      </c>
    </row>
    <row r="269" spans="1:23" ht="13.5" customHeight="1" x14ac:dyDescent="0.25">
      <c r="A269" s="14" t="s">
        <v>872</v>
      </c>
      <c r="B269" s="14" t="s">
        <v>878</v>
      </c>
      <c r="C269" s="19">
        <v>9843</v>
      </c>
      <c r="D269" s="14" t="s">
        <v>879</v>
      </c>
      <c r="E269" s="14" t="s">
        <v>420</v>
      </c>
      <c r="F269" s="14" t="s">
        <v>1349</v>
      </c>
      <c r="G269" s="14" t="s">
        <v>75</v>
      </c>
      <c r="H269" s="55">
        <v>249130</v>
      </c>
      <c r="I269" s="55">
        <f>VLOOKUP(G269,'[1]Dispositivos exportados de HP W'!$C:$D,2,FALSE)</f>
        <v>249130</v>
      </c>
      <c r="J269" s="55">
        <f t="shared" si="24"/>
        <v>0</v>
      </c>
      <c r="K269" s="55">
        <f>VLOOKUP(G269,'[2]Dispositivos exportados de HP W'!$C:$D,2,FALSE)</f>
        <v>249130</v>
      </c>
      <c r="L269" s="55">
        <f t="shared" si="25"/>
        <v>0</v>
      </c>
      <c r="M269" s="55">
        <f>VLOOKUP(G269,'[3]Dispositivos exportados de HP W'!$C:$D,2,FALSE)</f>
        <v>249130</v>
      </c>
      <c r="N269" s="55">
        <f t="shared" si="26"/>
        <v>0</v>
      </c>
      <c r="O269" s="55">
        <f>VLOOKUP(G269,'[4]Dispositivos exportados de HP W'!$C:$D,2,FALSE)</f>
        <v>249130</v>
      </c>
      <c r="P269" s="55">
        <f t="shared" si="27"/>
        <v>0</v>
      </c>
      <c r="Q269" s="55">
        <f>VLOOKUP(G269,'[6]Dispositivos exportados de HP W'!$C:$D,2,FALSE)</f>
        <v>249130</v>
      </c>
      <c r="R269" s="55">
        <f t="shared" si="28"/>
        <v>0</v>
      </c>
      <c r="S269" s="90">
        <f t="shared" si="29"/>
        <v>0</v>
      </c>
      <c r="T269" s="89">
        <v>46083</v>
      </c>
      <c r="U269" s="105" t="s">
        <v>2381</v>
      </c>
      <c r="V269" s="105" t="s">
        <v>2246</v>
      </c>
      <c r="W269" s="105" t="str">
        <f>VLOOKUP(C269,'Status oficina'!$A$2:$C$208,3,FALSE)</f>
        <v>Cierre definitivo</v>
      </c>
    </row>
    <row r="270" spans="1:23" ht="13.5" customHeight="1" x14ac:dyDescent="0.25">
      <c r="A270" s="15" t="s">
        <v>872</v>
      </c>
      <c r="B270" s="15" t="s">
        <v>914</v>
      </c>
      <c r="C270" s="22">
        <v>9844</v>
      </c>
      <c r="D270" s="14" t="s">
        <v>915</v>
      </c>
      <c r="E270" s="15" t="s">
        <v>420</v>
      </c>
      <c r="F270" s="12" t="s">
        <v>1371</v>
      </c>
      <c r="G270" s="1" t="s">
        <v>349</v>
      </c>
      <c r="H270" s="55">
        <v>237202</v>
      </c>
      <c r="I270" s="55">
        <f>VLOOKUP(G270,'[1]Dispositivos exportados de HP W'!$C:$D,2,FALSE)</f>
        <v>237202</v>
      </c>
      <c r="J270" s="55">
        <f t="shared" si="24"/>
        <v>0</v>
      </c>
      <c r="K270" s="55">
        <f>VLOOKUP(G270,'[2]Dispositivos exportados de HP W'!$C:$D,2,FALSE)</f>
        <v>237202</v>
      </c>
      <c r="L270" s="55">
        <f t="shared" si="25"/>
        <v>0</v>
      </c>
      <c r="M270" s="55">
        <f>VLOOKUP(G270,'[3]Dispositivos exportados de HP W'!$C:$D,2,FALSE)</f>
        <v>237202</v>
      </c>
      <c r="N270" s="55">
        <f t="shared" si="26"/>
        <v>0</v>
      </c>
      <c r="O270" s="55">
        <f>VLOOKUP(G270,'[4]Dispositivos exportados de HP W'!$C:$D,2,FALSE)</f>
        <v>237202</v>
      </c>
      <c r="P270" s="55">
        <f t="shared" si="27"/>
        <v>0</v>
      </c>
      <c r="Q270" s="55">
        <f>VLOOKUP(G270,'[6]Dispositivos exportados de HP W'!$C:$D,2,FALSE)</f>
        <v>237202</v>
      </c>
      <c r="R270" s="55">
        <f t="shared" si="28"/>
        <v>0</v>
      </c>
      <c r="S270" s="90">
        <f t="shared" si="29"/>
        <v>0</v>
      </c>
      <c r="T270" s="89">
        <v>46083</v>
      </c>
      <c r="U270" s="105" t="s">
        <v>2037</v>
      </c>
      <c r="V270" s="105" t="s">
        <v>2239</v>
      </c>
      <c r="W270" s="105" t="str">
        <f>VLOOKUP(C270,'Status oficina'!$A$2:$C$208,3,FALSE)</f>
        <v>Cierre temporal</v>
      </c>
    </row>
    <row r="271" spans="1:23" ht="13.5" customHeight="1" x14ac:dyDescent="0.25">
      <c r="A271" s="14" t="s">
        <v>2451</v>
      </c>
      <c r="B271" s="14" t="s">
        <v>779</v>
      </c>
      <c r="C271" s="19">
        <v>9908</v>
      </c>
      <c r="D271" s="14" t="s">
        <v>781</v>
      </c>
      <c r="E271" s="14" t="s">
        <v>420</v>
      </c>
      <c r="F271" s="14" t="s">
        <v>1286</v>
      </c>
      <c r="G271" s="14" t="s">
        <v>40</v>
      </c>
      <c r="H271" s="55">
        <v>74083</v>
      </c>
      <c r="I271" s="55">
        <f>VLOOKUP(G271,'[1]Dispositivos exportados de HP W'!$C:$D,2,FALSE)</f>
        <v>74083</v>
      </c>
      <c r="J271" s="55">
        <f t="shared" si="24"/>
        <v>0</v>
      </c>
      <c r="K271" s="55">
        <f>VLOOKUP(G271,'[2]Dispositivos exportados de HP W'!$C:$D,2,FALSE)</f>
        <v>74083</v>
      </c>
      <c r="L271" s="55">
        <f t="shared" si="25"/>
        <v>0</v>
      </c>
      <c r="M271" s="55">
        <f>VLOOKUP(G271,'[3]Dispositivos exportados de HP W'!$C:$D,2,FALSE)</f>
        <v>74083</v>
      </c>
      <c r="N271" s="55">
        <f t="shared" si="26"/>
        <v>0</v>
      </c>
      <c r="O271" s="55">
        <f>VLOOKUP(G271,'[4]Dispositivos exportados de HP W'!$C:$D,2,FALSE)</f>
        <v>74083</v>
      </c>
      <c r="P271" s="55">
        <f t="shared" si="27"/>
        <v>0</v>
      </c>
      <c r="Q271" s="55">
        <f>VLOOKUP(G271,'[6]Dispositivos exportados de HP W'!$C:$D,2,FALSE)</f>
        <v>74083</v>
      </c>
      <c r="R271" s="55">
        <f t="shared" si="28"/>
        <v>0</v>
      </c>
      <c r="S271" s="90">
        <f t="shared" si="29"/>
        <v>0</v>
      </c>
      <c r="T271" s="89">
        <v>46083</v>
      </c>
      <c r="U271" s="14"/>
      <c r="V271" s="105" t="s">
        <v>2239</v>
      </c>
      <c r="W271" s="105" t="s">
        <v>2239</v>
      </c>
    </row>
    <row r="272" spans="1:23" ht="13.5" customHeight="1" x14ac:dyDescent="0.25">
      <c r="A272" s="14" t="s">
        <v>872</v>
      </c>
      <c r="B272" s="14" t="s">
        <v>916</v>
      </c>
      <c r="C272" s="97">
        <v>9847</v>
      </c>
      <c r="D272" s="14" t="s">
        <v>917</v>
      </c>
      <c r="E272" s="14" t="s">
        <v>416</v>
      </c>
      <c r="F272" s="14" t="s">
        <v>1373</v>
      </c>
      <c r="G272" s="14" t="s">
        <v>270</v>
      </c>
      <c r="H272" s="55">
        <v>208518</v>
      </c>
      <c r="I272" s="55">
        <f>VLOOKUP(G272,'[1]Dispositivos exportados de HP W'!$C:$D,2,FALSE)</f>
        <v>208518</v>
      </c>
      <c r="J272" s="55">
        <f t="shared" si="24"/>
        <v>0</v>
      </c>
      <c r="K272" s="55">
        <f>VLOOKUP(G272,'[2]Dispositivos exportados de HP W'!$C:$D,2,FALSE)</f>
        <v>208518</v>
      </c>
      <c r="L272" s="55">
        <f t="shared" si="25"/>
        <v>0</v>
      </c>
      <c r="M272" s="55">
        <f>VLOOKUP(G272,'[3]Dispositivos exportados de HP W'!$C:$D,2,FALSE)</f>
        <v>208518</v>
      </c>
      <c r="N272" s="55">
        <f t="shared" si="26"/>
        <v>0</v>
      </c>
      <c r="O272" s="55">
        <f>VLOOKUP(G272,'[4]Dispositivos exportados de HP W'!$C:$D,2,FALSE)</f>
        <v>208518</v>
      </c>
      <c r="P272" s="55">
        <f t="shared" si="27"/>
        <v>0</v>
      </c>
      <c r="Q272" s="55">
        <f>VLOOKUP(G272,'[6]Dispositivos exportados de HP W'!$C:$D,2,FALSE)</f>
        <v>208518</v>
      </c>
      <c r="R272" s="55">
        <f t="shared" si="28"/>
        <v>0</v>
      </c>
      <c r="S272" s="90">
        <f t="shared" si="29"/>
        <v>0</v>
      </c>
      <c r="T272" s="89">
        <v>46083</v>
      </c>
      <c r="U272" s="14" t="s">
        <v>2221</v>
      </c>
      <c r="V272" s="105" t="s">
        <v>2246</v>
      </c>
      <c r="W272" s="105" t="str">
        <f>VLOOKUP(C272,'Status oficina'!$A$2:$C$208,3,FALSE)</f>
        <v>Cierre definitivo</v>
      </c>
    </row>
    <row r="273" spans="1:23" ht="13.5" customHeight="1" x14ac:dyDescent="0.25">
      <c r="A273" s="14" t="s">
        <v>872</v>
      </c>
      <c r="B273" s="14" t="s">
        <v>894</v>
      </c>
      <c r="C273" s="19">
        <v>9848</v>
      </c>
      <c r="D273" s="14" t="s">
        <v>895</v>
      </c>
      <c r="E273" s="14" t="s">
        <v>420</v>
      </c>
      <c r="F273" s="14" t="s">
        <v>1360</v>
      </c>
      <c r="G273" s="14" t="s">
        <v>45</v>
      </c>
      <c r="H273" s="55">
        <v>437674</v>
      </c>
      <c r="I273" s="55">
        <f>VLOOKUP(G273,'[1]Dispositivos exportados de HP W'!$C:$D,2,FALSE)</f>
        <v>437674</v>
      </c>
      <c r="J273" s="55">
        <f t="shared" si="24"/>
        <v>0</v>
      </c>
      <c r="K273" s="55">
        <f>VLOOKUP(G273,'[2]Dispositivos exportados de HP W'!$C:$D,2,FALSE)</f>
        <v>437674</v>
      </c>
      <c r="L273" s="55">
        <f t="shared" si="25"/>
        <v>0</v>
      </c>
      <c r="M273" s="55">
        <f>VLOOKUP(G273,'[3]Dispositivos exportados de HP W'!$C:$D,2,FALSE)</f>
        <v>437674</v>
      </c>
      <c r="N273" s="55">
        <f t="shared" si="26"/>
        <v>0</v>
      </c>
      <c r="O273" s="55">
        <f>VLOOKUP(G273,'[4]Dispositivos exportados de HP W'!$C:$D,2,FALSE)</f>
        <v>437674</v>
      </c>
      <c r="P273" s="55">
        <f t="shared" si="27"/>
        <v>0</v>
      </c>
      <c r="Q273" s="55">
        <f>VLOOKUP(G273,'[6]Dispositivos exportados de HP W'!$C:$D,2,FALSE)</f>
        <v>437674</v>
      </c>
      <c r="R273" s="55">
        <f t="shared" si="28"/>
        <v>0</v>
      </c>
      <c r="S273" s="90">
        <f t="shared" si="29"/>
        <v>0</v>
      </c>
      <c r="T273" s="89">
        <v>46083</v>
      </c>
      <c r="U273" s="14" t="s">
        <v>2161</v>
      </c>
      <c r="V273" s="105" t="s">
        <v>2246</v>
      </c>
      <c r="W273" s="105" t="str">
        <f>VLOOKUP(C273,'Status oficina'!$A$2:$C$208,3,FALSE)</f>
        <v>Cierre definitivo</v>
      </c>
    </row>
    <row r="274" spans="1:23" ht="13.5" customHeight="1" x14ac:dyDescent="0.25">
      <c r="A274" s="14" t="s">
        <v>872</v>
      </c>
      <c r="B274" s="14" t="s">
        <v>894</v>
      </c>
      <c r="C274" s="19">
        <v>9848</v>
      </c>
      <c r="D274" s="14" t="s">
        <v>896</v>
      </c>
      <c r="E274" s="14" t="s">
        <v>416</v>
      </c>
      <c r="F274" s="14" t="s">
        <v>1361</v>
      </c>
      <c r="G274" s="14" t="s">
        <v>211</v>
      </c>
      <c r="H274" s="55">
        <v>339304</v>
      </c>
      <c r="I274" s="55">
        <f>VLOOKUP(G274,'[1]Dispositivos exportados de HP W'!$C:$D,2,FALSE)</f>
        <v>339304</v>
      </c>
      <c r="J274" s="55">
        <f t="shared" si="24"/>
        <v>0</v>
      </c>
      <c r="K274" s="55">
        <f>VLOOKUP(G274,'[2]Dispositivos exportados de HP W'!$C:$D,2,FALSE)</f>
        <v>339304</v>
      </c>
      <c r="L274" s="55">
        <f t="shared" si="25"/>
        <v>0</v>
      </c>
      <c r="M274" s="55">
        <f>VLOOKUP(G274,'[3]Dispositivos exportados de HP W'!$C:$D,2,FALSE)</f>
        <v>339304</v>
      </c>
      <c r="N274" s="55">
        <f t="shared" si="26"/>
        <v>0</v>
      </c>
      <c r="O274" s="55">
        <f>VLOOKUP(G274,'[4]Dispositivos exportados de HP W'!$C:$D,2,FALSE)</f>
        <v>339304</v>
      </c>
      <c r="P274" s="55">
        <f t="shared" si="27"/>
        <v>0</v>
      </c>
      <c r="Q274" s="55">
        <f>VLOOKUP(G274,'[6]Dispositivos exportados de HP W'!$C:$D,2,FALSE)</f>
        <v>339304</v>
      </c>
      <c r="R274" s="55">
        <f t="shared" si="28"/>
        <v>0</v>
      </c>
      <c r="S274" s="90">
        <f t="shared" si="29"/>
        <v>0</v>
      </c>
      <c r="T274" s="89">
        <v>46083</v>
      </c>
      <c r="U274" s="14" t="s">
        <v>2161</v>
      </c>
      <c r="V274" s="105" t="s">
        <v>2246</v>
      </c>
      <c r="W274" s="105" t="str">
        <f>VLOOKUP(C274,'Status oficina'!$A$2:$C$208,3,FALSE)</f>
        <v>Cierre definitivo</v>
      </c>
    </row>
    <row r="275" spans="1:23" ht="13.5" customHeight="1" x14ac:dyDescent="0.25">
      <c r="A275" s="14" t="s">
        <v>872</v>
      </c>
      <c r="B275" s="14" t="s">
        <v>906</v>
      </c>
      <c r="C275" s="122">
        <v>9849</v>
      </c>
      <c r="D275" s="14" t="s">
        <v>907</v>
      </c>
      <c r="E275" s="14" t="s">
        <v>420</v>
      </c>
      <c r="F275" s="14" t="s">
        <v>1366</v>
      </c>
      <c r="G275" s="14" t="s">
        <v>12</v>
      </c>
      <c r="H275" s="55">
        <v>257710</v>
      </c>
      <c r="I275" s="55">
        <f>VLOOKUP(G275,'[1]Dispositivos exportados de HP W'!$C:$D,2,FALSE)</f>
        <v>257710</v>
      </c>
      <c r="J275" s="55">
        <f t="shared" si="24"/>
        <v>0</v>
      </c>
      <c r="K275" s="55">
        <f>VLOOKUP(G275,'[2]Dispositivos exportados de HP W'!$C:$D,2,FALSE)</f>
        <v>257710</v>
      </c>
      <c r="L275" s="55">
        <f t="shared" si="25"/>
        <v>0</v>
      </c>
      <c r="M275" s="55">
        <f>VLOOKUP(G275,'[3]Dispositivos exportados de HP W'!$C:$D,2,FALSE)</f>
        <v>257710</v>
      </c>
      <c r="N275" s="55">
        <f t="shared" si="26"/>
        <v>0</v>
      </c>
      <c r="O275" s="55">
        <f>VLOOKUP(G275,'[4]Dispositivos exportados de HP W'!$C:$D,2,FALSE)</f>
        <v>257710</v>
      </c>
      <c r="P275" s="55">
        <f t="shared" si="27"/>
        <v>0</v>
      </c>
      <c r="Q275" s="55">
        <f>VLOOKUP(G275,'[6]Dispositivos exportados de HP W'!$C:$D,2,FALSE)</f>
        <v>257710</v>
      </c>
      <c r="R275" s="55">
        <f t="shared" si="28"/>
        <v>0</v>
      </c>
      <c r="S275" s="90">
        <f t="shared" si="29"/>
        <v>0</v>
      </c>
      <c r="T275" s="89">
        <v>46083</v>
      </c>
      <c r="U275" s="14" t="s">
        <v>2096</v>
      </c>
      <c r="V275" s="105" t="s">
        <v>2246</v>
      </c>
      <c r="W275" s="105" t="str">
        <f>VLOOKUP(C275,'Status oficina'!$A$2:$C$208,3,FALSE)</f>
        <v>Cierre definitivo</v>
      </c>
    </row>
    <row r="276" spans="1:23" ht="13.5" customHeight="1" x14ac:dyDescent="0.25">
      <c r="A276" s="15" t="s">
        <v>872</v>
      </c>
      <c r="B276" s="15" t="s">
        <v>906</v>
      </c>
      <c r="C276" s="22">
        <v>9849</v>
      </c>
      <c r="D276" s="14" t="s">
        <v>908</v>
      </c>
      <c r="E276" s="15" t="s">
        <v>416</v>
      </c>
      <c r="F276" s="14" t="s">
        <v>1367</v>
      </c>
      <c r="G276" s="15" t="s">
        <v>358</v>
      </c>
      <c r="H276" s="55">
        <v>81426</v>
      </c>
      <c r="I276" s="55">
        <f>VLOOKUP(G276,'[1]Dispositivos exportados de HP W'!$C:$D,2,FALSE)</f>
        <v>81426</v>
      </c>
      <c r="J276" s="55">
        <f t="shared" si="24"/>
        <v>0</v>
      </c>
      <c r="K276" s="55">
        <f>VLOOKUP(G276,'[2]Dispositivos exportados de HP W'!$C:$D,2,FALSE)</f>
        <v>81426</v>
      </c>
      <c r="L276" s="55">
        <f t="shared" si="25"/>
        <v>0</v>
      </c>
      <c r="M276" s="55">
        <f>VLOOKUP(G276,'[3]Dispositivos exportados de HP W'!$C:$D,2,FALSE)</f>
        <v>81426</v>
      </c>
      <c r="N276" s="55">
        <f t="shared" si="26"/>
        <v>0</v>
      </c>
      <c r="O276" s="55">
        <f>VLOOKUP(G276,'[4]Dispositivos exportados de HP W'!$C:$D,2,FALSE)</f>
        <v>81426</v>
      </c>
      <c r="P276" s="55">
        <f t="shared" si="27"/>
        <v>0</v>
      </c>
      <c r="Q276" s="55">
        <f>VLOOKUP(G276,'[6]Dispositivos exportados de HP W'!$C:$D,2,FALSE)</f>
        <v>81426</v>
      </c>
      <c r="R276" s="55">
        <f t="shared" si="28"/>
        <v>0</v>
      </c>
      <c r="S276" s="90">
        <f t="shared" si="29"/>
        <v>0</v>
      </c>
      <c r="T276" s="89">
        <v>46083</v>
      </c>
      <c r="U276" s="14" t="s">
        <v>2095</v>
      </c>
      <c r="V276" s="105" t="s">
        <v>2246</v>
      </c>
      <c r="W276" s="105" t="str">
        <f>VLOOKUP(C276,'Status oficina'!$A$2:$C$208,3,FALSE)</f>
        <v>Cierre definitivo</v>
      </c>
    </row>
    <row r="277" spans="1:23" ht="13.5" customHeight="1" x14ac:dyDescent="0.25">
      <c r="A277" s="14" t="s">
        <v>872</v>
      </c>
      <c r="B277" s="14" t="s">
        <v>924</v>
      </c>
      <c r="C277" s="120">
        <v>9878</v>
      </c>
      <c r="D277" s="14" t="s">
        <v>925</v>
      </c>
      <c r="E277" s="14" t="s">
        <v>420</v>
      </c>
      <c r="F277" s="14" t="s">
        <v>1382</v>
      </c>
      <c r="G277" s="14" t="s">
        <v>60</v>
      </c>
      <c r="H277" s="55">
        <v>416563</v>
      </c>
      <c r="I277" s="55">
        <f>VLOOKUP(G277,'[1]Dispositivos exportados de HP W'!$C:$D,2,FALSE)</f>
        <v>417360</v>
      </c>
      <c r="J277" s="55">
        <f t="shared" si="24"/>
        <v>797</v>
      </c>
      <c r="K277" s="55">
        <f>VLOOKUP(G277,'[2]Dispositivos exportados de HP W'!$C:$D,2,FALSE)</f>
        <v>418164</v>
      </c>
      <c r="L277" s="55">
        <f t="shared" si="25"/>
        <v>804</v>
      </c>
      <c r="M277" s="55">
        <f>VLOOKUP(G277,'[3]Dispositivos exportados de HP W'!$C:$D,2,FALSE)</f>
        <v>418782</v>
      </c>
      <c r="N277" s="55">
        <f t="shared" si="26"/>
        <v>618</v>
      </c>
      <c r="O277" s="55">
        <f>VLOOKUP(G277,'[4]Dispositivos exportados de HP W'!$C:$D,2,FALSE)</f>
        <v>419602</v>
      </c>
      <c r="P277" s="55">
        <f t="shared" si="27"/>
        <v>820</v>
      </c>
      <c r="Q277" s="55">
        <f>VLOOKUP(G277,'[6]Dispositivos exportados de HP W'!$C:$D,2,FALSE)</f>
        <v>419910</v>
      </c>
      <c r="R277" s="55">
        <f t="shared" si="28"/>
        <v>308</v>
      </c>
      <c r="S277" s="90">
        <f t="shared" si="29"/>
        <v>3347</v>
      </c>
      <c r="T277" s="89">
        <v>46083</v>
      </c>
      <c r="U277" s="14"/>
      <c r="V277" s="105" t="s">
        <v>2383</v>
      </c>
      <c r="W277" s="105" t="str">
        <f>VLOOKUP(C277,'Status oficina'!$A$2:$C$208,3,FALSE)</f>
        <v>Activa</v>
      </c>
    </row>
    <row r="278" spans="1:23" ht="13.5" customHeight="1" x14ac:dyDescent="0.25">
      <c r="A278" s="14" t="s">
        <v>2089</v>
      </c>
      <c r="B278" s="14" t="s">
        <v>541</v>
      </c>
      <c r="C278" s="120">
        <v>9397</v>
      </c>
      <c r="D278" s="14" t="s">
        <v>542</v>
      </c>
      <c r="E278" s="14" t="s">
        <v>420</v>
      </c>
      <c r="F278" s="14" t="s">
        <v>1152</v>
      </c>
      <c r="G278" s="14" t="s">
        <v>141</v>
      </c>
      <c r="H278" s="55">
        <v>888850</v>
      </c>
      <c r="I278" s="55">
        <f>VLOOKUP(G278,'[1]Dispositivos exportados de HP W'!$C:$D,2,FALSE)</f>
        <v>890528</v>
      </c>
      <c r="J278" s="55">
        <f t="shared" si="24"/>
        <v>1678</v>
      </c>
      <c r="K278" s="55">
        <f>VLOOKUP(G278,'[2]Dispositivos exportados de HP W'!$C:$D,2,FALSE)</f>
        <v>892708</v>
      </c>
      <c r="L278" s="55">
        <f t="shared" si="25"/>
        <v>2180</v>
      </c>
      <c r="M278" s="55">
        <f>VLOOKUP(G278,'[3]Dispositivos exportados de HP W'!$C:$D,2,FALSE)</f>
        <v>894178</v>
      </c>
      <c r="N278" s="55">
        <f t="shared" si="26"/>
        <v>1470</v>
      </c>
      <c r="O278" s="55">
        <f>VLOOKUP(G278,'[4]Dispositivos exportados de HP W'!$C:$D,2,FALSE)</f>
        <v>896119</v>
      </c>
      <c r="P278" s="55">
        <f t="shared" si="27"/>
        <v>1941</v>
      </c>
      <c r="Q278" s="55">
        <f>VLOOKUP(G278,'[6]Dispositivos exportados de HP W'!$C:$D,2,FALSE)</f>
        <v>896883</v>
      </c>
      <c r="R278" s="55">
        <f t="shared" si="28"/>
        <v>764</v>
      </c>
      <c r="S278" s="90">
        <f t="shared" si="29"/>
        <v>8033</v>
      </c>
      <c r="T278" s="89">
        <v>46083</v>
      </c>
      <c r="U278" s="14"/>
      <c r="V278" s="105" t="s">
        <v>2383</v>
      </c>
      <c r="W278" s="105" t="str">
        <f>VLOOKUP(C278,'Status oficina'!$A$2:$C$208,3,FALSE)</f>
        <v>Activa</v>
      </c>
    </row>
    <row r="279" spans="1:23" ht="13.5" customHeight="1" x14ac:dyDescent="0.25">
      <c r="A279" s="14" t="s">
        <v>872</v>
      </c>
      <c r="B279" s="14" t="s">
        <v>911</v>
      </c>
      <c r="C279" s="22">
        <v>9820</v>
      </c>
      <c r="D279" s="10" t="s">
        <v>912</v>
      </c>
      <c r="E279" s="14" t="s">
        <v>420</v>
      </c>
      <c r="F279" s="14" t="s">
        <v>1370</v>
      </c>
      <c r="G279" s="14" t="s">
        <v>89</v>
      </c>
      <c r="H279" s="55">
        <v>378744</v>
      </c>
      <c r="I279" s="55">
        <f>VLOOKUP(G279,'[1]Dispositivos exportados de HP W'!$C:$D,2,FALSE)</f>
        <v>378744</v>
      </c>
      <c r="J279" s="55">
        <f t="shared" si="24"/>
        <v>0</v>
      </c>
      <c r="K279" s="55">
        <f>VLOOKUP(G279,'[2]Dispositivos exportados de HP W'!$C:$D,2,FALSE)</f>
        <v>378744</v>
      </c>
      <c r="L279" s="55">
        <f t="shared" si="25"/>
        <v>0</v>
      </c>
      <c r="M279" s="55">
        <f>VLOOKUP(G279,'[3]Dispositivos exportados de HP W'!$C:$D,2,FALSE)</f>
        <v>378744</v>
      </c>
      <c r="N279" s="55">
        <f t="shared" si="26"/>
        <v>0</v>
      </c>
      <c r="O279" s="55">
        <f>VLOOKUP(G279,'[4]Dispositivos exportados de HP W'!$C:$D,2,FALSE)</f>
        <v>378744</v>
      </c>
      <c r="P279" s="55">
        <f t="shared" si="27"/>
        <v>0</v>
      </c>
      <c r="Q279" s="55">
        <f>VLOOKUP(G279,'[6]Dispositivos exportados de HP W'!$C:$D,2,FALSE)</f>
        <v>378744</v>
      </c>
      <c r="R279" s="55">
        <f t="shared" si="28"/>
        <v>0</v>
      </c>
      <c r="S279" s="90">
        <f t="shared" si="29"/>
        <v>0</v>
      </c>
      <c r="T279" s="89">
        <v>46083</v>
      </c>
      <c r="U279" s="14"/>
      <c r="V279" s="105" t="s">
        <v>2239</v>
      </c>
      <c r="W279" s="105" t="s">
        <v>2239</v>
      </c>
    </row>
    <row r="280" spans="1:23" ht="13.5" customHeight="1" x14ac:dyDescent="0.25">
      <c r="A280" s="14" t="s">
        <v>946</v>
      </c>
      <c r="B280" s="14" t="s">
        <v>1042</v>
      </c>
      <c r="C280" s="120">
        <v>9510</v>
      </c>
      <c r="D280" s="14" t="s">
        <v>2116</v>
      </c>
      <c r="E280" s="14" t="s">
        <v>420</v>
      </c>
      <c r="F280" s="14" t="s">
        <v>1460</v>
      </c>
      <c r="G280" s="14" t="s">
        <v>109</v>
      </c>
      <c r="H280" s="55">
        <v>377409</v>
      </c>
      <c r="I280" s="55">
        <f>VLOOKUP(G280,'[1]Dispositivos exportados de HP W'!$C:$D,2,FALSE)</f>
        <v>377811</v>
      </c>
      <c r="J280" s="55">
        <f t="shared" si="24"/>
        <v>402</v>
      </c>
      <c r="K280" s="55">
        <f>VLOOKUP(G280,'[2]Dispositivos exportados de HP W'!$C:$D,2,FALSE)</f>
        <v>378010</v>
      </c>
      <c r="L280" s="55">
        <f t="shared" si="25"/>
        <v>199</v>
      </c>
      <c r="M280" s="55">
        <f>VLOOKUP(G280,'[3]Dispositivos exportados de HP W'!$C:$D,2,FALSE)</f>
        <v>378010</v>
      </c>
      <c r="N280" s="55">
        <f t="shared" si="26"/>
        <v>0</v>
      </c>
      <c r="O280" s="55">
        <f>VLOOKUP(G280,'[4]Dispositivos exportados de HP W'!$C:$D,2,FALSE)</f>
        <v>378029</v>
      </c>
      <c r="P280" s="55">
        <f t="shared" si="27"/>
        <v>19</v>
      </c>
      <c r="Q280" s="55">
        <f>VLOOKUP(G280,'[6]Dispositivos exportados de HP W'!$C:$D,2,FALSE)</f>
        <v>378104</v>
      </c>
      <c r="R280" s="55">
        <f t="shared" si="28"/>
        <v>75</v>
      </c>
      <c r="S280" s="90">
        <f t="shared" si="29"/>
        <v>695</v>
      </c>
      <c r="T280" s="89">
        <v>46083</v>
      </c>
      <c r="U280" s="14"/>
      <c r="V280" s="108" t="s">
        <v>2383</v>
      </c>
      <c r="W280" s="105" t="str">
        <f>VLOOKUP(C280,'Status oficina'!$A$2:$C$208,3,FALSE)</f>
        <v>Activa</v>
      </c>
    </row>
    <row r="281" spans="1:23" ht="13.5" customHeight="1" x14ac:dyDescent="0.25">
      <c r="A281" s="14" t="s">
        <v>2089</v>
      </c>
      <c r="B281" s="14" t="s">
        <v>463</v>
      </c>
      <c r="C281" s="19">
        <v>9485</v>
      </c>
      <c r="D281" s="14" t="s">
        <v>464</v>
      </c>
      <c r="E281" s="14" t="s">
        <v>420</v>
      </c>
      <c r="F281" s="14" t="s">
        <v>1097</v>
      </c>
      <c r="G281" s="14" t="s">
        <v>13</v>
      </c>
      <c r="H281" s="55">
        <v>800725</v>
      </c>
      <c r="I281" s="55">
        <f>VLOOKUP(G281,'[1]Dispositivos exportados de HP W'!$C:$D,2,FALSE)</f>
        <v>802735</v>
      </c>
      <c r="J281" s="55">
        <f t="shared" si="24"/>
        <v>2010</v>
      </c>
      <c r="K281" s="55">
        <f>VLOOKUP(G281,'[2]Dispositivos exportados de HP W'!$C:$D,2,FALSE)</f>
        <v>804474</v>
      </c>
      <c r="L281" s="55">
        <f t="shared" si="25"/>
        <v>1739</v>
      </c>
      <c r="M281" s="55">
        <f>VLOOKUP(G281,'[3]Dispositivos exportados de HP W'!$C:$D,2,FALSE)</f>
        <v>806212</v>
      </c>
      <c r="N281" s="55">
        <f t="shared" si="26"/>
        <v>1738</v>
      </c>
      <c r="O281" s="55">
        <f>VLOOKUP(G281,'[4]Dispositivos exportados de HP W'!$C:$D,2,FALSE)</f>
        <v>807931</v>
      </c>
      <c r="P281" s="55">
        <f t="shared" si="27"/>
        <v>1719</v>
      </c>
      <c r="Q281" s="55">
        <f>VLOOKUP(G281,'[6]Dispositivos exportados de HP W'!$C:$D,2,FALSE)</f>
        <v>808517</v>
      </c>
      <c r="R281" s="55">
        <f t="shared" si="28"/>
        <v>586</v>
      </c>
      <c r="S281" s="90">
        <f t="shared" si="29"/>
        <v>7792</v>
      </c>
      <c r="T281" s="89">
        <v>46083</v>
      </c>
      <c r="U281" s="14"/>
      <c r="V281" s="108" t="s">
        <v>2383</v>
      </c>
      <c r="W281" s="105" t="str">
        <f>VLOOKUP(C281,'Status oficina'!$A$2:$C$208,3,FALSE)</f>
        <v>Activa</v>
      </c>
    </row>
    <row r="282" spans="1:23" ht="13.5" customHeight="1" x14ac:dyDescent="0.25">
      <c r="A282" s="14" t="s">
        <v>2089</v>
      </c>
      <c r="B282" s="14" t="s">
        <v>582</v>
      </c>
      <c r="C282" s="19">
        <v>9845</v>
      </c>
      <c r="D282" s="14" t="s">
        <v>583</v>
      </c>
      <c r="E282" s="14" t="s">
        <v>420</v>
      </c>
      <c r="F282" s="14" t="s">
        <v>584</v>
      </c>
      <c r="G282" s="14" t="s">
        <v>241</v>
      </c>
      <c r="H282" s="55">
        <v>618701</v>
      </c>
      <c r="I282" s="55">
        <f>VLOOKUP(G282,'[1]Dispositivos exportados de HP W'!$C:$D,2,FALSE)</f>
        <v>621521</v>
      </c>
      <c r="J282" s="55">
        <f t="shared" si="24"/>
        <v>2820</v>
      </c>
      <c r="K282" s="55">
        <f>VLOOKUP(G282,'[2]Dispositivos exportados de HP W'!$C:$D,2,FALSE)</f>
        <v>623949</v>
      </c>
      <c r="L282" s="55">
        <f t="shared" si="25"/>
        <v>2428</v>
      </c>
      <c r="M282" s="55">
        <f>VLOOKUP(G282,'[3]Dispositivos exportados de HP W'!$C:$D,2,FALSE)</f>
        <v>625598</v>
      </c>
      <c r="N282" s="55">
        <f t="shared" si="26"/>
        <v>1649</v>
      </c>
      <c r="O282" s="55">
        <f>VLOOKUP(G282,'[4]Dispositivos exportados de HP W'!$C:$D,2,FALSE)</f>
        <v>627590</v>
      </c>
      <c r="P282" s="55">
        <f t="shared" si="27"/>
        <v>1992</v>
      </c>
      <c r="Q282" s="55">
        <f>VLOOKUP(G282,'[6]Dispositivos exportados de HP W'!$C:$D,2,FALSE)</f>
        <v>628446</v>
      </c>
      <c r="R282" s="55">
        <f t="shared" si="28"/>
        <v>856</v>
      </c>
      <c r="S282" s="90">
        <f t="shared" si="29"/>
        <v>9745</v>
      </c>
      <c r="T282" s="89">
        <v>46083</v>
      </c>
      <c r="U282" s="14"/>
      <c r="V282" s="105" t="s">
        <v>2383</v>
      </c>
      <c r="W282" s="105" t="str">
        <f>VLOOKUP(C282,'Status oficina'!$A$2:$C$208,3,FALSE)</f>
        <v>Activa</v>
      </c>
    </row>
    <row r="283" spans="1:23" ht="13.5" customHeight="1" x14ac:dyDescent="0.25">
      <c r="A283" s="14" t="s">
        <v>872</v>
      </c>
      <c r="B283" s="14" t="s">
        <v>927</v>
      </c>
      <c r="C283" s="120">
        <v>9499</v>
      </c>
      <c r="D283" s="14" t="s">
        <v>928</v>
      </c>
      <c r="E283" s="14" t="s">
        <v>420</v>
      </c>
      <c r="F283" s="14" t="s">
        <v>1384</v>
      </c>
      <c r="G283" s="14" t="s">
        <v>154</v>
      </c>
      <c r="H283" s="55">
        <v>392779</v>
      </c>
      <c r="I283" s="55">
        <f>VLOOKUP(G283,'[1]Dispositivos exportados de HP W'!$C:$D,2,FALSE)</f>
        <v>393387</v>
      </c>
      <c r="J283" s="55">
        <f t="shared" si="24"/>
        <v>608</v>
      </c>
      <c r="K283" s="55">
        <f>VLOOKUP(G283,'[2]Dispositivos exportados de HP W'!$C:$D,2,FALSE)</f>
        <v>394031</v>
      </c>
      <c r="L283" s="55">
        <f t="shared" si="25"/>
        <v>644</v>
      </c>
      <c r="M283" s="55">
        <f>VLOOKUP(G283,'[3]Dispositivos exportados de HP W'!$C:$D,2,FALSE)</f>
        <v>394554</v>
      </c>
      <c r="N283" s="55">
        <f t="shared" si="26"/>
        <v>523</v>
      </c>
      <c r="O283" s="55">
        <f>VLOOKUP(G283,'[4]Dispositivos exportados de HP W'!$C:$D,2,FALSE)</f>
        <v>395204</v>
      </c>
      <c r="P283" s="55">
        <f t="shared" si="27"/>
        <v>650</v>
      </c>
      <c r="Q283" s="55">
        <f>VLOOKUP(G283,'[6]Dispositivos exportados de HP W'!$C:$D,2,FALSE)</f>
        <v>395466</v>
      </c>
      <c r="R283" s="55">
        <f t="shared" si="28"/>
        <v>262</v>
      </c>
      <c r="S283" s="90">
        <f t="shared" si="29"/>
        <v>2687</v>
      </c>
      <c r="T283" s="89">
        <v>46083</v>
      </c>
      <c r="U283" s="14"/>
      <c r="V283" s="108" t="s">
        <v>2383</v>
      </c>
      <c r="W283" s="105" t="str">
        <f>VLOOKUP(C283,'Status oficina'!$A$2:$C$208,3,FALSE)</f>
        <v>Activa</v>
      </c>
    </row>
    <row r="284" spans="1:23" ht="13.5" customHeight="1" x14ac:dyDescent="0.25">
      <c r="A284" s="53" t="s">
        <v>872</v>
      </c>
      <c r="B284" s="53" t="s">
        <v>423</v>
      </c>
      <c r="C284" s="105">
        <v>9864</v>
      </c>
      <c r="D284" s="14" t="s">
        <v>425</v>
      </c>
      <c r="E284" s="14" t="s">
        <v>420</v>
      </c>
      <c r="F284" s="14" t="s">
        <v>1075</v>
      </c>
      <c r="G284" s="14" t="s">
        <v>281</v>
      </c>
      <c r="H284" s="55">
        <v>326399</v>
      </c>
      <c r="I284" s="55">
        <f>VLOOKUP(G284,'[1]Dispositivos exportados de HP W'!$C:$D,2,FALSE)</f>
        <v>326399</v>
      </c>
      <c r="J284" s="55">
        <f t="shared" si="24"/>
        <v>0</v>
      </c>
      <c r="K284" s="55">
        <f>VLOOKUP(G284,'[2]Dispositivos exportados de HP W'!$C:$D,2,FALSE)</f>
        <v>326399</v>
      </c>
      <c r="L284" s="55">
        <f t="shared" si="25"/>
        <v>0</v>
      </c>
      <c r="M284" s="55">
        <f>VLOOKUP(G284,'[3]Dispositivos exportados de HP W'!$C:$D,2,FALSE)</f>
        <v>326399</v>
      </c>
      <c r="N284" s="55">
        <f t="shared" si="26"/>
        <v>0</v>
      </c>
      <c r="O284" s="55">
        <f>VLOOKUP(G284,'[4]Dispositivos exportados de HP W'!$C:$D,2,FALSE)</f>
        <v>326399</v>
      </c>
      <c r="P284" s="55">
        <f t="shared" si="27"/>
        <v>0</v>
      </c>
      <c r="Q284" s="55">
        <f>VLOOKUP(G284,'[6]Dispositivos exportados de HP W'!$C:$D,2,FALSE)</f>
        <v>326399</v>
      </c>
      <c r="R284" s="55">
        <f t="shared" si="28"/>
        <v>0</v>
      </c>
      <c r="S284" s="90">
        <f t="shared" si="29"/>
        <v>0</v>
      </c>
      <c r="T284" s="89">
        <v>46083</v>
      </c>
      <c r="U284" s="14"/>
      <c r="V284" s="105" t="s">
        <v>2246</v>
      </c>
      <c r="W284" s="105" t="s">
        <v>2246</v>
      </c>
    </row>
    <row r="285" spans="1:23" ht="13.5" customHeight="1" x14ac:dyDescent="0.25">
      <c r="A285" s="53" t="s">
        <v>872</v>
      </c>
      <c r="B285" s="53" t="s">
        <v>423</v>
      </c>
      <c r="C285" s="105">
        <v>9864</v>
      </c>
      <c r="D285" s="14" t="s">
        <v>424</v>
      </c>
      <c r="E285" s="14" t="s">
        <v>416</v>
      </c>
      <c r="F285" s="14" t="s">
        <v>1074</v>
      </c>
      <c r="G285" s="14" t="s">
        <v>116</v>
      </c>
      <c r="H285" s="55">
        <v>144092</v>
      </c>
      <c r="I285" s="55">
        <f>VLOOKUP(G285,'[1]Dispositivos exportados de HP W'!$C:$D,2,FALSE)</f>
        <v>144092</v>
      </c>
      <c r="J285" s="55">
        <f t="shared" si="24"/>
        <v>0</v>
      </c>
      <c r="K285" s="55">
        <f>VLOOKUP(G285,'[2]Dispositivos exportados de HP W'!$C:$D,2,FALSE)</f>
        <v>144092</v>
      </c>
      <c r="L285" s="55">
        <f t="shared" si="25"/>
        <v>0</v>
      </c>
      <c r="M285" s="55">
        <f>VLOOKUP(G285,'[3]Dispositivos exportados de HP W'!$C:$D,2,FALSE)</f>
        <v>144092</v>
      </c>
      <c r="N285" s="55">
        <f t="shared" si="26"/>
        <v>0</v>
      </c>
      <c r="O285" s="55">
        <f>VLOOKUP(G285,'[4]Dispositivos exportados de HP W'!$C:$D,2,FALSE)</f>
        <v>144092</v>
      </c>
      <c r="P285" s="55">
        <f t="shared" si="27"/>
        <v>0</v>
      </c>
      <c r="Q285" s="55">
        <f>VLOOKUP(G285,'[6]Dispositivos exportados de HP W'!$C:$D,2,FALSE)</f>
        <v>144092</v>
      </c>
      <c r="R285" s="55">
        <f t="shared" si="28"/>
        <v>0</v>
      </c>
      <c r="S285" s="90">
        <f t="shared" si="29"/>
        <v>0</v>
      </c>
      <c r="T285" s="89">
        <v>46083</v>
      </c>
      <c r="U285" s="14" t="s">
        <v>2460</v>
      </c>
      <c r="V285" s="105" t="s">
        <v>2246</v>
      </c>
      <c r="W285" s="105" t="s">
        <v>2246</v>
      </c>
    </row>
    <row r="286" spans="1:23" ht="13.5" customHeight="1" x14ac:dyDescent="0.25">
      <c r="A286" s="14" t="s">
        <v>2089</v>
      </c>
      <c r="B286" s="14" t="s">
        <v>562</v>
      </c>
      <c r="C286" s="120">
        <v>9370</v>
      </c>
      <c r="D286" s="54" t="s">
        <v>565</v>
      </c>
      <c r="E286" s="54" t="s">
        <v>420</v>
      </c>
      <c r="F286" s="54" t="s">
        <v>1169</v>
      </c>
      <c r="G286" s="54" t="s">
        <v>181</v>
      </c>
      <c r="H286" s="55">
        <v>601413</v>
      </c>
      <c r="I286" s="55">
        <f>VLOOKUP(G286,'[1]Dispositivos exportados de HP W'!$C:$D,2,FALSE)</f>
        <v>603180</v>
      </c>
      <c r="J286" s="55">
        <f t="shared" si="24"/>
        <v>1767</v>
      </c>
      <c r="K286" s="55">
        <f>VLOOKUP(G286,'[2]Dispositivos exportados de HP W'!$C:$D,2,FALSE)</f>
        <v>604743</v>
      </c>
      <c r="L286" s="55">
        <f t="shared" si="25"/>
        <v>1563</v>
      </c>
      <c r="M286" s="55">
        <f>VLOOKUP(G286,'[3]Dispositivos exportados de HP W'!$C:$D,2,FALSE)</f>
        <v>606045</v>
      </c>
      <c r="N286" s="55">
        <f t="shared" si="26"/>
        <v>1302</v>
      </c>
      <c r="O286" s="55">
        <f>VLOOKUP(G286,'[4]Dispositivos exportados de HP W'!$C:$D,2,FALSE)</f>
        <v>607552</v>
      </c>
      <c r="P286" s="55">
        <f t="shared" si="27"/>
        <v>1507</v>
      </c>
      <c r="Q286" s="55">
        <f>VLOOKUP(G286,'[6]Dispositivos exportados de HP W'!$C:$D,2,FALSE)</f>
        <v>608301</v>
      </c>
      <c r="R286" s="55">
        <f t="shared" si="28"/>
        <v>749</v>
      </c>
      <c r="S286" s="90">
        <f t="shared" si="29"/>
        <v>6888</v>
      </c>
      <c r="T286" s="89">
        <v>46083</v>
      </c>
      <c r="U286" s="14"/>
      <c r="V286" s="105" t="s">
        <v>2383</v>
      </c>
      <c r="W286" s="105" t="str">
        <f>VLOOKUP(C286,'Status oficina'!$A$2:$C$208,3,FALSE)</f>
        <v>Activa</v>
      </c>
    </row>
    <row r="287" spans="1:23" ht="13.5" customHeight="1" x14ac:dyDescent="0.25">
      <c r="A287" s="14" t="s">
        <v>2451</v>
      </c>
      <c r="B287" s="14" t="s">
        <v>856</v>
      </c>
      <c r="C287" s="120">
        <v>9289</v>
      </c>
      <c r="D287" s="14" t="s">
        <v>857</v>
      </c>
      <c r="E287" s="14" t="s">
        <v>420</v>
      </c>
      <c r="F287" s="14" t="s">
        <v>1335</v>
      </c>
      <c r="G287" s="14" t="s">
        <v>244</v>
      </c>
      <c r="H287" s="55">
        <v>374635</v>
      </c>
      <c r="I287" s="55">
        <f>VLOOKUP(G287,'[1]Dispositivos exportados de HP W'!$C:$D,2,FALSE)</f>
        <v>375044</v>
      </c>
      <c r="J287" s="55">
        <f t="shared" si="24"/>
        <v>409</v>
      </c>
      <c r="K287" s="55">
        <f>VLOOKUP(G287,'[2]Dispositivos exportados de HP W'!$C:$D,2,FALSE)</f>
        <v>375703</v>
      </c>
      <c r="L287" s="55">
        <f t="shared" si="25"/>
        <v>659</v>
      </c>
      <c r="M287" s="55">
        <f>VLOOKUP(G287,'[3]Dispositivos exportados de HP W'!$C:$D,2,FALSE)</f>
        <v>376015</v>
      </c>
      <c r="N287" s="55">
        <f t="shared" si="26"/>
        <v>312</v>
      </c>
      <c r="O287" s="55">
        <f>VLOOKUP(G287,'[4]Dispositivos exportados de HP W'!$C:$D,2,FALSE)</f>
        <v>376362</v>
      </c>
      <c r="P287" s="55">
        <f t="shared" si="27"/>
        <v>347</v>
      </c>
      <c r="Q287" s="55">
        <f>VLOOKUP(G287,'[6]Dispositivos exportados de HP W'!$C:$D,2,FALSE)</f>
        <v>376500</v>
      </c>
      <c r="R287" s="55">
        <f t="shared" si="28"/>
        <v>138</v>
      </c>
      <c r="S287" s="90">
        <f t="shared" si="29"/>
        <v>1865</v>
      </c>
      <c r="T287" s="89">
        <v>46083</v>
      </c>
      <c r="U287" s="14"/>
      <c r="V287" s="105" t="s">
        <v>2383</v>
      </c>
      <c r="W287" s="105" t="str">
        <f>VLOOKUP(C287,'Status oficina'!$A$2:$C$208,3,FALSE)</f>
        <v>Activa</v>
      </c>
    </row>
    <row r="288" spans="1:23" ht="13.5" customHeight="1" x14ac:dyDescent="0.25">
      <c r="A288" s="54" t="s">
        <v>2089</v>
      </c>
      <c r="B288" s="14" t="s">
        <v>550</v>
      </c>
      <c r="C288" s="120">
        <v>9311</v>
      </c>
      <c r="D288" s="54" t="s">
        <v>2211</v>
      </c>
      <c r="E288" s="54" t="s">
        <v>420</v>
      </c>
      <c r="F288" s="54" t="s">
        <v>1160</v>
      </c>
      <c r="G288" s="54" t="s">
        <v>283</v>
      </c>
      <c r="H288" s="55">
        <v>153666</v>
      </c>
      <c r="I288" s="55">
        <f>VLOOKUP(G288,'[1]Dispositivos exportados de HP W'!$C:$D,2,FALSE)</f>
        <v>154335</v>
      </c>
      <c r="J288" s="55">
        <f t="shared" si="24"/>
        <v>669</v>
      </c>
      <c r="K288" s="55">
        <f>VLOOKUP(G288,'[2]Dispositivos exportados de HP W'!$C:$D,2,FALSE)</f>
        <v>154615</v>
      </c>
      <c r="L288" s="55">
        <f t="shared" si="25"/>
        <v>280</v>
      </c>
      <c r="M288" s="55">
        <f>VLOOKUP(G288,'[3]Dispositivos exportados de HP W'!$C:$D,2,FALSE)</f>
        <v>154947</v>
      </c>
      <c r="N288" s="55">
        <f t="shared" si="26"/>
        <v>332</v>
      </c>
      <c r="O288" s="55">
        <f>VLOOKUP(G288,'[4]Dispositivos exportados de HP W'!$C:$D,2,FALSE)</f>
        <v>155442</v>
      </c>
      <c r="P288" s="55">
        <f t="shared" si="27"/>
        <v>495</v>
      </c>
      <c r="Q288" s="55">
        <f>VLOOKUP(G288,'[6]Dispositivos exportados de HP W'!$C:$D,2,FALSE)</f>
        <v>155667</v>
      </c>
      <c r="R288" s="55">
        <f t="shared" si="28"/>
        <v>225</v>
      </c>
      <c r="S288" s="90">
        <f t="shared" si="29"/>
        <v>2001</v>
      </c>
      <c r="T288" s="89">
        <v>46083</v>
      </c>
      <c r="U288" s="14"/>
      <c r="V288" s="105" t="s">
        <v>2383</v>
      </c>
      <c r="W288" s="105" t="str">
        <f>VLOOKUP(C288,'Status oficina'!$A$2:$C$208,3,FALSE)</f>
        <v>Activa</v>
      </c>
    </row>
    <row r="289" spans="1:23" ht="13.5" customHeight="1" x14ac:dyDescent="0.25">
      <c r="A289" s="14" t="s">
        <v>2451</v>
      </c>
      <c r="B289" s="14" t="s">
        <v>784</v>
      </c>
      <c r="C289" s="19">
        <v>9282</v>
      </c>
      <c r="D289" s="14" t="s">
        <v>785</v>
      </c>
      <c r="E289" s="14" t="s">
        <v>420</v>
      </c>
      <c r="F289" s="14" t="s">
        <v>1289</v>
      </c>
      <c r="G289" s="14" t="s">
        <v>16</v>
      </c>
      <c r="H289" s="55">
        <v>129084</v>
      </c>
      <c r="I289" s="55">
        <f>VLOOKUP(G289,'[1]Dispositivos exportados de HP W'!$C:$D,2,FALSE)</f>
        <v>129260</v>
      </c>
      <c r="J289" s="55">
        <f t="shared" si="24"/>
        <v>176</v>
      </c>
      <c r="K289" s="55">
        <f>VLOOKUP(G289,'[2]Dispositivos exportados de HP W'!$C:$D,2,FALSE)</f>
        <v>129499</v>
      </c>
      <c r="L289" s="55">
        <f t="shared" si="25"/>
        <v>239</v>
      </c>
      <c r="M289" s="55">
        <f>VLOOKUP(G289,'[3]Dispositivos exportados de HP W'!$C:$D,2,FALSE)</f>
        <v>129600</v>
      </c>
      <c r="N289" s="55">
        <f t="shared" si="26"/>
        <v>101</v>
      </c>
      <c r="O289" s="55">
        <f>VLOOKUP(G289,'[4]Dispositivos exportados de HP W'!$C:$D,2,FALSE)</f>
        <v>129746</v>
      </c>
      <c r="P289" s="55">
        <f t="shared" si="27"/>
        <v>146</v>
      </c>
      <c r="Q289" s="55">
        <f>VLOOKUP(G289,'[6]Dispositivos exportados de HP W'!$C:$D,2,FALSE)</f>
        <v>129825</v>
      </c>
      <c r="R289" s="55">
        <f t="shared" si="28"/>
        <v>79</v>
      </c>
      <c r="S289" s="90">
        <f t="shared" si="29"/>
        <v>741</v>
      </c>
      <c r="T289" s="89">
        <v>46083</v>
      </c>
      <c r="U289" s="14"/>
      <c r="V289" s="105" t="s">
        <v>2383</v>
      </c>
      <c r="W289" s="105" t="str">
        <f>VLOOKUP(C289,'Status oficina'!$A$2:$C$208,3,FALSE)</f>
        <v>Activa</v>
      </c>
    </row>
    <row r="290" spans="1:23" ht="13.5" customHeight="1" x14ac:dyDescent="0.25">
      <c r="A290" s="14" t="s">
        <v>872</v>
      </c>
      <c r="B290" s="14" t="s">
        <v>414</v>
      </c>
      <c r="C290" s="19">
        <v>9875</v>
      </c>
      <c r="D290" s="14" t="s">
        <v>415</v>
      </c>
      <c r="E290" s="14" t="s">
        <v>416</v>
      </c>
      <c r="F290" s="14" t="s">
        <v>1063</v>
      </c>
      <c r="G290" s="14" t="s">
        <v>30</v>
      </c>
      <c r="H290" s="55">
        <v>161448</v>
      </c>
      <c r="I290" s="55">
        <f>VLOOKUP(G290,'[1]Dispositivos exportados de HP W'!$C:$D,2,FALSE)</f>
        <v>161448</v>
      </c>
      <c r="J290" s="55">
        <f t="shared" si="24"/>
        <v>0</v>
      </c>
      <c r="K290" s="55">
        <f>VLOOKUP(G290,'[2]Dispositivos exportados de HP W'!$C:$D,2,FALSE)</f>
        <v>161448</v>
      </c>
      <c r="L290" s="55">
        <f t="shared" si="25"/>
        <v>0</v>
      </c>
      <c r="M290" s="55">
        <f>VLOOKUP(G290,'[3]Dispositivos exportados de HP W'!$C:$D,2,FALSE)</f>
        <v>161448</v>
      </c>
      <c r="N290" s="55">
        <f t="shared" si="26"/>
        <v>0</v>
      </c>
      <c r="O290" s="55">
        <f>VLOOKUP(G290,'[4]Dispositivos exportados de HP W'!$C:$D,2,FALSE)</f>
        <v>161448</v>
      </c>
      <c r="P290" s="55">
        <f t="shared" si="27"/>
        <v>0</v>
      </c>
      <c r="Q290" s="55">
        <f>VLOOKUP(G290,'[6]Dispositivos exportados de HP W'!$C:$D,2,FALSE)</f>
        <v>161448</v>
      </c>
      <c r="R290" s="55">
        <f t="shared" si="28"/>
        <v>0</v>
      </c>
      <c r="S290" s="90">
        <f t="shared" si="29"/>
        <v>0</v>
      </c>
      <c r="T290" s="89">
        <v>46083</v>
      </c>
      <c r="U290" s="51" t="s">
        <v>2214</v>
      </c>
      <c r="V290" s="105" t="s">
        <v>2239</v>
      </c>
      <c r="W290" s="105" t="str">
        <f>VLOOKUP(C290,'Status oficina'!$A$2:$C$208,3,FALSE)</f>
        <v>Cierre temporal</v>
      </c>
    </row>
    <row r="291" spans="1:23" ht="13.5" customHeight="1" x14ac:dyDescent="0.25">
      <c r="A291" s="53" t="s">
        <v>872</v>
      </c>
      <c r="B291" s="53" t="s">
        <v>455</v>
      </c>
      <c r="C291" s="97">
        <v>9876</v>
      </c>
      <c r="D291" s="14" t="s">
        <v>456</v>
      </c>
      <c r="E291" s="14" t="s">
        <v>420</v>
      </c>
      <c r="F291" s="14" t="s">
        <v>1094</v>
      </c>
      <c r="G291" s="14" t="s">
        <v>223</v>
      </c>
      <c r="H291" s="55">
        <v>405747</v>
      </c>
      <c r="I291" s="55">
        <f>VLOOKUP(G291,'[1]Dispositivos exportados de HP W'!$C:$D,2,FALSE)</f>
        <v>405747</v>
      </c>
      <c r="J291" s="55">
        <f t="shared" si="24"/>
        <v>0</v>
      </c>
      <c r="K291" s="55">
        <f>VLOOKUP(G291,'[2]Dispositivos exportados de HP W'!$C:$D,2,FALSE)</f>
        <v>405747</v>
      </c>
      <c r="L291" s="55">
        <f t="shared" si="25"/>
        <v>0</v>
      </c>
      <c r="M291" s="55">
        <f>VLOOKUP(G291,'[3]Dispositivos exportados de HP W'!$C:$D,2,FALSE)</f>
        <v>405747</v>
      </c>
      <c r="N291" s="55">
        <f t="shared" si="26"/>
        <v>0</v>
      </c>
      <c r="O291" s="55">
        <f>VLOOKUP(G291,'[4]Dispositivos exportados de HP W'!$C:$D,2,FALSE)</f>
        <v>405747</v>
      </c>
      <c r="P291" s="55">
        <f t="shared" si="27"/>
        <v>0</v>
      </c>
      <c r="Q291" s="55">
        <f>VLOOKUP(G291,'[6]Dispositivos exportados de HP W'!$C:$D,2,FALSE)</f>
        <v>405747</v>
      </c>
      <c r="R291" s="55">
        <f t="shared" si="28"/>
        <v>0</v>
      </c>
      <c r="S291" s="90">
        <f t="shared" si="29"/>
        <v>0</v>
      </c>
      <c r="T291" s="89">
        <v>46083</v>
      </c>
      <c r="U291" s="14" t="s">
        <v>2413</v>
      </c>
      <c r="V291" s="105" t="s">
        <v>2246</v>
      </c>
      <c r="W291" s="105" t="str">
        <f>VLOOKUP(C291,'Status oficina'!$A$2:$C$208,3,FALSE)</f>
        <v>Cierre definitivo</v>
      </c>
    </row>
    <row r="292" spans="1:23" ht="13.5" customHeight="1" x14ac:dyDescent="0.25">
      <c r="A292" s="53" t="s">
        <v>872</v>
      </c>
      <c r="B292" s="53" t="s">
        <v>438</v>
      </c>
      <c r="C292" s="97">
        <v>9877</v>
      </c>
      <c r="D292" s="14" t="s">
        <v>446</v>
      </c>
      <c r="E292" s="14" t="s">
        <v>420</v>
      </c>
      <c r="F292" s="14" t="s">
        <v>1089</v>
      </c>
      <c r="G292" s="14" t="s">
        <v>188</v>
      </c>
      <c r="H292" s="55">
        <v>415974</v>
      </c>
      <c r="I292" s="55">
        <f>VLOOKUP(G292,'[1]Dispositivos exportados de HP W'!$C:$D,2,FALSE)</f>
        <v>415974</v>
      </c>
      <c r="J292" s="55">
        <f t="shared" si="24"/>
        <v>0</v>
      </c>
      <c r="K292" s="55">
        <f>VLOOKUP(G292,'[2]Dispositivos exportados de HP W'!$C:$D,2,FALSE)</f>
        <v>415974</v>
      </c>
      <c r="L292" s="55">
        <f t="shared" si="25"/>
        <v>0</v>
      </c>
      <c r="M292" s="55">
        <f>VLOOKUP(G292,'[3]Dispositivos exportados de HP W'!$C:$D,2,FALSE)</f>
        <v>415974</v>
      </c>
      <c r="N292" s="55">
        <f t="shared" si="26"/>
        <v>0</v>
      </c>
      <c r="O292" s="55">
        <f>VLOOKUP(G292,'[4]Dispositivos exportados de HP W'!$C:$D,2,FALSE)</f>
        <v>415974</v>
      </c>
      <c r="P292" s="55">
        <f t="shared" si="27"/>
        <v>0</v>
      </c>
      <c r="Q292" s="55">
        <f>VLOOKUP(G292,'[6]Dispositivos exportados de HP W'!$C:$D,2,FALSE)</f>
        <v>415974</v>
      </c>
      <c r="R292" s="55">
        <f t="shared" si="28"/>
        <v>0</v>
      </c>
      <c r="S292" s="90">
        <f t="shared" si="29"/>
        <v>0</v>
      </c>
      <c r="T292" s="89">
        <v>46083</v>
      </c>
      <c r="U292" s="42" t="s">
        <v>2453</v>
      </c>
      <c r="V292" s="105" t="s">
        <v>2246</v>
      </c>
      <c r="W292" s="105" t="s">
        <v>2246</v>
      </c>
    </row>
    <row r="293" spans="1:23" ht="13.5" customHeight="1" x14ac:dyDescent="0.25">
      <c r="A293" s="53" t="s">
        <v>872</v>
      </c>
      <c r="B293" s="53" t="s">
        <v>438</v>
      </c>
      <c r="C293" s="97">
        <v>9877</v>
      </c>
      <c r="D293" s="14" t="s">
        <v>439</v>
      </c>
      <c r="E293" s="14" t="s">
        <v>416</v>
      </c>
      <c r="F293" s="14" t="s">
        <v>1084</v>
      </c>
      <c r="G293" s="14" t="s">
        <v>91</v>
      </c>
      <c r="H293" s="55">
        <v>38208</v>
      </c>
      <c r="I293" s="55">
        <f>VLOOKUP(G293,'[1]Dispositivos exportados de HP W'!$C:$D,2,FALSE)</f>
        <v>38208</v>
      </c>
      <c r="J293" s="55">
        <f t="shared" si="24"/>
        <v>0</v>
      </c>
      <c r="K293" s="55">
        <f>VLOOKUP(G293,'[2]Dispositivos exportados de HP W'!$C:$D,2,FALSE)</f>
        <v>38208</v>
      </c>
      <c r="L293" s="55">
        <f t="shared" si="25"/>
        <v>0</v>
      </c>
      <c r="M293" s="55">
        <f>VLOOKUP(G293,'[3]Dispositivos exportados de HP W'!$C:$D,2,FALSE)</f>
        <v>38208</v>
      </c>
      <c r="N293" s="55">
        <f t="shared" si="26"/>
        <v>0</v>
      </c>
      <c r="O293" s="55">
        <f>VLOOKUP(G293,'[4]Dispositivos exportados de HP W'!$C:$D,2,FALSE)</f>
        <v>38208</v>
      </c>
      <c r="P293" s="55">
        <f t="shared" si="27"/>
        <v>0</v>
      </c>
      <c r="Q293" s="55">
        <f>VLOOKUP(G293,'[6]Dispositivos exportados de HP W'!$C:$D,2,FALSE)</f>
        <v>38208</v>
      </c>
      <c r="R293" s="55">
        <f t="shared" si="28"/>
        <v>0</v>
      </c>
      <c r="S293" s="90">
        <f t="shared" si="29"/>
        <v>0</v>
      </c>
      <c r="T293" s="89">
        <v>46083</v>
      </c>
      <c r="U293" s="14" t="s">
        <v>2452</v>
      </c>
      <c r="V293" s="105" t="s">
        <v>2239</v>
      </c>
      <c r="W293" s="105" t="str">
        <f>VLOOKUP(C293,'Status oficina'!$A$2:$C$208,3,FALSE)</f>
        <v>Cierre definitivo</v>
      </c>
    </row>
    <row r="294" spans="1:23" ht="13.5" customHeight="1" x14ac:dyDescent="0.25">
      <c r="A294" s="14" t="s">
        <v>2451</v>
      </c>
      <c r="B294" s="14" t="s">
        <v>828</v>
      </c>
      <c r="C294" s="120">
        <v>9290</v>
      </c>
      <c r="D294" s="14" t="s">
        <v>829</v>
      </c>
      <c r="E294" s="14" t="s">
        <v>420</v>
      </c>
      <c r="F294" s="14" t="s">
        <v>1319</v>
      </c>
      <c r="G294" s="14" t="s">
        <v>252</v>
      </c>
      <c r="H294" s="55">
        <v>558634</v>
      </c>
      <c r="I294" s="55">
        <f>VLOOKUP(G294,'[1]Dispositivos exportados de HP W'!$C:$D,2,FALSE)</f>
        <v>559533</v>
      </c>
      <c r="J294" s="55">
        <f t="shared" si="24"/>
        <v>899</v>
      </c>
      <c r="K294" s="55">
        <f>VLOOKUP(G294,'[2]Dispositivos exportados de HP W'!$C:$D,2,FALSE)</f>
        <v>560137</v>
      </c>
      <c r="L294" s="55">
        <f t="shared" si="25"/>
        <v>604</v>
      </c>
      <c r="M294" s="55">
        <f>VLOOKUP(G294,'[3]Dispositivos exportados de HP W'!$C:$D,2,FALSE)</f>
        <v>560582</v>
      </c>
      <c r="N294" s="55">
        <f t="shared" si="26"/>
        <v>445</v>
      </c>
      <c r="O294" s="55">
        <f>VLOOKUP(G294,'[4]Dispositivos exportados de HP W'!$C:$D,2,FALSE)</f>
        <v>561233</v>
      </c>
      <c r="P294" s="55">
        <f t="shared" si="27"/>
        <v>651</v>
      </c>
      <c r="Q294" s="55">
        <f>VLOOKUP(G294,'[6]Dispositivos exportados de HP W'!$C:$D,2,FALSE)</f>
        <v>561611</v>
      </c>
      <c r="R294" s="55">
        <f t="shared" si="28"/>
        <v>378</v>
      </c>
      <c r="S294" s="90">
        <f t="shared" si="29"/>
        <v>2977</v>
      </c>
      <c r="T294" s="89">
        <v>46083</v>
      </c>
      <c r="U294" s="14"/>
      <c r="V294" s="105" t="s">
        <v>2383</v>
      </c>
      <c r="W294" s="105" t="str">
        <f>VLOOKUP(C294,'Status oficina'!$A$2:$C$208,3,FALSE)</f>
        <v>Activa</v>
      </c>
    </row>
    <row r="295" spans="1:23" ht="13.5" customHeight="1" x14ac:dyDescent="0.25">
      <c r="A295" s="14" t="s">
        <v>2451</v>
      </c>
      <c r="B295" s="14" t="s">
        <v>811</v>
      </c>
      <c r="C295" s="19">
        <v>9231</v>
      </c>
      <c r="D295" s="14" t="s">
        <v>812</v>
      </c>
      <c r="E295" s="14" t="s">
        <v>420</v>
      </c>
      <c r="F295" s="14" t="s">
        <v>1308</v>
      </c>
      <c r="G295" s="14" t="s">
        <v>204</v>
      </c>
      <c r="H295" s="55">
        <v>520144</v>
      </c>
      <c r="I295" s="55">
        <f>VLOOKUP(G295,'[1]Dispositivos exportados de HP W'!$C:$D,2,FALSE)</f>
        <v>520727</v>
      </c>
      <c r="J295" s="55">
        <f t="shared" si="24"/>
        <v>583</v>
      </c>
      <c r="K295" s="55">
        <f>VLOOKUP(G295,'[2]Dispositivos exportados de HP W'!$C:$D,2,FALSE)</f>
        <v>521374</v>
      </c>
      <c r="L295" s="55">
        <f t="shared" si="25"/>
        <v>647</v>
      </c>
      <c r="M295" s="55">
        <f>VLOOKUP(G295,'[3]Dispositivos exportados de HP W'!$C:$D,2,FALSE)</f>
        <v>521906</v>
      </c>
      <c r="N295" s="55">
        <f t="shared" si="26"/>
        <v>532</v>
      </c>
      <c r="O295" s="55">
        <f>VLOOKUP(G295,'[4]Dispositivos exportados de HP W'!$C:$D,2,FALSE)</f>
        <v>522262</v>
      </c>
      <c r="P295" s="55">
        <f t="shared" si="27"/>
        <v>356</v>
      </c>
      <c r="Q295" s="55">
        <f>VLOOKUP(G295,'[6]Dispositivos exportados de HP W'!$C:$D,2,FALSE)</f>
        <v>522371</v>
      </c>
      <c r="R295" s="55">
        <f t="shared" si="28"/>
        <v>109</v>
      </c>
      <c r="S295" s="90">
        <f t="shared" si="29"/>
        <v>2227</v>
      </c>
      <c r="T295" s="89">
        <v>46083</v>
      </c>
      <c r="U295" s="14"/>
      <c r="V295" s="105" t="s">
        <v>2383</v>
      </c>
      <c r="W295" s="105" t="str">
        <f>VLOOKUP(C295,'Status oficina'!$A$2:$C$208,3,FALSE)</f>
        <v>Activa</v>
      </c>
    </row>
    <row r="296" spans="1:23" ht="13.5" customHeight="1" x14ac:dyDescent="0.25">
      <c r="A296" s="53" t="s">
        <v>2450</v>
      </c>
      <c r="B296" s="14" t="s">
        <v>756</v>
      </c>
      <c r="C296" s="120">
        <v>9299</v>
      </c>
      <c r="D296" s="14" t="s">
        <v>757</v>
      </c>
      <c r="E296" s="14" t="s">
        <v>420</v>
      </c>
      <c r="F296" s="14" t="s">
        <v>1274</v>
      </c>
      <c r="G296" s="14" t="s">
        <v>52</v>
      </c>
      <c r="H296" s="55">
        <v>610452</v>
      </c>
      <c r="I296" s="55">
        <f>VLOOKUP(G296,'[1]Dispositivos exportados de HP W'!$C:$D,2,FALSE)</f>
        <v>611938</v>
      </c>
      <c r="J296" s="55">
        <f t="shared" si="24"/>
        <v>1486</v>
      </c>
      <c r="K296" s="55">
        <f>VLOOKUP(G296,'[2]Dispositivos exportados de HP W'!$C:$D,2,FALSE)</f>
        <v>613223</v>
      </c>
      <c r="L296" s="55">
        <f t="shared" si="25"/>
        <v>1285</v>
      </c>
      <c r="M296" s="55">
        <f>VLOOKUP(G296,'[3]Dispositivos exportados de HP W'!$C:$D,2,FALSE)</f>
        <v>614095</v>
      </c>
      <c r="N296" s="55">
        <f t="shared" si="26"/>
        <v>872</v>
      </c>
      <c r="O296" s="55">
        <f>VLOOKUP(G296,'[4]Dispositivos exportados de HP W'!$C:$D,2,FALSE)</f>
        <v>615110</v>
      </c>
      <c r="P296" s="55">
        <f t="shared" si="27"/>
        <v>1015</v>
      </c>
      <c r="Q296" s="55">
        <f>VLOOKUP(G296,'[6]Dispositivos exportados de HP W'!$C:$D,2,FALSE)</f>
        <v>615410</v>
      </c>
      <c r="R296" s="55">
        <f t="shared" si="28"/>
        <v>300</v>
      </c>
      <c r="S296" s="90">
        <f t="shared" si="29"/>
        <v>4958</v>
      </c>
      <c r="T296" s="89">
        <v>46083</v>
      </c>
      <c r="U296" s="14"/>
      <c r="V296" s="105" t="s">
        <v>2383</v>
      </c>
      <c r="W296" s="105" t="str">
        <f>VLOOKUP(C296,'Status oficina'!$A$2:$C$208,3,FALSE)</f>
        <v>Activa</v>
      </c>
    </row>
    <row r="297" spans="1:23" ht="13.5" customHeight="1" x14ac:dyDescent="0.25">
      <c r="A297" s="53" t="s">
        <v>2450</v>
      </c>
      <c r="B297" s="14" t="s">
        <v>756</v>
      </c>
      <c r="C297" s="131">
        <v>9299</v>
      </c>
      <c r="D297" s="14" t="s">
        <v>2441</v>
      </c>
      <c r="E297" s="70" t="s">
        <v>416</v>
      </c>
      <c r="F297" s="14" t="s">
        <v>1142</v>
      </c>
      <c r="G297" s="14" t="s">
        <v>297</v>
      </c>
      <c r="H297" s="55">
        <v>125223</v>
      </c>
      <c r="I297" s="55">
        <f>VLOOKUP(G297,'[1]Dispositivos exportados de HP W'!$C:$D,2,FALSE)</f>
        <v>125663</v>
      </c>
      <c r="J297" s="55">
        <f t="shared" si="24"/>
        <v>440</v>
      </c>
      <c r="K297" s="55">
        <f>VLOOKUP(G297,'[2]Dispositivos exportados de HP W'!$C:$D,2,FALSE)</f>
        <v>126005</v>
      </c>
      <c r="L297" s="55">
        <f t="shared" si="25"/>
        <v>342</v>
      </c>
      <c r="M297" s="55">
        <f>VLOOKUP(G297,'[3]Dispositivos exportados de HP W'!$C:$D,2,FALSE)</f>
        <v>126258</v>
      </c>
      <c r="N297" s="55">
        <f t="shared" si="26"/>
        <v>253</v>
      </c>
      <c r="O297" s="55">
        <f>VLOOKUP(G297,'[4]Dispositivos exportados de HP W'!$C:$D,2,FALSE)</f>
        <v>126619</v>
      </c>
      <c r="P297" s="55">
        <f t="shared" si="27"/>
        <v>361</v>
      </c>
      <c r="Q297" s="55">
        <f>VLOOKUP(G297,'[6]Dispositivos exportados de HP W'!$C:$D,2,FALSE)</f>
        <v>126789</v>
      </c>
      <c r="R297" s="55">
        <f t="shared" si="28"/>
        <v>170</v>
      </c>
      <c r="S297" s="90">
        <f t="shared" si="29"/>
        <v>1566</v>
      </c>
      <c r="T297" s="89">
        <v>46083</v>
      </c>
      <c r="U297" s="14" t="s">
        <v>2496</v>
      </c>
      <c r="V297" s="105" t="s">
        <v>2383</v>
      </c>
      <c r="W297" s="105" t="s">
        <v>2236</v>
      </c>
    </row>
    <row r="298" spans="1:23" ht="13.5" customHeight="1" x14ac:dyDescent="0.25">
      <c r="A298" s="14" t="s">
        <v>2451</v>
      </c>
      <c r="B298" s="14" t="s">
        <v>797</v>
      </c>
      <c r="C298" s="19">
        <v>9294</v>
      </c>
      <c r="D298" s="14" t="s">
        <v>798</v>
      </c>
      <c r="E298" s="14" t="s">
        <v>420</v>
      </c>
      <c r="F298" s="14" t="s">
        <v>1298</v>
      </c>
      <c r="G298" s="14" t="s">
        <v>273</v>
      </c>
      <c r="H298" s="55">
        <v>524192</v>
      </c>
      <c r="I298" s="55">
        <f>VLOOKUP(G298,'[1]Dispositivos exportados de HP W'!$C:$D,2,FALSE)</f>
        <v>525087</v>
      </c>
      <c r="J298" s="55">
        <f t="shared" si="24"/>
        <v>895</v>
      </c>
      <c r="K298" s="55">
        <f>VLOOKUP(G298,'[2]Dispositivos exportados de HP W'!$C:$D,2,FALSE)</f>
        <v>525891</v>
      </c>
      <c r="L298" s="55">
        <f t="shared" si="25"/>
        <v>804</v>
      </c>
      <c r="M298" s="55">
        <f>VLOOKUP(G298,'[3]Dispositivos exportados de HP W'!$C:$D,2,FALSE)</f>
        <v>526438</v>
      </c>
      <c r="N298" s="55">
        <f t="shared" si="26"/>
        <v>547</v>
      </c>
      <c r="O298" s="55">
        <f>VLOOKUP(G298,'[4]Dispositivos exportados de HP W'!$C:$D,2,FALSE)</f>
        <v>526928</v>
      </c>
      <c r="P298" s="55">
        <f t="shared" si="27"/>
        <v>490</v>
      </c>
      <c r="Q298" s="55">
        <f>VLOOKUP(G298,'[6]Dispositivos exportados de HP W'!$C:$D,2,FALSE)</f>
        <v>527234</v>
      </c>
      <c r="R298" s="55">
        <f t="shared" si="28"/>
        <v>306</v>
      </c>
      <c r="S298" s="90">
        <f t="shared" si="29"/>
        <v>3042</v>
      </c>
      <c r="T298" s="89">
        <v>46083</v>
      </c>
      <c r="U298" s="14"/>
      <c r="V298" s="105" t="s">
        <v>2383</v>
      </c>
      <c r="W298" s="105" t="str">
        <f>VLOOKUP(C298,'Status oficina'!$A$2:$C$208,3,FALSE)</f>
        <v>Activa</v>
      </c>
    </row>
    <row r="299" spans="1:23" ht="13.5" customHeight="1" x14ac:dyDescent="0.25">
      <c r="A299" s="14" t="s">
        <v>872</v>
      </c>
      <c r="B299" s="14" t="s">
        <v>883</v>
      </c>
      <c r="C299" s="19">
        <v>9830</v>
      </c>
      <c r="D299" s="14" t="s">
        <v>884</v>
      </c>
      <c r="E299" s="14" t="s">
        <v>420</v>
      </c>
      <c r="F299" s="14" t="s">
        <v>1351</v>
      </c>
      <c r="G299" s="14" t="s">
        <v>31</v>
      </c>
      <c r="H299" s="55">
        <v>210796</v>
      </c>
      <c r="I299" s="55">
        <f>VLOOKUP(G299,'[1]Dispositivos exportados de HP W'!$C:$D,2,FALSE)</f>
        <v>210796</v>
      </c>
      <c r="J299" s="55">
        <f t="shared" si="24"/>
        <v>0</v>
      </c>
      <c r="K299" s="55">
        <f>VLOOKUP(G299,'[2]Dispositivos exportados de HP W'!$C:$D,2,FALSE)</f>
        <v>210796</v>
      </c>
      <c r="L299" s="55">
        <f t="shared" si="25"/>
        <v>0</v>
      </c>
      <c r="M299" s="55">
        <f>VLOOKUP(G299,'[3]Dispositivos exportados de HP W'!$C:$D,2,FALSE)</f>
        <v>210796</v>
      </c>
      <c r="N299" s="55">
        <f t="shared" si="26"/>
        <v>0</v>
      </c>
      <c r="O299" s="55">
        <f>VLOOKUP(G299,'[4]Dispositivos exportados de HP W'!$C:$D,2,FALSE)</f>
        <v>210796</v>
      </c>
      <c r="P299" s="55">
        <f t="shared" si="27"/>
        <v>0</v>
      </c>
      <c r="Q299" s="55">
        <f>VLOOKUP(G299,'[6]Dispositivos exportados de HP W'!$C:$D,2,FALSE)</f>
        <v>210796</v>
      </c>
      <c r="R299" s="55">
        <f t="shared" si="28"/>
        <v>0</v>
      </c>
      <c r="S299" s="90">
        <f t="shared" si="29"/>
        <v>0</v>
      </c>
      <c r="T299" s="89">
        <v>46083</v>
      </c>
      <c r="U299" s="57"/>
      <c r="V299" s="105" t="s">
        <v>2383</v>
      </c>
      <c r="W299" s="105" t="str">
        <f>VLOOKUP(C299,'Status oficina'!$A$2:$C$208,3,FALSE)</f>
        <v>Cierre temporal</v>
      </c>
    </row>
    <row r="300" spans="1:23" ht="13.5" customHeight="1" x14ac:dyDescent="0.25">
      <c r="A300" s="14" t="s">
        <v>2451</v>
      </c>
      <c r="B300" s="15" t="s">
        <v>794</v>
      </c>
      <c r="C300" s="19">
        <v>9270</v>
      </c>
      <c r="D300" s="14" t="s">
        <v>795</v>
      </c>
      <c r="E300" s="15" t="s">
        <v>420</v>
      </c>
      <c r="F300" s="14" t="s">
        <v>1296</v>
      </c>
      <c r="G300" s="15" t="s">
        <v>344</v>
      </c>
      <c r="H300" s="55">
        <v>502138</v>
      </c>
      <c r="I300" s="55">
        <f>VLOOKUP(G300,'[1]Dispositivos exportados de HP W'!$C:$D,2,FALSE)</f>
        <v>502138</v>
      </c>
      <c r="J300" s="55">
        <f t="shared" si="24"/>
        <v>0</v>
      </c>
      <c r="K300" s="55">
        <f>VLOOKUP(G300,'[2]Dispositivos exportados de HP W'!$C:$D,2,FALSE)</f>
        <v>502138</v>
      </c>
      <c r="L300" s="55">
        <f t="shared" si="25"/>
        <v>0</v>
      </c>
      <c r="M300" s="55">
        <f>VLOOKUP(G300,'[3]Dispositivos exportados de HP W'!$C:$D,2,FALSE)</f>
        <v>502138</v>
      </c>
      <c r="N300" s="55">
        <f t="shared" si="26"/>
        <v>0</v>
      </c>
      <c r="O300" s="55">
        <f>VLOOKUP(G300,'[4]Dispositivos exportados de HP W'!$C:$D,2,FALSE)</f>
        <v>502138</v>
      </c>
      <c r="P300" s="55">
        <f t="shared" si="27"/>
        <v>0</v>
      </c>
      <c r="Q300" s="55">
        <f>VLOOKUP(G300,'[6]Dispositivos exportados de HP W'!$C:$D,2,FALSE)</f>
        <v>502138</v>
      </c>
      <c r="R300" s="55">
        <f t="shared" si="28"/>
        <v>0</v>
      </c>
      <c r="S300" s="90">
        <f t="shared" si="29"/>
        <v>0</v>
      </c>
      <c r="T300" s="89">
        <v>46083</v>
      </c>
      <c r="U300" s="14" t="s">
        <v>2437</v>
      </c>
      <c r="V300" s="105" t="s">
        <v>2382</v>
      </c>
      <c r="W300" s="105" t="str">
        <f>VLOOKUP(C300,'Status oficina'!$A$2:$C$208,3,FALSE)</f>
        <v>Activa</v>
      </c>
    </row>
    <row r="301" spans="1:23" ht="13.5" customHeight="1" x14ac:dyDescent="0.25">
      <c r="A301" s="14" t="s">
        <v>2089</v>
      </c>
      <c r="B301" s="14" t="s">
        <v>543</v>
      </c>
      <c r="C301" s="120">
        <v>9330</v>
      </c>
      <c r="D301" s="14" t="s">
        <v>544</v>
      </c>
      <c r="E301" s="14" t="s">
        <v>420</v>
      </c>
      <c r="F301" s="14" t="s">
        <v>1154</v>
      </c>
      <c r="G301" s="14" t="s">
        <v>256</v>
      </c>
      <c r="H301" s="55">
        <v>855319</v>
      </c>
      <c r="I301" s="55">
        <f>VLOOKUP(G301,'[1]Dispositivos exportados de HP W'!$C:$D,2,FALSE)</f>
        <v>857437</v>
      </c>
      <c r="J301" s="55">
        <f t="shared" si="24"/>
        <v>2118</v>
      </c>
      <c r="K301" s="55">
        <f>VLOOKUP(G301,'[2]Dispositivos exportados de HP W'!$C:$D,2,FALSE)</f>
        <v>859117</v>
      </c>
      <c r="L301" s="55">
        <f t="shared" si="25"/>
        <v>1680</v>
      </c>
      <c r="M301" s="55">
        <f>VLOOKUP(G301,'[3]Dispositivos exportados de HP W'!$C:$D,2,FALSE)</f>
        <v>860417</v>
      </c>
      <c r="N301" s="55">
        <f t="shared" si="26"/>
        <v>1300</v>
      </c>
      <c r="O301" s="55">
        <f>VLOOKUP(G301,'[4]Dispositivos exportados de HP W'!$C:$D,2,FALSE)</f>
        <v>862138</v>
      </c>
      <c r="P301" s="55">
        <f t="shared" si="27"/>
        <v>1721</v>
      </c>
      <c r="Q301" s="55">
        <f>VLOOKUP(G301,'[6]Dispositivos exportados de HP W'!$C:$D,2,FALSE)</f>
        <v>862779</v>
      </c>
      <c r="R301" s="55">
        <f t="shared" si="28"/>
        <v>641</v>
      </c>
      <c r="S301" s="90">
        <f t="shared" si="29"/>
        <v>7460</v>
      </c>
      <c r="T301" s="89">
        <v>46083</v>
      </c>
      <c r="U301" s="14"/>
      <c r="V301" s="105" t="s">
        <v>2383</v>
      </c>
      <c r="W301" s="105" t="str">
        <f>VLOOKUP(C301,'Status oficina'!$A$2:$C$208,3,FALSE)</f>
        <v>Activa</v>
      </c>
    </row>
    <row r="302" spans="1:23" ht="13.5" customHeight="1" x14ac:dyDescent="0.25">
      <c r="A302" s="53" t="s">
        <v>2450</v>
      </c>
      <c r="B302" s="14" t="s">
        <v>744</v>
      </c>
      <c r="C302" s="120">
        <v>9906</v>
      </c>
      <c r="D302" s="14" t="s">
        <v>745</v>
      </c>
      <c r="E302" s="14" t="s">
        <v>420</v>
      </c>
      <c r="F302" s="14" t="s">
        <v>1266</v>
      </c>
      <c r="G302" s="14" t="s">
        <v>267</v>
      </c>
      <c r="H302" s="55">
        <v>484398</v>
      </c>
      <c r="I302" s="55">
        <f>VLOOKUP(G302,'[1]Dispositivos exportados de HP W'!$C:$D,2,FALSE)</f>
        <v>485317</v>
      </c>
      <c r="J302" s="55">
        <f t="shared" si="24"/>
        <v>919</v>
      </c>
      <c r="K302" s="55">
        <f>VLOOKUP(G302,'[2]Dispositivos exportados de HP W'!$C:$D,2,FALSE)</f>
        <v>486223</v>
      </c>
      <c r="L302" s="55">
        <f t="shared" si="25"/>
        <v>906</v>
      </c>
      <c r="M302" s="55">
        <f>VLOOKUP(G302,'[3]Dispositivos exportados de HP W'!$C:$D,2,FALSE)</f>
        <v>487286</v>
      </c>
      <c r="N302" s="55">
        <f t="shared" si="26"/>
        <v>1063</v>
      </c>
      <c r="O302" s="55">
        <f>VLOOKUP(G302,'[4]Dispositivos exportados de HP W'!$C:$D,2,FALSE)</f>
        <v>488549</v>
      </c>
      <c r="P302" s="55">
        <f t="shared" si="27"/>
        <v>1263</v>
      </c>
      <c r="Q302" s="55">
        <f>VLOOKUP(G302,'[6]Dispositivos exportados de HP W'!$C:$D,2,FALSE)</f>
        <v>489111</v>
      </c>
      <c r="R302" s="55">
        <f t="shared" si="28"/>
        <v>562</v>
      </c>
      <c r="S302" s="90">
        <f t="shared" si="29"/>
        <v>4713</v>
      </c>
      <c r="T302" s="89">
        <v>46083</v>
      </c>
      <c r="U302" s="14"/>
      <c r="V302" s="105" t="s">
        <v>2383</v>
      </c>
      <c r="W302" s="105" t="str">
        <f>VLOOKUP(C302,'Status oficina'!$A$2:$C$208,3,FALSE)</f>
        <v>Activa</v>
      </c>
    </row>
    <row r="303" spans="1:23" ht="13.5" customHeight="1" x14ac:dyDescent="0.25">
      <c r="A303" s="53" t="s">
        <v>2450</v>
      </c>
      <c r="B303" s="15" t="s">
        <v>742</v>
      </c>
      <c r="C303" s="22">
        <v>9345</v>
      </c>
      <c r="D303" s="14" t="s">
        <v>743</v>
      </c>
      <c r="E303" s="15" t="s">
        <v>420</v>
      </c>
      <c r="F303" s="14" t="s">
        <v>1265</v>
      </c>
      <c r="G303" s="15"/>
      <c r="H303" s="55">
        <v>401233</v>
      </c>
      <c r="I303" s="55">
        <v>401233</v>
      </c>
      <c r="J303" s="55">
        <f t="shared" si="24"/>
        <v>0</v>
      </c>
      <c r="K303" s="55">
        <v>401233</v>
      </c>
      <c r="L303" s="55">
        <f t="shared" si="25"/>
        <v>0</v>
      </c>
      <c r="M303" s="55">
        <v>401233</v>
      </c>
      <c r="N303" s="55">
        <f t="shared" si="26"/>
        <v>0</v>
      </c>
      <c r="O303" s="55">
        <v>401233</v>
      </c>
      <c r="P303" s="55">
        <f t="shared" si="27"/>
        <v>0</v>
      </c>
      <c r="Q303" s="55">
        <v>401233</v>
      </c>
      <c r="R303" s="55">
        <f t="shared" si="28"/>
        <v>0</v>
      </c>
      <c r="S303" s="90">
        <f t="shared" si="29"/>
        <v>0</v>
      </c>
      <c r="T303" s="89">
        <v>46083</v>
      </c>
      <c r="U303" s="14" t="s">
        <v>2462</v>
      </c>
      <c r="V303" s="105" t="s">
        <v>2382</v>
      </c>
      <c r="W303" s="105" t="s">
        <v>2236</v>
      </c>
    </row>
    <row r="304" spans="1:23" ht="13.5" customHeight="1" x14ac:dyDescent="0.25">
      <c r="A304" s="14" t="s">
        <v>872</v>
      </c>
      <c r="B304" s="14" t="s">
        <v>932</v>
      </c>
      <c r="C304" s="120">
        <v>9824</v>
      </c>
      <c r="D304" s="14" t="s">
        <v>933</v>
      </c>
      <c r="E304" s="14" t="s">
        <v>420</v>
      </c>
      <c r="F304" s="14" t="s">
        <v>1388</v>
      </c>
      <c r="G304" s="14" t="s">
        <v>111</v>
      </c>
      <c r="H304" s="55">
        <v>932168</v>
      </c>
      <c r="I304" s="55">
        <f>VLOOKUP(G304,'[1]Dispositivos exportados de HP W'!$C:$D,2,FALSE)</f>
        <v>934577</v>
      </c>
      <c r="J304" s="55">
        <f t="shared" si="24"/>
        <v>2409</v>
      </c>
      <c r="K304" s="55">
        <f>VLOOKUP(G304,'[2]Dispositivos exportados de HP W'!$C:$D,2,FALSE)</f>
        <v>937114</v>
      </c>
      <c r="L304" s="55">
        <f t="shared" si="25"/>
        <v>2537</v>
      </c>
      <c r="M304" s="55">
        <f>VLOOKUP(G304,'[3]Dispositivos exportados de HP W'!$C:$D,2,FALSE)</f>
        <v>938949</v>
      </c>
      <c r="N304" s="55">
        <f t="shared" si="26"/>
        <v>1835</v>
      </c>
      <c r="O304" s="55">
        <f>VLOOKUP(G304,'[4]Dispositivos exportados de HP W'!$C:$D,2,FALSE)</f>
        <v>941688</v>
      </c>
      <c r="P304" s="55">
        <f t="shared" si="27"/>
        <v>2739</v>
      </c>
      <c r="Q304" s="55">
        <f>VLOOKUP(G304,'[6]Dispositivos exportados de HP W'!$C:$D,2,FALSE)</f>
        <v>942535</v>
      </c>
      <c r="R304" s="55">
        <f t="shared" si="28"/>
        <v>847</v>
      </c>
      <c r="S304" s="90">
        <f t="shared" si="29"/>
        <v>10367</v>
      </c>
      <c r="T304" s="89">
        <v>46083</v>
      </c>
      <c r="U304" s="14"/>
      <c r="V304" s="105" t="s">
        <v>2383</v>
      </c>
      <c r="W304" s="105" t="str">
        <f>VLOOKUP(C304,'Status oficina'!$A$2:$C$208,3,FALSE)</f>
        <v>Activa</v>
      </c>
    </row>
    <row r="305" spans="1:23" ht="13.5" customHeight="1" x14ac:dyDescent="0.25">
      <c r="A305" s="53" t="s">
        <v>2450</v>
      </c>
      <c r="B305" s="14" t="s">
        <v>754</v>
      </c>
      <c r="C305" s="120">
        <v>9349</v>
      </c>
      <c r="D305" s="14" t="s">
        <v>755</v>
      </c>
      <c r="E305" s="14" t="s">
        <v>420</v>
      </c>
      <c r="F305" s="14" t="s">
        <v>1273</v>
      </c>
      <c r="G305" s="14" t="s">
        <v>57</v>
      </c>
      <c r="H305" s="55">
        <v>384678</v>
      </c>
      <c r="I305" s="55">
        <f>VLOOKUP(G305,'[1]Dispositivos exportados de HP W'!$C:$D,2,FALSE)</f>
        <v>384678</v>
      </c>
      <c r="J305" s="55">
        <f t="shared" si="24"/>
        <v>0</v>
      </c>
      <c r="K305" s="55">
        <f>VLOOKUP(G305,'[2]Dispositivos exportados de HP W'!$C:$D,2,FALSE)</f>
        <v>384687</v>
      </c>
      <c r="L305" s="55">
        <f t="shared" si="25"/>
        <v>9</v>
      </c>
      <c r="M305" s="55">
        <f>VLOOKUP(G305,'[3]Dispositivos exportados de HP W'!$C:$D,2,FALSE)</f>
        <v>384687</v>
      </c>
      <c r="N305" s="55">
        <f t="shared" si="26"/>
        <v>0</v>
      </c>
      <c r="O305" s="55">
        <f>VLOOKUP(G305,'[4]Dispositivos exportados de HP W'!$C:$D,2,FALSE)</f>
        <v>384687</v>
      </c>
      <c r="P305" s="55">
        <f t="shared" si="27"/>
        <v>0</v>
      </c>
      <c r="Q305" s="55">
        <f>VLOOKUP(G305,'[6]Dispositivos exportados de HP W'!$C:$D,2,FALSE)</f>
        <v>384687</v>
      </c>
      <c r="R305" s="55">
        <f t="shared" si="28"/>
        <v>0</v>
      </c>
      <c r="S305" s="90">
        <f t="shared" si="29"/>
        <v>9</v>
      </c>
      <c r="T305" s="89">
        <v>46083</v>
      </c>
      <c r="U305" s="14"/>
      <c r="V305" s="105" t="s">
        <v>2239</v>
      </c>
      <c r="W305" s="105" t="s">
        <v>2239</v>
      </c>
    </row>
    <row r="306" spans="1:23" ht="13.5" customHeight="1" x14ac:dyDescent="0.25">
      <c r="A306" s="14" t="s">
        <v>946</v>
      </c>
      <c r="B306" s="14" t="s">
        <v>1029</v>
      </c>
      <c r="C306" s="120">
        <v>9615</v>
      </c>
      <c r="D306" s="14" t="s">
        <v>1030</v>
      </c>
      <c r="E306" s="14" t="s">
        <v>420</v>
      </c>
      <c r="F306" s="14" t="s">
        <v>1449</v>
      </c>
      <c r="G306" s="14" t="s">
        <v>219</v>
      </c>
      <c r="H306" s="55">
        <v>312358</v>
      </c>
      <c r="I306" s="55">
        <f>VLOOKUP(G306,'[1]Dispositivos exportados de HP W'!$C:$D,2,FALSE)</f>
        <v>312358</v>
      </c>
      <c r="J306" s="55">
        <f t="shared" si="24"/>
        <v>0</v>
      </c>
      <c r="K306" s="55">
        <f>VLOOKUP(G306,'[2]Dispositivos exportados de HP W'!$C:$D,2,FALSE)</f>
        <v>312358</v>
      </c>
      <c r="L306" s="55">
        <f t="shared" si="25"/>
        <v>0</v>
      </c>
      <c r="M306" s="55">
        <f>VLOOKUP(G306,'[3]Dispositivos exportados de HP W'!$C:$D,2,FALSE)</f>
        <v>312358</v>
      </c>
      <c r="N306" s="55">
        <f t="shared" si="26"/>
        <v>0</v>
      </c>
      <c r="O306" s="55">
        <f>VLOOKUP(G306,'[4]Dispositivos exportados de HP W'!$C:$D,2,FALSE)</f>
        <v>312358</v>
      </c>
      <c r="P306" s="55">
        <f t="shared" si="27"/>
        <v>0</v>
      </c>
      <c r="Q306" s="55">
        <f>VLOOKUP(G306,'[6]Dispositivos exportados de HP W'!$C:$D,2,FALSE)</f>
        <v>312358</v>
      </c>
      <c r="R306" s="55">
        <f t="shared" si="28"/>
        <v>0</v>
      </c>
      <c r="S306" s="90">
        <f t="shared" si="29"/>
        <v>0</v>
      </c>
      <c r="T306" s="89">
        <v>46083</v>
      </c>
      <c r="U306" s="14" t="s">
        <v>2464</v>
      </c>
      <c r="V306" s="105" t="s">
        <v>2383</v>
      </c>
      <c r="W306" s="105" t="str">
        <f>VLOOKUP(C306,'Status oficina'!$A$2:$C$208,3,FALSE)</f>
        <v>Activa</v>
      </c>
    </row>
    <row r="307" spans="1:23" ht="13.5" customHeight="1" x14ac:dyDescent="0.25">
      <c r="A307" s="14" t="s">
        <v>2451</v>
      </c>
      <c r="B307" s="14" t="s">
        <v>846</v>
      </c>
      <c r="C307" s="120">
        <v>9238</v>
      </c>
      <c r="D307" s="14" t="s">
        <v>847</v>
      </c>
      <c r="E307" s="14" t="s">
        <v>420</v>
      </c>
      <c r="F307" s="14" t="s">
        <v>848</v>
      </c>
      <c r="G307" s="14" t="s">
        <v>149</v>
      </c>
      <c r="H307" s="55">
        <v>378408</v>
      </c>
      <c r="I307" s="55">
        <f>VLOOKUP(G307,'[1]Dispositivos exportados de HP W'!$C:$D,2,FALSE)</f>
        <v>380175</v>
      </c>
      <c r="J307" s="55">
        <f t="shared" si="24"/>
        <v>1767</v>
      </c>
      <c r="K307" s="55">
        <f>VLOOKUP(G307,'[2]Dispositivos exportados de HP W'!$C:$D,2,FALSE)</f>
        <v>381360</v>
      </c>
      <c r="L307" s="55">
        <f t="shared" si="25"/>
        <v>1185</v>
      </c>
      <c r="M307" s="55">
        <f>VLOOKUP(G307,'[3]Dispositivos exportados de HP W'!$C:$D,2,FALSE)</f>
        <v>382511</v>
      </c>
      <c r="N307" s="55">
        <f t="shared" si="26"/>
        <v>1151</v>
      </c>
      <c r="O307" s="55">
        <f>VLOOKUP(G307,'[4]Dispositivos exportados de HP W'!$C:$D,2,FALSE)</f>
        <v>384082</v>
      </c>
      <c r="P307" s="55">
        <f t="shared" si="27"/>
        <v>1571</v>
      </c>
      <c r="Q307" s="55">
        <f>VLOOKUP(G307,'[6]Dispositivos exportados de HP W'!$C:$D,2,FALSE)</f>
        <v>384611</v>
      </c>
      <c r="R307" s="55">
        <f t="shared" si="28"/>
        <v>529</v>
      </c>
      <c r="S307" s="90">
        <f t="shared" si="29"/>
        <v>6203</v>
      </c>
      <c r="T307" s="89">
        <v>46083</v>
      </c>
      <c r="U307" s="8"/>
      <c r="V307" s="105" t="s">
        <v>2383</v>
      </c>
      <c r="W307" s="105" t="str">
        <f>VLOOKUP(C307,'Status oficina'!$A$2:$C$208,3,FALSE)</f>
        <v>Activa</v>
      </c>
    </row>
    <row r="308" spans="1:23" ht="13.5" customHeight="1" x14ac:dyDescent="0.25">
      <c r="A308" s="14" t="s">
        <v>2089</v>
      </c>
      <c r="B308" s="14" t="s">
        <v>558</v>
      </c>
      <c r="C308" s="19">
        <v>9388</v>
      </c>
      <c r="D308" s="14" t="s">
        <v>559</v>
      </c>
      <c r="E308" s="14" t="s">
        <v>420</v>
      </c>
      <c r="F308" s="14" t="s">
        <v>1312</v>
      </c>
      <c r="G308" s="14" t="s">
        <v>6</v>
      </c>
      <c r="H308" s="55">
        <v>316998</v>
      </c>
      <c r="I308" s="55">
        <f>VLOOKUP(G308,'[1]Dispositivos exportados de HP W'!$C:$D,2,FALSE)</f>
        <v>316998</v>
      </c>
      <c r="J308" s="55">
        <f t="shared" si="24"/>
        <v>0</v>
      </c>
      <c r="K308" s="55">
        <f>VLOOKUP(G308,'[2]Dispositivos exportados de HP W'!$C:$D,2,FALSE)</f>
        <v>316998</v>
      </c>
      <c r="L308" s="55">
        <f t="shared" si="25"/>
        <v>0</v>
      </c>
      <c r="M308" s="55">
        <f>VLOOKUP(G308,'[3]Dispositivos exportados de HP W'!$C:$D,2,FALSE)</f>
        <v>316998</v>
      </c>
      <c r="N308" s="55">
        <f t="shared" si="26"/>
        <v>0</v>
      </c>
      <c r="O308" s="55">
        <f>VLOOKUP(G308,'[4]Dispositivos exportados de HP W'!$C:$D,2,FALSE)</f>
        <v>316998</v>
      </c>
      <c r="P308" s="55">
        <f t="shared" si="27"/>
        <v>0</v>
      </c>
      <c r="Q308" s="55">
        <f>VLOOKUP(G308,'[6]Dispositivos exportados de HP W'!$C:$D,2,FALSE)</f>
        <v>316998</v>
      </c>
      <c r="R308" s="55">
        <f t="shared" si="28"/>
        <v>0</v>
      </c>
      <c r="S308" s="90">
        <f t="shared" si="29"/>
        <v>0</v>
      </c>
      <c r="T308" s="89">
        <v>46083</v>
      </c>
      <c r="U308" s="14"/>
      <c r="V308" s="105" t="s">
        <v>2239</v>
      </c>
      <c r="W308" s="105" t="s">
        <v>2239</v>
      </c>
    </row>
    <row r="309" spans="1:23" ht="13.5" customHeight="1" x14ac:dyDescent="0.25">
      <c r="A309" s="53" t="s">
        <v>872</v>
      </c>
      <c r="B309" s="53" t="s">
        <v>431</v>
      </c>
      <c r="C309" s="120">
        <v>9837</v>
      </c>
      <c r="D309" s="14" t="s">
        <v>437</v>
      </c>
      <c r="E309" s="14" t="s">
        <v>420</v>
      </c>
      <c r="F309" s="14" t="s">
        <v>1083</v>
      </c>
      <c r="G309" s="14" t="s">
        <v>150</v>
      </c>
      <c r="H309" s="55">
        <v>502556</v>
      </c>
      <c r="I309" s="55">
        <f>VLOOKUP(G309,'[1]Dispositivos exportados de HP W'!$C:$D,2,FALSE)</f>
        <v>502995</v>
      </c>
      <c r="J309" s="55">
        <f t="shared" si="24"/>
        <v>439</v>
      </c>
      <c r="K309" s="55">
        <f>VLOOKUP(G309,'[2]Dispositivos exportados de HP W'!$C:$D,2,FALSE)</f>
        <v>503681</v>
      </c>
      <c r="L309" s="55">
        <f t="shared" si="25"/>
        <v>686</v>
      </c>
      <c r="M309" s="55">
        <f>VLOOKUP(G309,'[3]Dispositivos exportados de HP W'!$C:$D,2,FALSE)</f>
        <v>504156</v>
      </c>
      <c r="N309" s="55">
        <f t="shared" si="26"/>
        <v>475</v>
      </c>
      <c r="O309" s="55">
        <f>VLOOKUP(G309,'[4]Dispositivos exportados de HP W'!$C:$D,2,FALSE)</f>
        <v>504735</v>
      </c>
      <c r="P309" s="55">
        <f t="shared" si="27"/>
        <v>579</v>
      </c>
      <c r="Q309" s="55">
        <f>VLOOKUP(G309,'[6]Dispositivos exportados de HP W'!$C:$D,2,FALSE)</f>
        <v>505107</v>
      </c>
      <c r="R309" s="55">
        <f t="shared" si="28"/>
        <v>372</v>
      </c>
      <c r="S309" s="90">
        <f t="shared" si="29"/>
        <v>2551</v>
      </c>
      <c r="T309" s="89">
        <v>46083</v>
      </c>
      <c r="U309" s="14"/>
      <c r="V309" s="105" t="s">
        <v>2383</v>
      </c>
      <c r="W309" s="105" t="str">
        <f>VLOOKUP(C309,'Status oficina'!$A$2:$C$208,3,FALSE)</f>
        <v>Activa</v>
      </c>
    </row>
    <row r="310" spans="1:23" ht="13.5" customHeight="1" x14ac:dyDescent="0.25">
      <c r="A310" s="14" t="s">
        <v>946</v>
      </c>
      <c r="B310" s="14" t="s">
        <v>1018</v>
      </c>
      <c r="C310" s="19">
        <v>9653</v>
      </c>
      <c r="D310" s="14" t="s">
        <v>1726</v>
      </c>
      <c r="E310" s="14" t="s">
        <v>420</v>
      </c>
      <c r="F310" s="14" t="s">
        <v>1439</v>
      </c>
      <c r="G310" s="14" t="s">
        <v>21</v>
      </c>
      <c r="H310" s="55">
        <v>181950</v>
      </c>
      <c r="I310" s="55">
        <f>VLOOKUP(G310,'[1]Dispositivos exportados de HP W'!$C:$D,2,FALSE)</f>
        <v>181950</v>
      </c>
      <c r="J310" s="55">
        <f t="shared" si="24"/>
        <v>0</v>
      </c>
      <c r="K310" s="55">
        <f>VLOOKUP(G310,'[2]Dispositivos exportados de HP W'!$C:$D,2,FALSE)</f>
        <v>181950</v>
      </c>
      <c r="L310" s="55">
        <f t="shared" si="25"/>
        <v>0</v>
      </c>
      <c r="M310" s="55">
        <f>VLOOKUP(G310,'[3]Dispositivos exportados de HP W'!$C:$D,2,FALSE)</f>
        <v>181950</v>
      </c>
      <c r="N310" s="55">
        <f t="shared" si="26"/>
        <v>0</v>
      </c>
      <c r="O310" s="55">
        <f>VLOOKUP(G310,'[4]Dispositivos exportados de HP W'!$C:$D,2,FALSE)</f>
        <v>181950</v>
      </c>
      <c r="P310" s="55">
        <f t="shared" si="27"/>
        <v>0</v>
      </c>
      <c r="Q310" s="55">
        <f>VLOOKUP(G310,'[6]Dispositivos exportados de HP W'!$C:$D,2,FALSE)</f>
        <v>181950</v>
      </c>
      <c r="R310" s="55">
        <f t="shared" si="28"/>
        <v>0</v>
      </c>
      <c r="S310" s="90">
        <f t="shared" si="29"/>
        <v>0</v>
      </c>
      <c r="T310" s="89">
        <v>46083</v>
      </c>
      <c r="U310" s="14"/>
      <c r="V310" s="105" t="s">
        <v>2239</v>
      </c>
      <c r="W310" s="105" t="s">
        <v>2239</v>
      </c>
    </row>
    <row r="311" spans="1:23" ht="13.5" customHeight="1" x14ac:dyDescent="0.25">
      <c r="A311" s="14" t="s">
        <v>2451</v>
      </c>
      <c r="B311" s="14" t="s">
        <v>788</v>
      </c>
      <c r="C311" s="19">
        <v>9911</v>
      </c>
      <c r="D311" s="14" t="s">
        <v>789</v>
      </c>
      <c r="E311" s="14" t="s">
        <v>420</v>
      </c>
      <c r="F311" s="14" t="s">
        <v>1292</v>
      </c>
      <c r="G311" s="14" t="s">
        <v>227</v>
      </c>
      <c r="H311" s="55">
        <v>408591</v>
      </c>
      <c r="I311" s="55">
        <f>VLOOKUP(G311,'[1]Dispositivos exportados de HP W'!$C:$D,2,FALSE)</f>
        <v>409214</v>
      </c>
      <c r="J311" s="55">
        <f t="shared" si="24"/>
        <v>623</v>
      </c>
      <c r="K311" s="55">
        <f>VLOOKUP(G311,'[2]Dispositivos exportados de HP W'!$C:$D,2,FALSE)</f>
        <v>409916</v>
      </c>
      <c r="L311" s="55">
        <f t="shared" si="25"/>
        <v>702</v>
      </c>
      <c r="M311" s="55">
        <f>VLOOKUP(G311,'[3]Dispositivos exportados de HP W'!$C:$D,2,FALSE)</f>
        <v>410358</v>
      </c>
      <c r="N311" s="55">
        <f t="shared" si="26"/>
        <v>442</v>
      </c>
      <c r="O311" s="55">
        <f>VLOOKUP(G311,'[4]Dispositivos exportados de HP W'!$C:$D,2,FALSE)</f>
        <v>411012</v>
      </c>
      <c r="P311" s="55">
        <f t="shared" si="27"/>
        <v>654</v>
      </c>
      <c r="Q311" s="55">
        <f>VLOOKUP(G311,'[6]Dispositivos exportados de HP W'!$C:$D,2,FALSE)</f>
        <v>411280</v>
      </c>
      <c r="R311" s="55">
        <f t="shared" si="28"/>
        <v>268</v>
      </c>
      <c r="S311" s="90">
        <f t="shared" si="29"/>
        <v>2689</v>
      </c>
      <c r="T311" s="89">
        <v>46083</v>
      </c>
      <c r="U311" s="14"/>
      <c r="V311" s="105" t="s">
        <v>2383</v>
      </c>
      <c r="W311" s="105" t="str">
        <f>VLOOKUP(C311,'Status oficina'!$A$2:$C$208,3,FALSE)</f>
        <v>Activa</v>
      </c>
    </row>
    <row r="312" spans="1:23" ht="13.5" customHeight="1" x14ac:dyDescent="0.25">
      <c r="A312" s="14" t="s">
        <v>2451</v>
      </c>
      <c r="B312" s="14" t="s">
        <v>861</v>
      </c>
      <c r="C312" s="22">
        <v>9915</v>
      </c>
      <c r="D312" s="14" t="s">
        <v>863</v>
      </c>
      <c r="E312" s="14" t="s">
        <v>420</v>
      </c>
      <c r="F312" s="14" t="s">
        <v>1339</v>
      </c>
      <c r="G312" s="14" t="s">
        <v>189</v>
      </c>
      <c r="H312" s="55">
        <v>264946</v>
      </c>
      <c r="I312" s="55">
        <f>VLOOKUP(G312,'[1]Dispositivos exportados de HP W'!$C:$D,2,FALSE)</f>
        <v>264946</v>
      </c>
      <c r="J312" s="55">
        <f t="shared" si="24"/>
        <v>0</v>
      </c>
      <c r="K312" s="55">
        <f>VLOOKUP(G312,'[2]Dispositivos exportados de HP W'!$C:$D,2,FALSE)</f>
        <v>264946</v>
      </c>
      <c r="L312" s="55">
        <f t="shared" si="25"/>
        <v>0</v>
      </c>
      <c r="M312" s="55">
        <f>VLOOKUP(G312,'[3]Dispositivos exportados de HP W'!$C:$D,2,FALSE)</f>
        <v>264946</v>
      </c>
      <c r="N312" s="55">
        <f t="shared" si="26"/>
        <v>0</v>
      </c>
      <c r="O312" s="55">
        <f>VLOOKUP(G312,'[4]Dispositivos exportados de HP W'!$C:$D,2,FALSE)</f>
        <v>264946</v>
      </c>
      <c r="P312" s="55">
        <f t="shared" si="27"/>
        <v>0</v>
      </c>
      <c r="Q312" s="55">
        <f>VLOOKUP(G312,'[6]Dispositivos exportados de HP W'!$C:$D,2,FALSE)</f>
        <v>264946</v>
      </c>
      <c r="R312" s="55">
        <f t="shared" si="28"/>
        <v>0</v>
      </c>
      <c r="S312" s="90">
        <f t="shared" si="29"/>
        <v>0</v>
      </c>
      <c r="T312" s="89">
        <v>46083</v>
      </c>
      <c r="U312" s="14"/>
      <c r="V312" s="105" t="s">
        <v>2239</v>
      </c>
      <c r="W312" s="105" t="str">
        <f>VLOOKUP(C312,'Status oficina'!$A$2:$C$208,3,FALSE)</f>
        <v>Cierre temporal</v>
      </c>
    </row>
    <row r="313" spans="1:23" ht="13.5" customHeight="1" x14ac:dyDescent="0.25">
      <c r="A313" s="14" t="s">
        <v>2451</v>
      </c>
      <c r="B313" s="14" t="s">
        <v>861</v>
      </c>
      <c r="C313" s="22">
        <v>9915</v>
      </c>
      <c r="D313" s="14" t="s">
        <v>862</v>
      </c>
      <c r="E313" s="14" t="s">
        <v>416</v>
      </c>
      <c r="F313" s="14" t="s">
        <v>1338</v>
      </c>
      <c r="G313" s="14" t="s">
        <v>120</v>
      </c>
      <c r="H313" s="55">
        <v>103947</v>
      </c>
      <c r="I313" s="55">
        <f>VLOOKUP(G313,'[1]Dispositivos exportados de HP W'!$C:$D,2,FALSE)</f>
        <v>103947</v>
      </c>
      <c r="J313" s="55">
        <f t="shared" si="24"/>
        <v>0</v>
      </c>
      <c r="K313" s="55">
        <f>VLOOKUP(G313,'[2]Dispositivos exportados de HP W'!$C:$D,2,FALSE)</f>
        <v>103947</v>
      </c>
      <c r="L313" s="55">
        <f t="shared" si="25"/>
        <v>0</v>
      </c>
      <c r="M313" s="55">
        <f>VLOOKUP(G313,'[3]Dispositivos exportados de HP W'!$C:$D,2,FALSE)</f>
        <v>103947</v>
      </c>
      <c r="N313" s="55">
        <f t="shared" si="26"/>
        <v>0</v>
      </c>
      <c r="O313" s="55">
        <f>VLOOKUP(G313,'[4]Dispositivos exportados de HP W'!$C:$D,2,FALSE)</f>
        <v>103947</v>
      </c>
      <c r="P313" s="55">
        <f t="shared" si="27"/>
        <v>0</v>
      </c>
      <c r="Q313" s="55">
        <f>VLOOKUP(G313,'[6]Dispositivos exportados de HP W'!$C:$D,2,FALSE)</f>
        <v>103947</v>
      </c>
      <c r="R313" s="55">
        <f t="shared" si="28"/>
        <v>0</v>
      </c>
      <c r="S313" s="90">
        <f t="shared" si="29"/>
        <v>0</v>
      </c>
      <c r="T313" s="89">
        <v>46083</v>
      </c>
      <c r="U313" s="14"/>
      <c r="V313" s="105" t="s">
        <v>2239</v>
      </c>
      <c r="W313" s="105" t="str">
        <f>VLOOKUP(C313,'Status oficina'!$A$2:$C$208,3,FALSE)</f>
        <v>Cierre temporal</v>
      </c>
    </row>
    <row r="314" spans="1:23" ht="13.5" customHeight="1" x14ac:dyDescent="0.25">
      <c r="A314" s="53" t="s">
        <v>2450</v>
      </c>
      <c r="B314" s="14" t="s">
        <v>2402</v>
      </c>
      <c r="C314" s="120">
        <v>9217</v>
      </c>
      <c r="D314" s="14" t="s">
        <v>693</v>
      </c>
      <c r="E314" s="14" t="s">
        <v>420</v>
      </c>
      <c r="F314" s="14" t="s">
        <v>1962</v>
      </c>
      <c r="G314" s="14" t="s">
        <v>2179</v>
      </c>
      <c r="H314" s="55">
        <v>310090</v>
      </c>
      <c r="I314" s="55">
        <f>VLOOKUP(G314,'[1]Dispositivos exportados de HP W'!$C:$D,2,FALSE)</f>
        <v>311691</v>
      </c>
      <c r="J314" s="55">
        <f t="shared" si="24"/>
        <v>1601</v>
      </c>
      <c r="K314" s="55">
        <f>VLOOKUP(G314,'[2]Dispositivos exportados de HP W'!$C:$D,2,FALSE)</f>
        <v>313238</v>
      </c>
      <c r="L314" s="55">
        <f t="shared" si="25"/>
        <v>1547</v>
      </c>
      <c r="M314" s="55">
        <f>VLOOKUP(G314,'[3]Dispositivos exportados de HP W'!$C:$D,2,FALSE)</f>
        <v>314444</v>
      </c>
      <c r="N314" s="55">
        <f t="shared" si="26"/>
        <v>1206</v>
      </c>
      <c r="O314" s="55">
        <f>VLOOKUP(G314,'[4]Dispositivos exportados de HP W'!$C:$D,2,FALSE)</f>
        <v>316073</v>
      </c>
      <c r="P314" s="55">
        <f t="shared" si="27"/>
        <v>1629</v>
      </c>
      <c r="Q314" s="55">
        <f>VLOOKUP(G314,'[6]Dispositivos exportados de HP W'!$C:$D,2,FALSE)</f>
        <v>316800</v>
      </c>
      <c r="R314" s="55">
        <f t="shared" si="28"/>
        <v>727</v>
      </c>
      <c r="S314" s="90">
        <f t="shared" si="29"/>
        <v>6710</v>
      </c>
      <c r="T314" s="89">
        <v>46083</v>
      </c>
      <c r="U314" s="14"/>
      <c r="V314" s="105" t="s">
        <v>2383</v>
      </c>
      <c r="W314" s="105" t="str">
        <f>VLOOKUP(C314,'Status oficina'!$A$2:$C$208,3,FALSE)</f>
        <v>Activa</v>
      </c>
    </row>
    <row r="315" spans="1:23" ht="13.5" customHeight="1" x14ac:dyDescent="0.25">
      <c r="A315" s="14" t="s">
        <v>2451</v>
      </c>
      <c r="B315" s="14" t="s">
        <v>869</v>
      </c>
      <c r="C315" s="22">
        <v>9928</v>
      </c>
      <c r="D315" s="14" t="s">
        <v>870</v>
      </c>
      <c r="E315" s="14" t="s">
        <v>416</v>
      </c>
      <c r="F315" s="14" t="s">
        <v>871</v>
      </c>
      <c r="G315" s="14" t="s">
        <v>404</v>
      </c>
      <c r="H315" s="55">
        <v>96469</v>
      </c>
      <c r="I315" s="55">
        <f>VLOOKUP(G315,'[1]Dispositivos exportados de HP W'!$C:$D,2,FALSE)</f>
        <v>96469</v>
      </c>
      <c r="J315" s="55">
        <f t="shared" si="24"/>
        <v>0</v>
      </c>
      <c r="K315" s="55">
        <f>VLOOKUP(G315,'[2]Dispositivos exportados de HP W'!$C:$D,2,FALSE)</f>
        <v>96469</v>
      </c>
      <c r="L315" s="55">
        <f t="shared" si="25"/>
        <v>0</v>
      </c>
      <c r="M315" s="55">
        <f>VLOOKUP(G315,'[3]Dispositivos exportados de HP W'!$C:$D,2,FALSE)</f>
        <v>96469</v>
      </c>
      <c r="N315" s="55">
        <f t="shared" si="26"/>
        <v>0</v>
      </c>
      <c r="O315" s="55">
        <f>VLOOKUP(G315,'[4]Dispositivos exportados de HP W'!$C:$D,2,FALSE)</f>
        <v>96469</v>
      </c>
      <c r="P315" s="55">
        <f t="shared" si="27"/>
        <v>0</v>
      </c>
      <c r="Q315" s="55">
        <f>VLOOKUP(G315,'[6]Dispositivos exportados de HP W'!$C:$D,2,FALSE)</f>
        <v>96469</v>
      </c>
      <c r="R315" s="55">
        <f t="shared" si="28"/>
        <v>0</v>
      </c>
      <c r="S315" s="90">
        <f t="shared" si="29"/>
        <v>0</v>
      </c>
      <c r="T315" s="89">
        <v>46083</v>
      </c>
      <c r="U315" s="8"/>
      <c r="V315" s="105" t="s">
        <v>2239</v>
      </c>
      <c r="W315" s="105" t="str">
        <f>VLOOKUP(C315,'Status oficina'!$A$2:$C$208,3,FALSE)</f>
        <v>Cierre temporal</v>
      </c>
    </row>
    <row r="316" spans="1:23" ht="13.5" customHeight="1" x14ac:dyDescent="0.25">
      <c r="A316" s="14" t="s">
        <v>2089</v>
      </c>
      <c r="B316" s="14" t="s">
        <v>621</v>
      </c>
      <c r="C316" s="19">
        <v>9448</v>
      </c>
      <c r="D316" s="14" t="s">
        <v>622</v>
      </c>
      <c r="E316" s="14" t="s">
        <v>420</v>
      </c>
      <c r="F316" s="14" t="s">
        <v>1065</v>
      </c>
      <c r="G316" s="14" t="s">
        <v>196</v>
      </c>
      <c r="H316" s="55">
        <v>410144</v>
      </c>
      <c r="I316" s="55">
        <f>VLOOKUP(G316,'[1]Dispositivos exportados de HP W'!$C:$D,2,FALSE)</f>
        <v>411675</v>
      </c>
      <c r="J316" s="55">
        <f t="shared" si="24"/>
        <v>1531</v>
      </c>
      <c r="K316" s="55">
        <f>VLOOKUP(G316,'[2]Dispositivos exportados de HP W'!$C:$D,2,FALSE)</f>
        <v>412599</v>
      </c>
      <c r="L316" s="55">
        <f t="shared" si="25"/>
        <v>924</v>
      </c>
      <c r="M316" s="55">
        <f>VLOOKUP(G316,'[3]Dispositivos exportados de HP W'!$C:$D,2,FALSE)</f>
        <v>413778</v>
      </c>
      <c r="N316" s="55">
        <f t="shared" si="26"/>
        <v>1179</v>
      </c>
      <c r="O316" s="55">
        <f>VLOOKUP(G316,'[4]Dispositivos exportados de HP W'!$C:$D,2,FALSE)</f>
        <v>415199</v>
      </c>
      <c r="P316" s="55">
        <f t="shared" si="27"/>
        <v>1421</v>
      </c>
      <c r="Q316" s="55">
        <f>VLOOKUP(G316,'[6]Dispositivos exportados de HP W'!$C:$D,2,FALSE)</f>
        <v>415572</v>
      </c>
      <c r="R316" s="55">
        <f t="shared" si="28"/>
        <v>373</v>
      </c>
      <c r="S316" s="90">
        <f t="shared" si="29"/>
        <v>5428</v>
      </c>
      <c r="T316" s="89">
        <v>46083</v>
      </c>
      <c r="U316" s="54"/>
      <c r="V316" s="105" t="s">
        <v>2383</v>
      </c>
      <c r="W316" s="105" t="str">
        <f>VLOOKUP(C316,'Status oficina'!$A$2:$C$208,3,FALSE)</f>
        <v>Activa</v>
      </c>
    </row>
    <row r="317" spans="1:23" ht="13.5" customHeight="1" x14ac:dyDescent="0.25">
      <c r="A317" s="14" t="s">
        <v>2451</v>
      </c>
      <c r="B317" s="14" t="s">
        <v>782</v>
      </c>
      <c r="C317" s="19">
        <v>9932</v>
      </c>
      <c r="D317" s="14" t="s">
        <v>783</v>
      </c>
      <c r="E317" s="14" t="s">
        <v>416</v>
      </c>
      <c r="F317" s="14" t="s">
        <v>1288</v>
      </c>
      <c r="G317" s="14" t="s">
        <v>336</v>
      </c>
      <c r="H317" s="55">
        <v>274989</v>
      </c>
      <c r="I317" s="55">
        <f>VLOOKUP(G317,'[1]Dispositivos exportados de HP W'!$C:$D,2,FALSE)</f>
        <v>274989</v>
      </c>
      <c r="J317" s="55">
        <f t="shared" si="24"/>
        <v>0</v>
      </c>
      <c r="K317" s="55">
        <f>VLOOKUP(G317,'[2]Dispositivos exportados de HP W'!$C:$D,2,FALSE)</f>
        <v>274989</v>
      </c>
      <c r="L317" s="55">
        <f t="shared" si="25"/>
        <v>0</v>
      </c>
      <c r="M317" s="55">
        <f>VLOOKUP(G317,'[3]Dispositivos exportados de HP W'!$C:$D,2,FALSE)</f>
        <v>274989</v>
      </c>
      <c r="N317" s="55">
        <f t="shared" si="26"/>
        <v>0</v>
      </c>
      <c r="O317" s="55">
        <f>VLOOKUP(G317,'[4]Dispositivos exportados de HP W'!$C:$D,2,FALSE)</f>
        <v>274989</v>
      </c>
      <c r="P317" s="55">
        <f t="shared" si="27"/>
        <v>0</v>
      </c>
      <c r="Q317" s="55">
        <f>VLOOKUP(G317,'[6]Dispositivos exportados de HP W'!$C:$D,2,FALSE)</f>
        <v>274989</v>
      </c>
      <c r="R317" s="55">
        <f t="shared" si="28"/>
        <v>0</v>
      </c>
      <c r="S317" s="90">
        <f t="shared" si="29"/>
        <v>0</v>
      </c>
      <c r="T317" s="89">
        <v>46083</v>
      </c>
      <c r="U317" s="14"/>
      <c r="V317" s="105" t="s">
        <v>2239</v>
      </c>
      <c r="W317" s="105" t="str">
        <f>VLOOKUP(C317,'Status oficina'!$A$2:$C$208,3,FALSE)</f>
        <v>Cierre temporal</v>
      </c>
    </row>
    <row r="318" spans="1:23" ht="13.5" customHeight="1" x14ac:dyDescent="0.25">
      <c r="A318" s="53" t="s">
        <v>872</v>
      </c>
      <c r="B318" s="53" t="s">
        <v>442</v>
      </c>
      <c r="C318" s="120">
        <v>9895</v>
      </c>
      <c r="D318" s="14" t="s">
        <v>452</v>
      </c>
      <c r="E318" s="14" t="s">
        <v>420</v>
      </c>
      <c r="F318" s="14" t="s">
        <v>453</v>
      </c>
      <c r="G318" s="14" t="s">
        <v>36</v>
      </c>
      <c r="H318" s="55">
        <v>512688</v>
      </c>
      <c r="I318" s="55">
        <f>VLOOKUP(G318,'[1]Dispositivos exportados de HP W'!$C:$D,2,FALSE)</f>
        <v>512688</v>
      </c>
      <c r="J318" s="55">
        <f t="shared" si="24"/>
        <v>0</v>
      </c>
      <c r="K318" s="55">
        <f>VLOOKUP(G318,'[2]Dispositivos exportados de HP W'!$C:$D,2,FALSE)</f>
        <v>512688</v>
      </c>
      <c r="L318" s="55">
        <f t="shared" si="25"/>
        <v>0</v>
      </c>
      <c r="M318" s="55">
        <f>VLOOKUP(G318,'[3]Dispositivos exportados de HP W'!$C:$D,2,FALSE)</f>
        <v>512688</v>
      </c>
      <c r="N318" s="55">
        <f t="shared" si="26"/>
        <v>0</v>
      </c>
      <c r="O318" s="55">
        <f>VLOOKUP(G318,'[4]Dispositivos exportados de HP W'!$C:$D,2,FALSE)</f>
        <v>512688</v>
      </c>
      <c r="P318" s="55">
        <f t="shared" si="27"/>
        <v>0</v>
      </c>
      <c r="Q318" s="55">
        <f>VLOOKUP(G318,'[6]Dispositivos exportados de HP W'!$C:$D,2,FALSE)</f>
        <v>512688</v>
      </c>
      <c r="R318" s="55">
        <f t="shared" si="28"/>
        <v>0</v>
      </c>
      <c r="S318" s="90">
        <f t="shared" si="29"/>
        <v>0</v>
      </c>
      <c r="T318" s="89">
        <v>46083</v>
      </c>
      <c r="U318" s="14" t="s">
        <v>2463</v>
      </c>
      <c r="V318" s="105" t="s">
        <v>2246</v>
      </c>
      <c r="W318" s="105" t="str">
        <f>VLOOKUP(C318,'Status oficina'!$A$2:$C$208,3,FALSE)</f>
        <v>Cierre definitivo</v>
      </c>
    </row>
    <row r="319" spans="1:23" ht="13.5" customHeight="1" x14ac:dyDescent="0.25">
      <c r="A319" s="14" t="s">
        <v>946</v>
      </c>
      <c r="B319" s="14" t="s">
        <v>1047</v>
      </c>
      <c r="C319" s="120">
        <v>9647</v>
      </c>
      <c r="D319" s="14" t="s">
        <v>1048</v>
      </c>
      <c r="E319" s="14" t="s">
        <v>420</v>
      </c>
      <c r="F319" s="14" t="s">
        <v>1462</v>
      </c>
      <c r="G319" s="14" t="s">
        <v>127</v>
      </c>
      <c r="H319" s="55">
        <v>315164</v>
      </c>
      <c r="I319" s="55">
        <f>VLOOKUP(G319,'[1]Dispositivos exportados de HP W'!$C:$D,2,FALSE)</f>
        <v>315264</v>
      </c>
      <c r="J319" s="55">
        <f t="shared" si="24"/>
        <v>100</v>
      </c>
      <c r="K319" s="55">
        <f>VLOOKUP(G319,'[2]Dispositivos exportados de HP W'!$C:$D,2,FALSE)</f>
        <v>315382</v>
      </c>
      <c r="L319" s="55">
        <f t="shared" si="25"/>
        <v>118</v>
      </c>
      <c r="M319" s="55">
        <f>VLOOKUP(G319,'[3]Dispositivos exportados de HP W'!$C:$D,2,FALSE)</f>
        <v>315857</v>
      </c>
      <c r="N319" s="55">
        <f t="shared" si="26"/>
        <v>475</v>
      </c>
      <c r="O319" s="55">
        <f>VLOOKUP(G319,'[4]Dispositivos exportados de HP W'!$C:$D,2,FALSE)</f>
        <v>316380</v>
      </c>
      <c r="P319" s="55">
        <f t="shared" si="27"/>
        <v>523</v>
      </c>
      <c r="Q319" s="55">
        <f>VLOOKUP(G319,'[6]Dispositivos exportados de HP W'!$C:$D,2,FALSE)</f>
        <v>316473</v>
      </c>
      <c r="R319" s="55">
        <f t="shared" si="28"/>
        <v>93</v>
      </c>
      <c r="S319" s="90">
        <f t="shared" si="29"/>
        <v>1309</v>
      </c>
      <c r="T319" s="89">
        <v>46083</v>
      </c>
      <c r="U319" s="14"/>
      <c r="V319" s="105" t="s">
        <v>2383</v>
      </c>
      <c r="W319" s="105" t="s">
        <v>2236</v>
      </c>
    </row>
    <row r="320" spans="1:23" ht="13.5" customHeight="1" x14ac:dyDescent="0.25">
      <c r="A320" s="14" t="s">
        <v>2089</v>
      </c>
      <c r="B320" s="14" t="s">
        <v>635</v>
      </c>
      <c r="C320" s="120">
        <v>9835</v>
      </c>
      <c r="D320" s="14" t="s">
        <v>636</v>
      </c>
      <c r="E320" s="14" t="s">
        <v>420</v>
      </c>
      <c r="F320" s="14" t="s">
        <v>1200</v>
      </c>
      <c r="G320" s="14" t="s">
        <v>167</v>
      </c>
      <c r="H320" s="55">
        <v>543912</v>
      </c>
      <c r="I320" s="55">
        <f>VLOOKUP(G320,'[1]Dispositivos exportados de HP W'!$C:$D,2,FALSE)</f>
        <v>546451</v>
      </c>
      <c r="J320" s="55">
        <f t="shared" si="24"/>
        <v>2539</v>
      </c>
      <c r="K320" s="55">
        <f>VLOOKUP(G320,'[2]Dispositivos exportados de HP W'!$C:$D,2,FALSE)</f>
        <v>548719</v>
      </c>
      <c r="L320" s="55">
        <f t="shared" si="25"/>
        <v>2268</v>
      </c>
      <c r="M320" s="55">
        <f>VLOOKUP(G320,'[3]Dispositivos exportados de HP W'!$C:$D,2,FALSE)</f>
        <v>550632</v>
      </c>
      <c r="N320" s="55">
        <f t="shared" si="26"/>
        <v>1913</v>
      </c>
      <c r="O320" s="55">
        <f>VLOOKUP(G320,'[4]Dispositivos exportados de HP W'!$C:$D,2,FALSE)</f>
        <v>552852</v>
      </c>
      <c r="P320" s="55">
        <f t="shared" si="27"/>
        <v>2220</v>
      </c>
      <c r="Q320" s="55">
        <f>VLOOKUP(G320,'[6]Dispositivos exportados de HP W'!$C:$D,2,FALSE)</f>
        <v>553447</v>
      </c>
      <c r="R320" s="55">
        <f t="shared" si="28"/>
        <v>595</v>
      </c>
      <c r="S320" s="90">
        <f t="shared" si="29"/>
        <v>9535</v>
      </c>
      <c r="T320" s="89">
        <v>46083</v>
      </c>
      <c r="U320" s="14"/>
      <c r="V320" s="105" t="s">
        <v>2383</v>
      </c>
      <c r="W320" s="105" t="str">
        <f>VLOOKUP(C320,'Status oficina'!$A$2:$C$208,3,FALSE)</f>
        <v>Activa</v>
      </c>
    </row>
    <row r="321" spans="1:23" ht="13.5" customHeight="1" x14ac:dyDescent="0.25">
      <c r="A321" s="14" t="s">
        <v>946</v>
      </c>
      <c r="B321" s="14" t="s">
        <v>987</v>
      </c>
      <c r="C321" s="123">
        <v>9655</v>
      </c>
      <c r="D321" s="14" t="s">
        <v>989</v>
      </c>
      <c r="E321" s="14" t="s">
        <v>420</v>
      </c>
      <c r="F321" s="14" t="s">
        <v>1426</v>
      </c>
      <c r="G321" s="14" t="s">
        <v>119</v>
      </c>
      <c r="H321" s="55">
        <v>1021795</v>
      </c>
      <c r="I321" s="55">
        <f>VLOOKUP(G321,'[1]Dispositivos exportados de HP W'!$C:$D,2,FALSE)</f>
        <v>1024196</v>
      </c>
      <c r="J321" s="55">
        <f t="shared" si="24"/>
        <v>2401</v>
      </c>
      <c r="K321" s="55">
        <f>VLOOKUP(G321,'[2]Dispositivos exportados de HP W'!$C:$D,2,FALSE)</f>
        <v>1026457</v>
      </c>
      <c r="L321" s="55">
        <f t="shared" si="25"/>
        <v>2261</v>
      </c>
      <c r="M321" s="55">
        <f>VLOOKUP(G321,'[3]Dispositivos exportados de HP W'!$C:$D,2,FALSE)</f>
        <v>1028109</v>
      </c>
      <c r="N321" s="55">
        <f t="shared" si="26"/>
        <v>1652</v>
      </c>
      <c r="O321" s="55">
        <f>VLOOKUP(G321,'[4]Dispositivos exportados de HP W'!$C:$D,2,FALSE)</f>
        <v>1030373</v>
      </c>
      <c r="P321" s="55">
        <f t="shared" si="27"/>
        <v>2264</v>
      </c>
      <c r="Q321" s="55">
        <f>VLOOKUP(G321,'[6]Dispositivos exportados de HP W'!$C:$D,2,FALSE)</f>
        <v>1031193</v>
      </c>
      <c r="R321" s="55">
        <f t="shared" si="28"/>
        <v>820</v>
      </c>
      <c r="S321" s="90">
        <f t="shared" si="29"/>
        <v>9398</v>
      </c>
      <c r="T321" s="89">
        <v>46083</v>
      </c>
      <c r="U321" s="14"/>
      <c r="V321" s="108" t="s">
        <v>2383</v>
      </c>
      <c r="W321" s="105" t="str">
        <f>VLOOKUP(C321,'Status oficina'!$A$2:$C$208,3,FALSE)</f>
        <v>Activa</v>
      </c>
    </row>
    <row r="322" spans="1:23" ht="13.5" customHeight="1" x14ac:dyDescent="0.25">
      <c r="A322" s="14" t="s">
        <v>946</v>
      </c>
      <c r="B322" s="14" t="s">
        <v>1032</v>
      </c>
      <c r="C322" s="120">
        <v>9503</v>
      </c>
      <c r="D322" s="14" t="s">
        <v>1033</v>
      </c>
      <c r="E322" s="14" t="s">
        <v>420</v>
      </c>
      <c r="F322" s="14" t="s">
        <v>1451</v>
      </c>
      <c r="G322" s="12" t="s">
        <v>77</v>
      </c>
      <c r="H322" s="55">
        <v>500103</v>
      </c>
      <c r="I322" s="55">
        <f>VLOOKUP(G322,'[1]Dispositivos exportados de HP W'!$C:$D,2,FALSE)</f>
        <v>500811</v>
      </c>
      <c r="J322" s="55">
        <f t="shared" si="24"/>
        <v>708</v>
      </c>
      <c r="K322" s="55">
        <f>VLOOKUP(G322,'[2]Dispositivos exportados de HP W'!$C:$D,2,FALSE)</f>
        <v>501534</v>
      </c>
      <c r="L322" s="55">
        <f t="shared" si="25"/>
        <v>723</v>
      </c>
      <c r="M322" s="55">
        <f>VLOOKUP(G322,'[3]Dispositivos exportados de HP W'!$C:$D,2,FALSE)</f>
        <v>502121</v>
      </c>
      <c r="N322" s="55">
        <f t="shared" si="26"/>
        <v>587</v>
      </c>
      <c r="O322" s="55">
        <f>VLOOKUP(G322,'[4]Dispositivos exportados de HP W'!$C:$D,2,FALSE)</f>
        <v>502675</v>
      </c>
      <c r="P322" s="55">
        <f t="shared" si="27"/>
        <v>554</v>
      </c>
      <c r="Q322" s="55">
        <f>VLOOKUP(G322,'[6]Dispositivos exportados de HP W'!$C:$D,2,FALSE)</f>
        <v>502882</v>
      </c>
      <c r="R322" s="55">
        <f t="shared" si="28"/>
        <v>207</v>
      </c>
      <c r="S322" s="90">
        <f t="shared" si="29"/>
        <v>2779</v>
      </c>
      <c r="T322" s="89">
        <v>46083</v>
      </c>
      <c r="U322" s="14"/>
      <c r="V322" s="108" t="s">
        <v>2383</v>
      </c>
      <c r="W322" s="105" t="str">
        <f>VLOOKUP(C322,'Status oficina'!$A$2:$C$208,3,FALSE)</f>
        <v>Activa</v>
      </c>
    </row>
    <row r="323" spans="1:23" ht="13.5" customHeight="1" x14ac:dyDescent="0.25">
      <c r="A323" s="14" t="s">
        <v>946</v>
      </c>
      <c r="B323" s="14" t="s">
        <v>1050</v>
      </c>
      <c r="C323" s="19">
        <v>9650</v>
      </c>
      <c r="D323" s="53" t="s">
        <v>1051</v>
      </c>
      <c r="E323" s="53" t="s">
        <v>420</v>
      </c>
      <c r="F323" s="110" t="s">
        <v>1454</v>
      </c>
      <c r="G323" s="53" t="s">
        <v>121</v>
      </c>
      <c r="H323" s="55">
        <v>721792</v>
      </c>
      <c r="I323" s="55">
        <f>VLOOKUP(G323,'[1]Dispositivos exportados de HP W'!$C:$D,2,FALSE)</f>
        <v>722848</v>
      </c>
      <c r="J323" s="55">
        <f t="shared" ref="J323:J326" si="30">I323-H323</f>
        <v>1056</v>
      </c>
      <c r="K323" s="55">
        <f>VLOOKUP(G323,'[2]Dispositivos exportados de HP W'!$C:$D,2,FALSE)</f>
        <v>724131</v>
      </c>
      <c r="L323" s="55">
        <f t="shared" ref="L323:L326" si="31">K323-I323</f>
        <v>1283</v>
      </c>
      <c r="M323" s="55">
        <f>VLOOKUP(G323,'[3]Dispositivos exportados de HP W'!$C:$D,2,FALSE)</f>
        <v>724727</v>
      </c>
      <c r="N323" s="55">
        <f t="shared" ref="N323:N326" si="32">M323-K323</f>
        <v>596</v>
      </c>
      <c r="O323" s="55">
        <f>VLOOKUP(G323,'[4]Dispositivos exportados de HP W'!$C:$D,2,FALSE)</f>
        <v>725865</v>
      </c>
      <c r="P323" s="55">
        <f t="shared" ref="P323:P326" si="33">O323-M323</f>
        <v>1138</v>
      </c>
      <c r="Q323" s="55">
        <f>VLOOKUP(G323,'[6]Dispositivos exportados de HP W'!$C:$D,2,FALSE)</f>
        <v>726241</v>
      </c>
      <c r="R323" s="55">
        <f t="shared" ref="R323:R326" si="34">Q323-O323</f>
        <v>376</v>
      </c>
      <c r="S323" s="90">
        <f t="shared" ref="S323:S326" si="35">R323+P323+N323+L323+J323</f>
        <v>4449</v>
      </c>
      <c r="T323" s="89">
        <v>46083</v>
      </c>
      <c r="U323" s="59"/>
      <c r="V323" s="105" t="s">
        <v>2383</v>
      </c>
      <c r="W323" s="105" t="str">
        <f>VLOOKUP(C323,'Status oficina'!$A$2:$C$208,3,FALSE)</f>
        <v>Activa</v>
      </c>
    </row>
    <row r="324" spans="1:23" ht="13.5" customHeight="1" x14ac:dyDescent="0.25">
      <c r="A324" s="14" t="s">
        <v>946</v>
      </c>
      <c r="B324" s="14" t="s">
        <v>1053</v>
      </c>
      <c r="C324" s="120">
        <v>9675</v>
      </c>
      <c r="D324" s="14" t="s">
        <v>1055</v>
      </c>
      <c r="E324" s="14" t="s">
        <v>420</v>
      </c>
      <c r="F324" s="13" t="s">
        <v>1467</v>
      </c>
      <c r="G324" s="14" t="s">
        <v>113</v>
      </c>
      <c r="H324" s="55">
        <v>400656</v>
      </c>
      <c r="I324" s="55">
        <f>VLOOKUP(G324,'[1]Dispositivos exportados de HP W'!$C:$D,2,FALSE)</f>
        <v>401581</v>
      </c>
      <c r="J324" s="55">
        <f t="shared" si="30"/>
        <v>925</v>
      </c>
      <c r="K324" s="55">
        <f>VLOOKUP(G324,'[2]Dispositivos exportados de HP W'!$C:$D,2,FALSE)</f>
        <v>402633</v>
      </c>
      <c r="L324" s="55">
        <f t="shared" si="31"/>
        <v>1052</v>
      </c>
      <c r="M324" s="55">
        <f>VLOOKUP(G324,'[3]Dispositivos exportados de HP W'!$C:$D,2,FALSE)</f>
        <v>403487</v>
      </c>
      <c r="N324" s="55">
        <f t="shared" si="32"/>
        <v>854</v>
      </c>
      <c r="O324" s="55">
        <f>VLOOKUP(G324,'[4]Dispositivos exportados de HP W'!$C:$D,2,FALSE)</f>
        <v>404685</v>
      </c>
      <c r="P324" s="55">
        <f t="shared" si="33"/>
        <v>1198</v>
      </c>
      <c r="Q324" s="55">
        <f>VLOOKUP(G324,'[6]Dispositivos exportados de HP W'!$C:$D,2,FALSE)</f>
        <v>405122</v>
      </c>
      <c r="R324" s="55">
        <f t="shared" si="34"/>
        <v>437</v>
      </c>
      <c r="S324" s="90">
        <f t="shared" si="35"/>
        <v>4466</v>
      </c>
      <c r="T324" s="89">
        <v>46083</v>
      </c>
      <c r="U324" s="14"/>
      <c r="V324" s="108" t="s">
        <v>2383</v>
      </c>
      <c r="W324" s="105" t="str">
        <f>VLOOKUP(C324,'Status oficina'!$A$2:$C$208,3,FALSE)</f>
        <v>Activa</v>
      </c>
    </row>
    <row r="325" spans="1:23" ht="13.5" customHeight="1" x14ac:dyDescent="0.25">
      <c r="A325" s="14" t="s">
        <v>946</v>
      </c>
      <c r="B325" s="14" t="s">
        <v>1042</v>
      </c>
      <c r="C325" s="120">
        <v>9510</v>
      </c>
      <c r="D325" s="14" t="s">
        <v>1046</v>
      </c>
      <c r="E325" s="14" t="s">
        <v>420</v>
      </c>
      <c r="F325" s="13" t="s">
        <v>1459</v>
      </c>
      <c r="G325" s="14" t="s">
        <v>392</v>
      </c>
      <c r="H325" s="55">
        <v>226512</v>
      </c>
      <c r="I325" s="55">
        <f>VLOOKUP(G325,'[1]Dispositivos exportados de HP W'!$C:$D,2,FALSE)</f>
        <v>226681</v>
      </c>
      <c r="J325" s="55">
        <f t="shared" si="30"/>
        <v>169</v>
      </c>
      <c r="K325" s="55">
        <f>VLOOKUP(G325,'[2]Dispositivos exportados de HP W'!$C:$D,2,FALSE)</f>
        <v>226885</v>
      </c>
      <c r="L325" s="55">
        <f t="shared" si="31"/>
        <v>204</v>
      </c>
      <c r="M325" s="55">
        <f>VLOOKUP(G325,'[3]Dispositivos exportados de HP W'!$C:$D,2,FALSE)</f>
        <v>227074</v>
      </c>
      <c r="N325" s="55">
        <f t="shared" si="32"/>
        <v>189</v>
      </c>
      <c r="O325" s="55">
        <f>VLOOKUP(G325,'[4]Dispositivos exportados de HP W'!$C:$D,2,FALSE)</f>
        <v>227233</v>
      </c>
      <c r="P325" s="55">
        <f t="shared" si="33"/>
        <v>159</v>
      </c>
      <c r="Q325" s="55">
        <f>VLOOKUP(G325,'[6]Dispositivos exportados de HP W'!$C:$D,2,FALSE)</f>
        <v>227273</v>
      </c>
      <c r="R325" s="55">
        <f t="shared" si="34"/>
        <v>40</v>
      </c>
      <c r="S325" s="90">
        <f t="shared" si="35"/>
        <v>761</v>
      </c>
      <c r="T325" s="89">
        <v>46083</v>
      </c>
      <c r="U325" s="14"/>
      <c r="V325" s="108" t="s">
        <v>2383</v>
      </c>
      <c r="W325" s="105" t="str">
        <f>VLOOKUP(C325,'Status oficina'!$A$2:$C$208,3,FALSE)</f>
        <v>Activa</v>
      </c>
    </row>
    <row r="326" spans="1:23" ht="13.5" customHeight="1" x14ac:dyDescent="0.25">
      <c r="A326" s="14" t="s">
        <v>946</v>
      </c>
      <c r="B326" s="14" t="s">
        <v>956</v>
      </c>
      <c r="C326" s="120">
        <v>9560</v>
      </c>
      <c r="D326" s="14" t="s">
        <v>960</v>
      </c>
      <c r="E326" s="14" t="s">
        <v>420</v>
      </c>
      <c r="F326" s="13" t="s">
        <v>1430</v>
      </c>
      <c r="G326" s="14" t="s">
        <v>190</v>
      </c>
      <c r="H326" s="55">
        <v>663600</v>
      </c>
      <c r="I326" s="55">
        <f>VLOOKUP(G326,'[1]Dispositivos exportados de HP W'!$C:$D,2,FALSE)</f>
        <v>665075</v>
      </c>
      <c r="J326" s="55">
        <f t="shared" si="30"/>
        <v>1475</v>
      </c>
      <c r="K326" s="55">
        <f>VLOOKUP(G326,'[2]Dispositivos exportados de HP W'!$C:$D,2,FALSE)</f>
        <v>666731</v>
      </c>
      <c r="L326" s="55">
        <f t="shared" si="31"/>
        <v>1656</v>
      </c>
      <c r="M326" s="55">
        <f>VLOOKUP(G326,'[3]Dispositivos exportados de HP W'!$C:$D,2,FALSE)</f>
        <v>668102</v>
      </c>
      <c r="N326" s="55">
        <f t="shared" si="32"/>
        <v>1371</v>
      </c>
      <c r="O326" s="55">
        <f>VLOOKUP(G326,'[4]Dispositivos exportados de HP W'!$C:$D,2,FALSE)</f>
        <v>669864</v>
      </c>
      <c r="P326" s="55">
        <f t="shared" si="33"/>
        <v>1762</v>
      </c>
      <c r="Q326" s="55">
        <f>VLOOKUP(G326,'[6]Dispositivos exportados de HP W'!$C:$D,2,FALSE)</f>
        <v>670532</v>
      </c>
      <c r="R326" s="55">
        <f t="shared" si="34"/>
        <v>668</v>
      </c>
      <c r="S326" s="132">
        <f t="shared" si="35"/>
        <v>6932</v>
      </c>
      <c r="T326" s="133">
        <v>46083</v>
      </c>
      <c r="U326" s="14"/>
      <c r="V326" s="105" t="s">
        <v>2383</v>
      </c>
      <c r="W326" s="105" t="s">
        <v>2236</v>
      </c>
    </row>
    <row r="327" spans="1:23" ht="13.5" customHeight="1" x14ac:dyDescent="0.25">
      <c r="C327" s="7"/>
    </row>
    <row r="329" spans="1:23" ht="13.5" customHeight="1" x14ac:dyDescent="0.25">
      <c r="G329" s="14"/>
    </row>
  </sheetData>
  <autoFilter ref="A1:W326"/>
  <sortState ref="A402:BG437">
    <sortCondition ref="B2:B438"/>
  </sortState>
  <conditionalFormatting sqref="F208">
    <cfRule type="duplicateValues" dxfId="748" priority="1661"/>
    <cfRule type="duplicateValues" dxfId="747" priority="1662"/>
  </conditionalFormatting>
  <conditionalFormatting sqref="F208">
    <cfRule type="duplicateValues" dxfId="746" priority="1663"/>
  </conditionalFormatting>
  <conditionalFormatting sqref="F97">
    <cfRule type="duplicateValues" dxfId="745" priority="1655"/>
    <cfRule type="duplicateValues" dxfId="744" priority="1656"/>
  </conditionalFormatting>
  <conditionalFormatting sqref="F97">
    <cfRule type="duplicateValues" dxfId="743" priority="1657"/>
  </conditionalFormatting>
  <conditionalFormatting sqref="H2:T326">
    <cfRule type="cellIs" dxfId="742" priority="1654" operator="equal">
      <formula>0</formula>
    </cfRule>
  </conditionalFormatting>
  <conditionalFormatting sqref="F132">
    <cfRule type="duplicateValues" dxfId="741" priority="1640"/>
    <cfRule type="duplicateValues" dxfId="740" priority="1641"/>
  </conditionalFormatting>
  <conditionalFormatting sqref="F132">
    <cfRule type="duplicateValues" dxfId="739" priority="1642"/>
  </conditionalFormatting>
  <conditionalFormatting sqref="F28">
    <cfRule type="duplicateValues" dxfId="738" priority="1635"/>
    <cfRule type="duplicateValues" dxfId="737" priority="1636"/>
  </conditionalFormatting>
  <conditionalFormatting sqref="F28">
    <cfRule type="duplicateValues" dxfId="736" priority="1637"/>
  </conditionalFormatting>
  <conditionalFormatting sqref="F302">
    <cfRule type="duplicateValues" dxfId="735" priority="1625"/>
    <cfRule type="duplicateValues" dxfId="734" priority="1626"/>
  </conditionalFormatting>
  <conditionalFormatting sqref="F302">
    <cfRule type="duplicateValues" dxfId="733" priority="1627"/>
  </conditionalFormatting>
  <conditionalFormatting sqref="F183">
    <cfRule type="duplicateValues" dxfId="732" priority="1581"/>
    <cfRule type="duplicateValues" dxfId="731" priority="1582"/>
  </conditionalFormatting>
  <conditionalFormatting sqref="F183">
    <cfRule type="duplicateValues" dxfId="730" priority="1583"/>
  </conditionalFormatting>
  <conditionalFormatting sqref="F186">
    <cfRule type="duplicateValues" dxfId="729" priority="1577"/>
    <cfRule type="duplicateValues" dxfId="728" priority="1578"/>
  </conditionalFormatting>
  <conditionalFormatting sqref="F186">
    <cfRule type="duplicateValues" dxfId="727" priority="1579"/>
  </conditionalFormatting>
  <conditionalFormatting sqref="F323">
    <cfRule type="duplicateValues" dxfId="726" priority="1479"/>
  </conditionalFormatting>
  <conditionalFormatting sqref="F323">
    <cfRule type="duplicateValues" dxfId="725" priority="1476"/>
  </conditionalFormatting>
  <conditionalFormatting sqref="F323">
    <cfRule type="duplicateValues" dxfId="724" priority="1477"/>
    <cfRule type="duplicateValues" dxfId="723" priority="1478"/>
  </conditionalFormatting>
  <conditionalFormatting sqref="F263">
    <cfRule type="duplicateValues" dxfId="722" priority="1464"/>
  </conditionalFormatting>
  <conditionalFormatting sqref="F263">
    <cfRule type="duplicateValues" dxfId="721" priority="1465"/>
    <cfRule type="duplicateValues" dxfId="720" priority="1466"/>
  </conditionalFormatting>
  <conditionalFormatting sqref="F1">
    <cfRule type="duplicateValues" dxfId="719" priority="1100"/>
  </conditionalFormatting>
  <conditionalFormatting sqref="F324">
    <cfRule type="duplicateValues" dxfId="718" priority="397"/>
  </conditionalFormatting>
  <conditionalFormatting sqref="F324">
    <cfRule type="duplicateValues" dxfId="717" priority="394"/>
  </conditionalFormatting>
  <conditionalFormatting sqref="F324">
    <cfRule type="duplicateValues" dxfId="716" priority="395"/>
    <cfRule type="duplicateValues" dxfId="715" priority="396"/>
  </conditionalFormatting>
  <conditionalFormatting sqref="F325:F326">
    <cfRule type="duplicateValues" dxfId="714" priority="391"/>
  </conditionalFormatting>
  <conditionalFormatting sqref="F325:F326">
    <cfRule type="duplicateValues" dxfId="713" priority="388"/>
  </conditionalFormatting>
  <conditionalFormatting sqref="F325:F326">
    <cfRule type="duplicateValues" dxfId="712" priority="389"/>
    <cfRule type="duplicateValues" dxfId="711" priority="390"/>
  </conditionalFormatting>
  <conditionalFormatting sqref="F188">
    <cfRule type="duplicateValues" dxfId="710" priority="178"/>
    <cfRule type="duplicateValues" dxfId="709" priority="179"/>
  </conditionalFormatting>
  <conditionalFormatting sqref="F188">
    <cfRule type="duplicateValues" dxfId="708" priority="180"/>
  </conditionalFormatting>
  <conditionalFormatting sqref="F188">
    <cfRule type="duplicateValues" dxfId="707" priority="181"/>
  </conditionalFormatting>
  <conditionalFormatting sqref="F303:F322 F218:F230 F2:F3 F184:F185 F187 F209:F216 F264:F301 F232:F262 F10:F27 F133:F182 F29:F51 F189:F207 F98:F131 F53:F96">
    <cfRule type="duplicateValues" dxfId="706" priority="1895"/>
    <cfRule type="duplicateValues" dxfId="705" priority="1896"/>
  </conditionalFormatting>
  <conditionalFormatting sqref="F303:F322 F218:F230 F2:F3 F184:F185 F187 F209:F216 F264:F301 F232:F262 F10:F27 F133:F182 F29:F51 F189:F207 F98:F131 F53:F96">
    <cfRule type="duplicateValues" dxfId="704" priority="1925"/>
  </conditionalFormatting>
  <conditionalFormatting sqref="F52">
    <cfRule type="duplicateValues" dxfId="703" priority="73"/>
    <cfRule type="duplicateValues" dxfId="702" priority="74"/>
  </conditionalFormatting>
  <conditionalFormatting sqref="F52">
    <cfRule type="duplicateValues" dxfId="701" priority="75"/>
  </conditionalFormatting>
  <conditionalFormatting sqref="F52">
    <cfRule type="duplicateValues" dxfId="700" priority="76"/>
  </conditionalFormatting>
  <conditionalFormatting sqref="F264:F322 F184:F185 F2:F3 F232:F262 F187 F10:F51 F189:F230 F53:F182">
    <cfRule type="duplicateValues" dxfId="699" priority="1988"/>
  </conditionalFormatting>
  <conditionalFormatting sqref="F4:F9">
    <cfRule type="duplicateValues" dxfId="698" priority="1991"/>
  </conditionalFormatting>
  <conditionalFormatting sqref="F4:F9">
    <cfRule type="duplicateValues" dxfId="697" priority="1993"/>
    <cfRule type="duplicateValues" dxfId="696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412</v>
      </c>
      <c r="B1" s="112" t="s">
        <v>412</v>
      </c>
    </row>
    <row r="2" spans="1:3" x14ac:dyDescent="0.25">
      <c r="A2" s="14" t="s">
        <v>1225</v>
      </c>
      <c r="B2" s="113" t="s">
        <v>1225</v>
      </c>
      <c r="C2" t="b">
        <f>IF(A2=B2,TRUE,FALSE)</f>
        <v>1</v>
      </c>
    </row>
    <row r="3" spans="1:3" x14ac:dyDescent="0.25">
      <c r="A3" s="14" t="s">
        <v>1035</v>
      </c>
      <c r="B3" s="113" t="s">
        <v>1035</v>
      </c>
      <c r="C3" s="3" t="b">
        <f t="shared" ref="C3:C66" si="0">IF(A3=B3,TRUE,FALSE)</f>
        <v>1</v>
      </c>
    </row>
    <row r="4" spans="1:3" x14ac:dyDescent="0.25">
      <c r="A4" s="53" t="s">
        <v>1081</v>
      </c>
      <c r="B4" s="113" t="s">
        <v>1081</v>
      </c>
      <c r="C4" s="3" t="b">
        <f t="shared" si="0"/>
        <v>1</v>
      </c>
    </row>
    <row r="5" spans="1:3" x14ac:dyDescent="0.25">
      <c r="A5" s="14" t="s">
        <v>1207</v>
      </c>
      <c r="B5" s="113" t="s">
        <v>1207</v>
      </c>
      <c r="C5" s="3" t="b">
        <f t="shared" si="0"/>
        <v>1</v>
      </c>
    </row>
    <row r="6" spans="1:3" x14ac:dyDescent="0.25">
      <c r="A6" s="14" t="s">
        <v>993</v>
      </c>
      <c r="B6" s="113" t="s">
        <v>993</v>
      </c>
      <c r="C6" s="3" t="b">
        <f t="shared" si="0"/>
        <v>1</v>
      </c>
    </row>
    <row r="7" spans="1:3" x14ac:dyDescent="0.25">
      <c r="A7" s="14" t="s">
        <v>1224</v>
      </c>
      <c r="B7" s="113" t="s">
        <v>1224</v>
      </c>
      <c r="C7" s="3" t="b">
        <f t="shared" si="0"/>
        <v>1</v>
      </c>
    </row>
    <row r="8" spans="1:3" x14ac:dyDescent="0.25">
      <c r="A8" s="14" t="s">
        <v>1142</v>
      </c>
      <c r="B8" s="113" t="s">
        <v>1142</v>
      </c>
      <c r="C8" s="3" t="b">
        <f t="shared" si="0"/>
        <v>1</v>
      </c>
    </row>
    <row r="9" spans="1:3" x14ac:dyDescent="0.25">
      <c r="A9" s="14" t="s">
        <v>2000</v>
      </c>
      <c r="B9" s="113" t="s">
        <v>2000</v>
      </c>
      <c r="C9" s="3" t="b">
        <f t="shared" si="0"/>
        <v>1</v>
      </c>
    </row>
    <row r="10" spans="1:3" x14ac:dyDescent="0.25">
      <c r="A10" s="14" t="s">
        <v>1082</v>
      </c>
      <c r="B10" s="113" t="s">
        <v>1082</v>
      </c>
      <c r="C10" s="3" t="b">
        <f t="shared" si="0"/>
        <v>1</v>
      </c>
    </row>
    <row r="11" spans="1:3" x14ac:dyDescent="0.25">
      <c r="A11" s="14" t="s">
        <v>1241</v>
      </c>
      <c r="B11" s="113" t="s">
        <v>1241</v>
      </c>
      <c r="C11" s="3" t="b">
        <f t="shared" si="0"/>
        <v>1</v>
      </c>
    </row>
    <row r="12" spans="1:3" x14ac:dyDescent="0.25">
      <c r="A12" s="14" t="s">
        <v>1473</v>
      </c>
      <c r="B12" s="113" t="s">
        <v>1473</v>
      </c>
      <c r="C12" s="3" t="b">
        <f t="shared" si="0"/>
        <v>1</v>
      </c>
    </row>
    <row r="13" spans="1:3" x14ac:dyDescent="0.25">
      <c r="A13" s="14" t="s">
        <v>1222</v>
      </c>
      <c r="B13" s="113" t="s">
        <v>1222</v>
      </c>
      <c r="C13" s="3" t="b">
        <f t="shared" si="0"/>
        <v>1</v>
      </c>
    </row>
    <row r="14" spans="1:3" x14ac:dyDescent="0.25">
      <c r="A14" s="14" t="s">
        <v>2220</v>
      </c>
      <c r="B14" s="113" t="s">
        <v>2220</v>
      </c>
      <c r="C14" s="3" t="b">
        <f t="shared" si="0"/>
        <v>1</v>
      </c>
    </row>
    <row r="15" spans="1:3" x14ac:dyDescent="0.25">
      <c r="A15" s="14" t="s">
        <v>660</v>
      </c>
      <c r="B15" s="113" t="s">
        <v>660</v>
      </c>
      <c r="C15" s="3" t="b">
        <f t="shared" si="0"/>
        <v>1</v>
      </c>
    </row>
    <row r="16" spans="1:3" x14ac:dyDescent="0.25">
      <c r="A16" s="53" t="s">
        <v>1071</v>
      </c>
      <c r="B16" s="113" t="s">
        <v>1071</v>
      </c>
      <c r="C16" s="3" t="b">
        <f t="shared" si="0"/>
        <v>1</v>
      </c>
    </row>
    <row r="17" spans="1:3" x14ac:dyDescent="0.25">
      <c r="A17" s="14" t="s">
        <v>1079</v>
      </c>
      <c r="B17" s="113" t="s">
        <v>1079</v>
      </c>
      <c r="C17" s="3" t="b">
        <f t="shared" si="0"/>
        <v>1</v>
      </c>
    </row>
    <row r="18" spans="1:3" x14ac:dyDescent="0.25">
      <c r="A18" s="14" t="s">
        <v>1086</v>
      </c>
      <c r="B18" s="113" t="s">
        <v>1086</v>
      </c>
      <c r="C18" s="3" t="b">
        <f t="shared" si="0"/>
        <v>1</v>
      </c>
    </row>
    <row r="19" spans="1:3" x14ac:dyDescent="0.25">
      <c r="A19" s="14" t="s">
        <v>1088</v>
      </c>
      <c r="B19" s="113" t="s">
        <v>1088</v>
      </c>
      <c r="C19" s="3" t="b">
        <f t="shared" si="0"/>
        <v>1</v>
      </c>
    </row>
    <row r="20" spans="1:3" x14ac:dyDescent="0.25">
      <c r="A20" s="14" t="s">
        <v>1121</v>
      </c>
      <c r="B20" s="113" t="s">
        <v>1121</v>
      </c>
      <c r="C20" s="3" t="b">
        <f t="shared" si="0"/>
        <v>1</v>
      </c>
    </row>
    <row r="21" spans="1:3" x14ac:dyDescent="0.25">
      <c r="A21" s="14" t="s">
        <v>1137</v>
      </c>
      <c r="B21" s="113" t="s">
        <v>1137</v>
      </c>
      <c r="C21" s="3" t="b">
        <f t="shared" si="0"/>
        <v>1</v>
      </c>
    </row>
    <row r="22" spans="1:3" x14ac:dyDescent="0.25">
      <c r="A22" s="14" t="s">
        <v>1116</v>
      </c>
      <c r="B22" s="113" t="s">
        <v>1116</v>
      </c>
      <c r="C22" s="3" t="b">
        <f t="shared" si="0"/>
        <v>1</v>
      </c>
    </row>
    <row r="23" spans="1:3" x14ac:dyDescent="0.25">
      <c r="A23" s="14" t="s">
        <v>1310</v>
      </c>
      <c r="B23" s="113" t="s">
        <v>1310</v>
      </c>
      <c r="C23" s="3" t="b">
        <f t="shared" si="0"/>
        <v>1</v>
      </c>
    </row>
    <row r="24" spans="1:3" x14ac:dyDescent="0.25">
      <c r="A24" s="14" t="s">
        <v>1110</v>
      </c>
      <c r="B24" s="113" t="s">
        <v>1110</v>
      </c>
      <c r="C24" s="3" t="b">
        <f t="shared" si="0"/>
        <v>1</v>
      </c>
    </row>
    <row r="25" spans="1:3" x14ac:dyDescent="0.25">
      <c r="A25" s="14" t="s">
        <v>1299</v>
      </c>
      <c r="B25" s="113" t="s">
        <v>1299</v>
      </c>
      <c r="C25" s="3" t="b">
        <f t="shared" si="0"/>
        <v>1</v>
      </c>
    </row>
    <row r="26" spans="1:3" x14ac:dyDescent="0.25">
      <c r="A26" s="14" t="s">
        <v>1342</v>
      </c>
      <c r="B26" s="113" t="s">
        <v>1342</v>
      </c>
      <c r="C26" s="3" t="b">
        <f t="shared" si="0"/>
        <v>1</v>
      </c>
    </row>
    <row r="27" spans="1:3" x14ac:dyDescent="0.25">
      <c r="A27" s="14" t="s">
        <v>1258</v>
      </c>
      <c r="B27" s="113" t="s">
        <v>1258</v>
      </c>
      <c r="C27" s="3" t="b">
        <f t="shared" si="0"/>
        <v>1</v>
      </c>
    </row>
    <row r="28" spans="1:3" x14ac:dyDescent="0.25">
      <c r="A28" s="14" t="s">
        <v>1431</v>
      </c>
      <c r="B28" s="113" t="s">
        <v>1431</v>
      </c>
      <c r="C28" s="3" t="b">
        <f t="shared" si="0"/>
        <v>1</v>
      </c>
    </row>
    <row r="29" spans="1:3" x14ac:dyDescent="0.25">
      <c r="A29" s="14" t="s">
        <v>1132</v>
      </c>
      <c r="B29" s="113" t="s">
        <v>1132</v>
      </c>
      <c r="C29" s="3" t="b">
        <f t="shared" si="0"/>
        <v>1</v>
      </c>
    </row>
    <row r="30" spans="1:3" x14ac:dyDescent="0.25">
      <c r="A30" s="14" t="s">
        <v>605</v>
      </c>
      <c r="B30" s="113" t="s">
        <v>605</v>
      </c>
      <c r="C30" s="3" t="b">
        <f t="shared" si="0"/>
        <v>1</v>
      </c>
    </row>
    <row r="31" spans="1:3" x14ac:dyDescent="0.25">
      <c r="A31" s="54" t="s">
        <v>1194</v>
      </c>
      <c r="B31" s="113" t="s">
        <v>1194</v>
      </c>
      <c r="C31" s="3" t="b">
        <f t="shared" si="0"/>
        <v>1</v>
      </c>
    </row>
    <row r="32" spans="1:3" x14ac:dyDescent="0.25">
      <c r="A32" s="14" t="s">
        <v>1304</v>
      </c>
      <c r="B32" s="113" t="s">
        <v>1304</v>
      </c>
      <c r="C32" s="3" t="b">
        <f t="shared" si="0"/>
        <v>1</v>
      </c>
    </row>
    <row r="33" spans="1:3" x14ac:dyDescent="0.25">
      <c r="A33" s="14" t="s">
        <v>1270</v>
      </c>
      <c r="B33" s="113" t="s">
        <v>1270</v>
      </c>
      <c r="C33" s="3" t="b">
        <f t="shared" si="0"/>
        <v>1</v>
      </c>
    </row>
    <row r="34" spans="1:3" x14ac:dyDescent="0.25">
      <c r="A34" s="14" t="s">
        <v>1307</v>
      </c>
      <c r="B34" s="113" t="s">
        <v>1307</v>
      </c>
      <c r="C34" s="3" t="b">
        <f t="shared" si="0"/>
        <v>1</v>
      </c>
    </row>
    <row r="35" spans="1:3" x14ac:dyDescent="0.25">
      <c r="A35" s="14" t="s">
        <v>1385</v>
      </c>
      <c r="B35" s="113" t="s">
        <v>1385</v>
      </c>
      <c r="C35" s="3" t="b">
        <f t="shared" si="0"/>
        <v>1</v>
      </c>
    </row>
    <row r="36" spans="1:3" x14ac:dyDescent="0.25">
      <c r="A36" s="14" t="s">
        <v>1421</v>
      </c>
      <c r="B36" s="113" t="s">
        <v>1421</v>
      </c>
      <c r="C36" s="3" t="b">
        <f t="shared" si="0"/>
        <v>1</v>
      </c>
    </row>
    <row r="37" spans="1:3" x14ac:dyDescent="0.25">
      <c r="A37" s="14" t="s">
        <v>1359</v>
      </c>
      <c r="B37" s="113" t="s">
        <v>1359</v>
      </c>
      <c r="C37" s="3" t="b">
        <f t="shared" si="0"/>
        <v>1</v>
      </c>
    </row>
    <row r="38" spans="1:3" x14ac:dyDescent="0.25">
      <c r="A38" s="14" t="s">
        <v>1376</v>
      </c>
      <c r="B38" s="113" t="s">
        <v>1376</v>
      </c>
      <c r="C38" s="3" t="b">
        <f t="shared" si="0"/>
        <v>1</v>
      </c>
    </row>
    <row r="39" spans="1:3" x14ac:dyDescent="0.25">
      <c r="A39" s="53" t="s">
        <v>1098</v>
      </c>
      <c r="B39" s="113" t="s">
        <v>1098</v>
      </c>
      <c r="C39" s="3" t="b">
        <f t="shared" si="0"/>
        <v>1</v>
      </c>
    </row>
    <row r="40" spans="1:3" x14ac:dyDescent="0.25">
      <c r="A40" s="14" t="s">
        <v>1128</v>
      </c>
      <c r="B40" s="113" t="s">
        <v>1128</v>
      </c>
      <c r="C40" s="3" t="b">
        <f t="shared" si="0"/>
        <v>1</v>
      </c>
    </row>
    <row r="41" spans="1:3" x14ac:dyDescent="0.25">
      <c r="A41" s="14" t="s">
        <v>1997</v>
      </c>
      <c r="B41" s="113" t="s">
        <v>1997</v>
      </c>
      <c r="C41" s="3" t="b">
        <f t="shared" si="0"/>
        <v>1</v>
      </c>
    </row>
    <row r="42" spans="1:3" x14ac:dyDescent="0.25">
      <c r="A42" s="14" t="s">
        <v>1357</v>
      </c>
      <c r="B42" s="113" t="s">
        <v>1357</v>
      </c>
      <c r="C42" s="3" t="b">
        <f t="shared" si="0"/>
        <v>1</v>
      </c>
    </row>
    <row r="43" spans="1:3" x14ac:dyDescent="0.25">
      <c r="A43" s="14" t="s">
        <v>1387</v>
      </c>
      <c r="B43" s="113" t="s">
        <v>1387</v>
      </c>
      <c r="C43" s="3" t="b">
        <f t="shared" si="0"/>
        <v>1</v>
      </c>
    </row>
    <row r="44" spans="1:3" x14ac:dyDescent="0.25">
      <c r="A44" s="14" t="s">
        <v>1364</v>
      </c>
      <c r="B44" s="113" t="s">
        <v>1364</v>
      </c>
      <c r="C44" s="3" t="b">
        <f t="shared" si="0"/>
        <v>1</v>
      </c>
    </row>
    <row r="45" spans="1:3" x14ac:dyDescent="0.25">
      <c r="A45" s="14" t="s">
        <v>1209</v>
      </c>
      <c r="B45" s="113" t="s">
        <v>1209</v>
      </c>
      <c r="C45" s="3" t="b">
        <f t="shared" si="0"/>
        <v>1</v>
      </c>
    </row>
    <row r="46" spans="1:3" x14ac:dyDescent="0.25">
      <c r="A46" s="14" t="s">
        <v>1297</v>
      </c>
      <c r="B46" s="113" t="s">
        <v>1297</v>
      </c>
      <c r="C46" s="3" t="b">
        <f t="shared" si="0"/>
        <v>1</v>
      </c>
    </row>
    <row r="47" spans="1:3" x14ac:dyDescent="0.25">
      <c r="A47" s="14" t="s">
        <v>1347</v>
      </c>
      <c r="B47" s="113" t="s">
        <v>1347</v>
      </c>
      <c r="C47" s="3" t="b">
        <f t="shared" si="0"/>
        <v>1</v>
      </c>
    </row>
    <row r="48" spans="1:3" x14ac:dyDescent="0.25">
      <c r="A48" s="14" t="s">
        <v>1199</v>
      </c>
      <c r="B48" s="113" t="s">
        <v>1199</v>
      </c>
      <c r="C48" s="3" t="b">
        <f t="shared" si="0"/>
        <v>1</v>
      </c>
    </row>
    <row r="49" spans="1:3" x14ac:dyDescent="0.25">
      <c r="A49" s="14" t="s">
        <v>1403</v>
      </c>
      <c r="B49" s="113" t="s">
        <v>1403</v>
      </c>
      <c r="C49" s="3" t="b">
        <f t="shared" si="0"/>
        <v>1</v>
      </c>
    </row>
    <row r="50" spans="1:3" x14ac:dyDescent="0.25">
      <c r="A50" s="14" t="s">
        <v>1434</v>
      </c>
      <c r="B50" s="113" t="s">
        <v>1434</v>
      </c>
      <c r="C50" s="3" t="b">
        <f t="shared" si="0"/>
        <v>1</v>
      </c>
    </row>
    <row r="51" spans="1:3" x14ac:dyDescent="0.25">
      <c r="A51" s="14" t="s">
        <v>758</v>
      </c>
      <c r="B51" s="113" t="s">
        <v>758</v>
      </c>
      <c r="C51" s="3" t="b">
        <f t="shared" si="0"/>
        <v>1</v>
      </c>
    </row>
    <row r="52" spans="1:3" x14ac:dyDescent="0.25">
      <c r="A52" s="54" t="s">
        <v>1429</v>
      </c>
      <c r="B52" s="113" t="s">
        <v>1429</v>
      </c>
      <c r="C52" s="3" t="b">
        <f t="shared" si="0"/>
        <v>1</v>
      </c>
    </row>
    <row r="53" spans="1:3" x14ac:dyDescent="0.25">
      <c r="A53" s="14" t="s">
        <v>1280</v>
      </c>
      <c r="B53" s="113" t="s">
        <v>1280</v>
      </c>
      <c r="C53" s="3" t="b">
        <f t="shared" si="0"/>
        <v>1</v>
      </c>
    </row>
    <row r="54" spans="1:3" x14ac:dyDescent="0.25">
      <c r="A54" s="14" t="s">
        <v>1411</v>
      </c>
      <c r="B54" s="113" t="s">
        <v>1411</v>
      </c>
      <c r="C54" s="3" t="b">
        <f t="shared" si="0"/>
        <v>1</v>
      </c>
    </row>
    <row r="55" spans="1:3" x14ac:dyDescent="0.25">
      <c r="A55" s="14" t="s">
        <v>1325</v>
      </c>
      <c r="B55" s="113" t="s">
        <v>1325</v>
      </c>
      <c r="C55" s="3" t="b">
        <f t="shared" si="0"/>
        <v>1</v>
      </c>
    </row>
    <row r="56" spans="1:3" x14ac:dyDescent="0.25">
      <c r="A56" s="14" t="s">
        <v>1267</v>
      </c>
      <c r="B56" s="113" t="s">
        <v>1267</v>
      </c>
      <c r="C56" s="3" t="b">
        <f t="shared" si="0"/>
        <v>1</v>
      </c>
    </row>
    <row r="57" spans="1:3" x14ac:dyDescent="0.25">
      <c r="A57" s="14" t="s">
        <v>1249</v>
      </c>
      <c r="B57" s="113" t="s">
        <v>1249</v>
      </c>
      <c r="C57" s="3" t="b">
        <f t="shared" si="0"/>
        <v>1</v>
      </c>
    </row>
    <row r="58" spans="1:3" x14ac:dyDescent="0.25">
      <c r="A58" s="14" t="s">
        <v>1346</v>
      </c>
      <c r="B58" s="113" t="s">
        <v>1346</v>
      </c>
      <c r="C58" s="3" t="b">
        <f t="shared" si="0"/>
        <v>1</v>
      </c>
    </row>
    <row r="59" spans="1:3" x14ac:dyDescent="0.25">
      <c r="A59" s="14" t="s">
        <v>1283</v>
      </c>
      <c r="B59" s="113" t="s">
        <v>1283</v>
      </c>
      <c r="C59" s="3" t="b">
        <f t="shared" si="0"/>
        <v>1</v>
      </c>
    </row>
    <row r="60" spans="1:3" x14ac:dyDescent="0.25">
      <c r="A60" s="54" t="s">
        <v>552</v>
      </c>
      <c r="B60" s="113" t="s">
        <v>552</v>
      </c>
      <c r="C60" s="3" t="b">
        <f t="shared" si="0"/>
        <v>1</v>
      </c>
    </row>
    <row r="61" spans="1:3" x14ac:dyDescent="0.25">
      <c r="A61" s="14" t="s">
        <v>1341</v>
      </c>
      <c r="B61" s="113" t="s">
        <v>1341</v>
      </c>
      <c r="C61" s="3" t="b">
        <f t="shared" si="0"/>
        <v>1</v>
      </c>
    </row>
    <row r="62" spans="1:3" x14ac:dyDescent="0.25">
      <c r="A62" s="14" t="s">
        <v>1392</v>
      </c>
      <c r="B62" s="113" t="s">
        <v>1392</v>
      </c>
      <c r="C62" s="3" t="b">
        <f t="shared" si="0"/>
        <v>1</v>
      </c>
    </row>
    <row r="63" spans="1:3" x14ac:dyDescent="0.25">
      <c r="A63" s="54" t="s">
        <v>1153</v>
      </c>
      <c r="B63" s="113" t="s">
        <v>1153</v>
      </c>
      <c r="C63" s="3" t="b">
        <f t="shared" si="0"/>
        <v>1</v>
      </c>
    </row>
    <row r="64" spans="1:3" x14ac:dyDescent="0.25">
      <c r="A64" s="14" t="s">
        <v>1331</v>
      </c>
      <c r="B64" s="113" t="s">
        <v>1331</v>
      </c>
      <c r="C64" s="3" t="b">
        <f t="shared" si="0"/>
        <v>1</v>
      </c>
    </row>
    <row r="65" spans="1:3" x14ac:dyDescent="0.25">
      <c r="A65" s="14" t="s">
        <v>1204</v>
      </c>
      <c r="B65" s="113" t="s">
        <v>1204</v>
      </c>
      <c r="C65" s="3" t="b">
        <f t="shared" si="0"/>
        <v>1</v>
      </c>
    </row>
    <row r="66" spans="1:3" x14ac:dyDescent="0.25">
      <c r="A66" s="54" t="s">
        <v>1158</v>
      </c>
      <c r="B66" s="113" t="s">
        <v>1158</v>
      </c>
      <c r="C66" s="3" t="b">
        <f t="shared" si="0"/>
        <v>1</v>
      </c>
    </row>
    <row r="67" spans="1:3" x14ac:dyDescent="0.25">
      <c r="A67" s="14" t="s">
        <v>1177</v>
      </c>
      <c r="B67" s="113" t="s">
        <v>1177</v>
      </c>
      <c r="C67" s="3" t="b">
        <f t="shared" ref="C67:C130" si="1">IF(A67=B67,TRUE,FALSE)</f>
        <v>1</v>
      </c>
    </row>
    <row r="68" spans="1:3" x14ac:dyDescent="0.25">
      <c r="A68" s="14" t="s">
        <v>1181</v>
      </c>
      <c r="B68" s="113" t="s">
        <v>1181</v>
      </c>
      <c r="C68" s="3" t="b">
        <f t="shared" si="1"/>
        <v>1</v>
      </c>
    </row>
    <row r="69" spans="1:3" x14ac:dyDescent="0.25">
      <c r="A69" s="54" t="s">
        <v>1155</v>
      </c>
      <c r="B69" s="113" t="s">
        <v>1155</v>
      </c>
      <c r="C69" s="3" t="b">
        <f t="shared" si="1"/>
        <v>1</v>
      </c>
    </row>
    <row r="70" spans="1:3" x14ac:dyDescent="0.25">
      <c r="A70" s="14" t="s">
        <v>1352</v>
      </c>
      <c r="B70" s="113" t="s">
        <v>1352</v>
      </c>
      <c r="C70" s="3" t="b">
        <f t="shared" si="1"/>
        <v>1</v>
      </c>
    </row>
    <row r="71" spans="1:3" x14ac:dyDescent="0.25">
      <c r="A71" s="14" t="s">
        <v>1311</v>
      </c>
      <c r="B71" s="113" t="s">
        <v>1311</v>
      </c>
      <c r="C71" s="3" t="b">
        <f t="shared" si="1"/>
        <v>1</v>
      </c>
    </row>
    <row r="72" spans="1:3" x14ac:dyDescent="0.25">
      <c r="A72" s="14" t="s">
        <v>1398</v>
      </c>
      <c r="B72" s="113" t="s">
        <v>1398</v>
      </c>
      <c r="C72" s="3" t="b">
        <f t="shared" si="1"/>
        <v>1</v>
      </c>
    </row>
    <row r="73" spans="1:3" x14ac:dyDescent="0.25">
      <c r="A73" s="14" t="s">
        <v>824</v>
      </c>
      <c r="B73" s="113" t="s">
        <v>824</v>
      </c>
      <c r="C73" s="3" t="b">
        <f t="shared" si="1"/>
        <v>1</v>
      </c>
    </row>
    <row r="74" spans="1:3" x14ac:dyDescent="0.25">
      <c r="A74" s="14" t="s">
        <v>1998</v>
      </c>
      <c r="B74" s="113" t="s">
        <v>1998</v>
      </c>
      <c r="C74" s="3" t="b">
        <f t="shared" si="1"/>
        <v>1</v>
      </c>
    </row>
    <row r="75" spans="1:3" x14ac:dyDescent="0.25">
      <c r="A75" s="14" t="s">
        <v>1320</v>
      </c>
      <c r="B75" s="113" t="s">
        <v>1320</v>
      </c>
      <c r="C75" s="3" t="b">
        <f t="shared" si="1"/>
        <v>1</v>
      </c>
    </row>
    <row r="76" spans="1:3" x14ac:dyDescent="0.25">
      <c r="A76" s="14" t="s">
        <v>1295</v>
      </c>
      <c r="B76" s="113" t="s">
        <v>1295</v>
      </c>
      <c r="C76" s="3" t="b">
        <f t="shared" si="1"/>
        <v>1</v>
      </c>
    </row>
    <row r="77" spans="1:3" x14ac:dyDescent="0.25">
      <c r="A77" s="14" t="s">
        <v>1251</v>
      </c>
      <c r="B77" s="113" t="s">
        <v>1251</v>
      </c>
      <c r="C77" s="3" t="b">
        <f t="shared" si="1"/>
        <v>1</v>
      </c>
    </row>
    <row r="78" spans="1:3" x14ac:dyDescent="0.25">
      <c r="A78" s="14" t="s">
        <v>2076</v>
      </c>
      <c r="B78" s="113" t="s">
        <v>2076</v>
      </c>
      <c r="C78" s="3" t="b">
        <f t="shared" si="1"/>
        <v>1</v>
      </c>
    </row>
    <row r="79" spans="1:3" x14ac:dyDescent="0.25">
      <c r="A79" s="14" t="s">
        <v>1305</v>
      </c>
      <c r="B79" s="113" t="s">
        <v>1305</v>
      </c>
      <c r="C79" s="3" t="b">
        <f t="shared" si="1"/>
        <v>1</v>
      </c>
    </row>
    <row r="80" spans="1:3" x14ac:dyDescent="0.25">
      <c r="A80" s="54" t="s">
        <v>1148</v>
      </c>
      <c r="B80" s="113" t="s">
        <v>1148</v>
      </c>
      <c r="C80" s="3" t="b">
        <f t="shared" si="1"/>
        <v>1</v>
      </c>
    </row>
    <row r="81" spans="1:3" x14ac:dyDescent="0.25">
      <c r="A81" s="14" t="s">
        <v>1201</v>
      </c>
      <c r="B81" s="113" t="s">
        <v>1201</v>
      </c>
      <c r="C81" s="3" t="b">
        <f t="shared" si="1"/>
        <v>1</v>
      </c>
    </row>
    <row r="82" spans="1:3" x14ac:dyDescent="0.25">
      <c r="A82" s="14" t="s">
        <v>1192</v>
      </c>
      <c r="B82" s="113" t="s">
        <v>1192</v>
      </c>
      <c r="C82" s="3" t="b">
        <f t="shared" si="1"/>
        <v>1</v>
      </c>
    </row>
    <row r="83" spans="1:3" x14ac:dyDescent="0.25">
      <c r="A83" s="54" t="s">
        <v>1416</v>
      </c>
      <c r="B83" s="113" t="s">
        <v>1416</v>
      </c>
      <c r="C83" s="3" t="b">
        <f t="shared" si="1"/>
        <v>1</v>
      </c>
    </row>
    <row r="84" spans="1:3" x14ac:dyDescent="0.25">
      <c r="A84" s="54" t="s">
        <v>1167</v>
      </c>
      <c r="B84" s="113" t="s">
        <v>1167</v>
      </c>
      <c r="C84" s="3" t="b">
        <f t="shared" si="1"/>
        <v>1</v>
      </c>
    </row>
    <row r="85" spans="1:3" x14ac:dyDescent="0.25">
      <c r="A85" s="14" t="s">
        <v>1247</v>
      </c>
      <c r="B85" s="113" t="s">
        <v>1247</v>
      </c>
      <c r="C85" s="3" t="b">
        <f t="shared" si="1"/>
        <v>1</v>
      </c>
    </row>
    <row r="86" spans="1:3" x14ac:dyDescent="0.25">
      <c r="A86" s="14" t="s">
        <v>1246</v>
      </c>
      <c r="B86" s="113" t="s">
        <v>1246</v>
      </c>
      <c r="C86" s="3" t="b">
        <f t="shared" si="1"/>
        <v>1</v>
      </c>
    </row>
    <row r="87" spans="1:3" x14ac:dyDescent="0.25">
      <c r="A87" s="14" t="s">
        <v>1353</v>
      </c>
      <c r="B87" s="113" t="s">
        <v>1353</v>
      </c>
      <c r="C87" s="3" t="b">
        <f t="shared" si="1"/>
        <v>1</v>
      </c>
    </row>
    <row r="88" spans="1:3" x14ac:dyDescent="0.25">
      <c r="A88" s="14" t="s">
        <v>482</v>
      </c>
      <c r="B88" s="113" t="s">
        <v>482</v>
      </c>
      <c r="C88" s="3" t="b">
        <f t="shared" si="1"/>
        <v>1</v>
      </c>
    </row>
    <row r="89" spans="1:3" x14ac:dyDescent="0.25">
      <c r="A89" s="14" t="s">
        <v>1400</v>
      </c>
      <c r="B89" s="113" t="s">
        <v>1400</v>
      </c>
      <c r="C89" s="3" t="b">
        <f t="shared" si="1"/>
        <v>1</v>
      </c>
    </row>
    <row r="90" spans="1:3" x14ac:dyDescent="0.25">
      <c r="A90" s="14" t="s">
        <v>1404</v>
      </c>
      <c r="B90" s="113" t="s">
        <v>1404</v>
      </c>
      <c r="C90" s="3" t="b">
        <f t="shared" si="1"/>
        <v>1</v>
      </c>
    </row>
    <row r="91" spans="1:3" x14ac:dyDescent="0.25">
      <c r="A91" s="14" t="s">
        <v>1101</v>
      </c>
      <c r="B91" s="113" t="s">
        <v>1101</v>
      </c>
      <c r="C91" s="3" t="b">
        <f t="shared" si="1"/>
        <v>1</v>
      </c>
    </row>
    <row r="92" spans="1:3" x14ac:dyDescent="0.25">
      <c r="A92" s="14" t="s">
        <v>2014</v>
      </c>
      <c r="B92" s="113" t="s">
        <v>2014</v>
      </c>
      <c r="C92" s="3" t="b">
        <f t="shared" si="1"/>
        <v>1</v>
      </c>
    </row>
    <row r="93" spans="1:3" x14ac:dyDescent="0.25">
      <c r="A93" s="14" t="s">
        <v>1441</v>
      </c>
      <c r="B93" s="113" t="s">
        <v>1441</v>
      </c>
      <c r="C93" s="3" t="b">
        <f t="shared" si="1"/>
        <v>1</v>
      </c>
    </row>
    <row r="94" spans="1:3" x14ac:dyDescent="0.25">
      <c r="A94" s="14" t="s">
        <v>2126</v>
      </c>
      <c r="B94" s="113" t="s">
        <v>2126</v>
      </c>
      <c r="C94" s="3" t="b">
        <f t="shared" si="1"/>
        <v>1</v>
      </c>
    </row>
    <row r="95" spans="1:3" x14ac:dyDescent="0.25">
      <c r="A95" s="14" t="s">
        <v>1070</v>
      </c>
      <c r="B95" s="113" t="s">
        <v>1070</v>
      </c>
      <c r="C95" s="3" t="b">
        <f t="shared" si="1"/>
        <v>1</v>
      </c>
    </row>
    <row r="96" spans="1:3" x14ac:dyDescent="0.25">
      <c r="A96" s="14" t="s">
        <v>1432</v>
      </c>
      <c r="B96" s="113" t="s">
        <v>1432</v>
      </c>
      <c r="C96" s="3" t="b">
        <f t="shared" si="1"/>
        <v>1</v>
      </c>
    </row>
    <row r="97" spans="1:3" x14ac:dyDescent="0.25">
      <c r="A97" s="14" t="s">
        <v>1293</v>
      </c>
      <c r="B97" s="113" t="s">
        <v>1293</v>
      </c>
      <c r="C97" s="3" t="b">
        <f t="shared" si="1"/>
        <v>1</v>
      </c>
    </row>
    <row r="98" spans="1:3" x14ac:dyDescent="0.25">
      <c r="A98" s="14" t="s">
        <v>1130</v>
      </c>
      <c r="B98" s="113" t="s">
        <v>1130</v>
      </c>
      <c r="C98" s="3" t="b">
        <f t="shared" si="1"/>
        <v>1</v>
      </c>
    </row>
    <row r="99" spans="1:3" x14ac:dyDescent="0.25">
      <c r="A99" s="14" t="s">
        <v>1450</v>
      </c>
      <c r="B99" s="113" t="s">
        <v>1450</v>
      </c>
      <c r="C99" s="3" t="b">
        <f t="shared" si="1"/>
        <v>1</v>
      </c>
    </row>
    <row r="100" spans="1:3" x14ac:dyDescent="0.25">
      <c r="A100" s="14" t="s">
        <v>1427</v>
      </c>
      <c r="B100" s="113" t="s">
        <v>1427</v>
      </c>
      <c r="C100" s="3" t="b">
        <f t="shared" si="1"/>
        <v>1</v>
      </c>
    </row>
    <row r="101" spans="1:3" x14ac:dyDescent="0.25">
      <c r="A101" s="14" t="s">
        <v>1466</v>
      </c>
      <c r="B101" s="113" t="s">
        <v>1466</v>
      </c>
      <c r="C101" s="3" t="b">
        <f t="shared" si="1"/>
        <v>1</v>
      </c>
    </row>
    <row r="102" spans="1:3" x14ac:dyDescent="0.25">
      <c r="A102" s="14" t="s">
        <v>1981</v>
      </c>
      <c r="B102" s="113" t="s">
        <v>1981</v>
      </c>
      <c r="C102" s="3" t="b">
        <f t="shared" si="1"/>
        <v>1</v>
      </c>
    </row>
    <row r="103" spans="1:3" x14ac:dyDescent="0.25">
      <c r="A103" s="14" t="s">
        <v>1458</v>
      </c>
      <c r="B103" s="113" t="s">
        <v>1444</v>
      </c>
      <c r="C103" s="3" t="b">
        <f t="shared" si="1"/>
        <v>0</v>
      </c>
    </row>
    <row r="104" spans="1:3" x14ac:dyDescent="0.25">
      <c r="A104" s="14" t="s">
        <v>1444</v>
      </c>
      <c r="B104" s="113" t="s">
        <v>1014</v>
      </c>
      <c r="C104" s="3" t="b">
        <f t="shared" si="1"/>
        <v>0</v>
      </c>
    </row>
    <row r="105" spans="1:3" x14ac:dyDescent="0.25">
      <c r="A105" s="54" t="s">
        <v>1014</v>
      </c>
      <c r="B105" s="113" t="s">
        <v>2178</v>
      </c>
      <c r="C105" s="3" t="b">
        <f t="shared" si="1"/>
        <v>0</v>
      </c>
    </row>
    <row r="106" spans="1:3" x14ac:dyDescent="0.25">
      <c r="A106" s="14" t="s">
        <v>2178</v>
      </c>
      <c r="B106" s="113" t="s">
        <v>1109</v>
      </c>
      <c r="C106" s="3" t="b">
        <f t="shared" si="1"/>
        <v>0</v>
      </c>
    </row>
    <row r="107" spans="1:3" x14ac:dyDescent="0.25">
      <c r="A107" s="14" t="s">
        <v>1109</v>
      </c>
      <c r="B107" s="113" t="s">
        <v>1229</v>
      </c>
      <c r="C107" s="3" t="b">
        <f t="shared" si="1"/>
        <v>0</v>
      </c>
    </row>
    <row r="108" spans="1:3" x14ac:dyDescent="0.25">
      <c r="A108" s="14" t="s">
        <v>1229</v>
      </c>
      <c r="B108" s="113" t="s">
        <v>1236</v>
      </c>
      <c r="C108" s="3" t="b">
        <f t="shared" si="1"/>
        <v>0</v>
      </c>
    </row>
    <row r="109" spans="1:3" x14ac:dyDescent="0.25">
      <c r="A109" s="14" t="s">
        <v>1236</v>
      </c>
      <c r="B109" s="113" t="s">
        <v>1219</v>
      </c>
      <c r="C109" s="3" t="b">
        <f t="shared" si="1"/>
        <v>0</v>
      </c>
    </row>
    <row r="110" spans="1:3" x14ac:dyDescent="0.25">
      <c r="A110" s="14" t="s">
        <v>1219</v>
      </c>
      <c r="B110" s="113" t="s">
        <v>1228</v>
      </c>
      <c r="C110" s="3" t="b">
        <f t="shared" si="1"/>
        <v>0</v>
      </c>
    </row>
    <row r="111" spans="1:3" x14ac:dyDescent="0.25">
      <c r="A111" s="14" t="s">
        <v>1228</v>
      </c>
      <c r="B111" s="113" t="s">
        <v>1206</v>
      </c>
      <c r="C111" s="3" t="b">
        <f t="shared" si="1"/>
        <v>0</v>
      </c>
    </row>
    <row r="112" spans="1:3" x14ac:dyDescent="0.25">
      <c r="A112" s="10" t="s">
        <v>1206</v>
      </c>
      <c r="B112" s="113" t="s">
        <v>1087</v>
      </c>
      <c r="C112" s="3" t="b">
        <f t="shared" si="1"/>
        <v>0</v>
      </c>
    </row>
    <row r="113" spans="1:3" x14ac:dyDescent="0.25">
      <c r="A113" s="14" t="s">
        <v>1087</v>
      </c>
      <c r="B113" s="113" t="s">
        <v>1211</v>
      </c>
      <c r="C113" s="3" t="b">
        <f t="shared" si="1"/>
        <v>0</v>
      </c>
    </row>
    <row r="114" spans="1:3" x14ac:dyDescent="0.25">
      <c r="A114" s="14" t="s">
        <v>1211</v>
      </c>
      <c r="B114" s="113" t="s">
        <v>1242</v>
      </c>
      <c r="C114" s="3" t="b">
        <f t="shared" si="1"/>
        <v>0</v>
      </c>
    </row>
    <row r="115" spans="1:3" x14ac:dyDescent="0.25">
      <c r="A115" s="14" t="s">
        <v>1242</v>
      </c>
      <c r="B115" s="113" t="s">
        <v>1078</v>
      </c>
      <c r="C115" s="3" t="b">
        <f t="shared" si="1"/>
        <v>0</v>
      </c>
    </row>
    <row r="116" spans="1:3" x14ac:dyDescent="0.25">
      <c r="A116" s="14" t="s">
        <v>1078</v>
      </c>
      <c r="B116" s="113" t="s">
        <v>1221</v>
      </c>
      <c r="C116" s="3" t="b">
        <f t="shared" si="1"/>
        <v>0</v>
      </c>
    </row>
    <row r="117" spans="1:3" x14ac:dyDescent="0.25">
      <c r="A117" s="14" t="s">
        <v>1221</v>
      </c>
      <c r="B117" s="113" t="s">
        <v>1240</v>
      </c>
      <c r="C117" s="3" t="b">
        <f t="shared" si="1"/>
        <v>0</v>
      </c>
    </row>
    <row r="118" spans="1:3" x14ac:dyDescent="0.25">
      <c r="A118" s="14" t="s">
        <v>1240</v>
      </c>
      <c r="B118" s="113" t="s">
        <v>1097</v>
      </c>
      <c r="C118" s="3" t="b">
        <f t="shared" si="1"/>
        <v>0</v>
      </c>
    </row>
    <row r="119" spans="1:3" x14ac:dyDescent="0.25">
      <c r="A119" s="14" t="s">
        <v>1097</v>
      </c>
      <c r="B119" s="113" t="s">
        <v>1218</v>
      </c>
      <c r="C119" s="3" t="b">
        <f t="shared" si="1"/>
        <v>0</v>
      </c>
    </row>
    <row r="120" spans="1:3" x14ac:dyDescent="0.25">
      <c r="A120" s="14" t="s">
        <v>1218</v>
      </c>
      <c r="B120" s="113" t="s">
        <v>1085</v>
      </c>
      <c r="C120" s="3" t="b">
        <f t="shared" si="1"/>
        <v>0</v>
      </c>
    </row>
    <row r="121" spans="1:3" x14ac:dyDescent="0.25">
      <c r="A121" s="14" t="s">
        <v>1085</v>
      </c>
      <c r="B121" s="113" t="s">
        <v>1136</v>
      </c>
      <c r="C121" s="3" t="b">
        <f t="shared" si="1"/>
        <v>0</v>
      </c>
    </row>
    <row r="122" spans="1:3" x14ac:dyDescent="0.25">
      <c r="A122" s="14" t="s">
        <v>1136</v>
      </c>
      <c r="B122" s="113" t="s">
        <v>1215</v>
      </c>
      <c r="C122" s="3" t="b">
        <f t="shared" si="1"/>
        <v>0</v>
      </c>
    </row>
    <row r="123" spans="1:3" x14ac:dyDescent="0.25">
      <c r="A123" s="14" t="s">
        <v>1215</v>
      </c>
      <c r="B123" s="113" t="s">
        <v>1208</v>
      </c>
      <c r="C123" s="3" t="b">
        <f t="shared" si="1"/>
        <v>0</v>
      </c>
    </row>
    <row r="124" spans="1:3" x14ac:dyDescent="0.25">
      <c r="A124" s="14" t="s">
        <v>1208</v>
      </c>
      <c r="B124" s="113" t="s">
        <v>1066</v>
      </c>
      <c r="C124" s="3" t="b">
        <f t="shared" si="1"/>
        <v>0</v>
      </c>
    </row>
    <row r="125" spans="1:3" x14ac:dyDescent="0.25">
      <c r="A125" s="14" t="s">
        <v>1066</v>
      </c>
      <c r="B125" s="113" t="s">
        <v>1108</v>
      </c>
      <c r="C125" s="3" t="b">
        <f t="shared" si="1"/>
        <v>0</v>
      </c>
    </row>
    <row r="126" spans="1:3" x14ac:dyDescent="0.25">
      <c r="A126" s="14" t="s">
        <v>1108</v>
      </c>
      <c r="B126" s="113" t="s">
        <v>1117</v>
      </c>
      <c r="C126" s="3" t="b">
        <f t="shared" si="1"/>
        <v>0</v>
      </c>
    </row>
    <row r="127" spans="1:3" x14ac:dyDescent="0.25">
      <c r="A127" s="14" t="s">
        <v>1117</v>
      </c>
      <c r="B127" s="113" t="s">
        <v>1122</v>
      </c>
      <c r="C127" s="3" t="b">
        <f t="shared" si="1"/>
        <v>0</v>
      </c>
    </row>
    <row r="128" spans="1:3" x14ac:dyDescent="0.25">
      <c r="A128" s="14" t="s">
        <v>1122</v>
      </c>
      <c r="B128" s="113" t="s">
        <v>1099</v>
      </c>
      <c r="C128" s="3" t="b">
        <f t="shared" si="1"/>
        <v>0</v>
      </c>
    </row>
    <row r="129" spans="1:3" x14ac:dyDescent="0.25">
      <c r="A129" s="14" t="s">
        <v>1099</v>
      </c>
      <c r="B129" s="113" t="s">
        <v>1102</v>
      </c>
      <c r="C129" s="3" t="b">
        <f t="shared" si="1"/>
        <v>0</v>
      </c>
    </row>
    <row r="130" spans="1:3" x14ac:dyDescent="0.25">
      <c r="A130" s="14" t="s">
        <v>1102</v>
      </c>
      <c r="B130" s="113" t="s">
        <v>1118</v>
      </c>
      <c r="C130" s="3" t="b">
        <f t="shared" si="1"/>
        <v>0</v>
      </c>
    </row>
    <row r="131" spans="1:3" x14ac:dyDescent="0.25">
      <c r="A131" s="14" t="s">
        <v>1118</v>
      </c>
      <c r="B131" s="113" t="s">
        <v>1127</v>
      </c>
      <c r="C131" s="3" t="b">
        <f t="shared" ref="C131:C194" si="2">IF(A131=B131,TRUE,FALSE)</f>
        <v>0</v>
      </c>
    </row>
    <row r="132" spans="1:3" x14ac:dyDescent="0.25">
      <c r="A132" s="14" t="s">
        <v>1127</v>
      </c>
      <c r="B132" s="113" t="s">
        <v>1135</v>
      </c>
      <c r="C132" s="3" t="b">
        <f t="shared" si="2"/>
        <v>0</v>
      </c>
    </row>
    <row r="133" spans="1:3" x14ac:dyDescent="0.25">
      <c r="A133" s="14" t="s">
        <v>1135</v>
      </c>
      <c r="B133" s="113" t="s">
        <v>1133</v>
      </c>
      <c r="C133" s="3" t="b">
        <f t="shared" si="2"/>
        <v>0</v>
      </c>
    </row>
    <row r="134" spans="1:3" x14ac:dyDescent="0.25">
      <c r="A134" s="14" t="s">
        <v>1133</v>
      </c>
      <c r="B134" s="113" t="s">
        <v>1144</v>
      </c>
      <c r="C134" s="3" t="b">
        <f t="shared" si="2"/>
        <v>0</v>
      </c>
    </row>
    <row r="135" spans="1:3" x14ac:dyDescent="0.25">
      <c r="A135" s="14" t="s">
        <v>1144</v>
      </c>
      <c r="B135" s="113" t="s">
        <v>1129</v>
      </c>
      <c r="C135" s="3" t="b">
        <f t="shared" si="2"/>
        <v>0</v>
      </c>
    </row>
    <row r="136" spans="1:3" x14ac:dyDescent="0.25">
      <c r="A136" s="14" t="s">
        <v>1129</v>
      </c>
      <c r="B136" s="113" t="s">
        <v>1138</v>
      </c>
      <c r="C136" s="3" t="b">
        <f t="shared" si="2"/>
        <v>0</v>
      </c>
    </row>
    <row r="137" spans="1:3" x14ac:dyDescent="0.25">
      <c r="A137" s="14" t="s">
        <v>1138</v>
      </c>
      <c r="B137" s="113" t="s">
        <v>1111</v>
      </c>
      <c r="C137" s="3" t="b">
        <f t="shared" si="2"/>
        <v>0</v>
      </c>
    </row>
    <row r="138" spans="1:3" x14ac:dyDescent="0.25">
      <c r="A138" s="14" t="s">
        <v>1111</v>
      </c>
      <c r="B138" s="113" t="s">
        <v>1276</v>
      </c>
      <c r="C138" s="3" t="b">
        <f t="shared" si="2"/>
        <v>0</v>
      </c>
    </row>
    <row r="139" spans="1:3" x14ac:dyDescent="0.25">
      <c r="A139" s="14" t="s">
        <v>1276</v>
      </c>
      <c r="B139" s="113" t="s">
        <v>1264</v>
      </c>
      <c r="C139" s="3" t="b">
        <f t="shared" si="2"/>
        <v>0</v>
      </c>
    </row>
    <row r="140" spans="1:3" x14ac:dyDescent="0.25">
      <c r="A140" s="14" t="s">
        <v>1264</v>
      </c>
      <c r="B140" s="113" t="s">
        <v>1157</v>
      </c>
      <c r="C140" s="3" t="b">
        <f t="shared" si="2"/>
        <v>0</v>
      </c>
    </row>
    <row r="141" spans="1:3" x14ac:dyDescent="0.25">
      <c r="A141" s="14" t="s">
        <v>1157</v>
      </c>
      <c r="B141" s="113" t="s">
        <v>1072</v>
      </c>
      <c r="C141" s="3" t="b">
        <f t="shared" si="2"/>
        <v>0</v>
      </c>
    </row>
    <row r="142" spans="1:3" x14ac:dyDescent="0.25">
      <c r="A142" s="14" t="s">
        <v>1072</v>
      </c>
      <c r="B142" s="113" t="s">
        <v>1139</v>
      </c>
      <c r="C142" s="3" t="b">
        <f t="shared" si="2"/>
        <v>0</v>
      </c>
    </row>
    <row r="143" spans="1:3" x14ac:dyDescent="0.25">
      <c r="A143" s="14" t="s">
        <v>1139</v>
      </c>
      <c r="B143" s="113" t="s">
        <v>1077</v>
      </c>
      <c r="C143" s="3" t="b">
        <f t="shared" si="2"/>
        <v>0</v>
      </c>
    </row>
    <row r="144" spans="1:3" x14ac:dyDescent="0.25">
      <c r="A144" s="14" t="s">
        <v>1077</v>
      </c>
      <c r="B144" s="113" t="s">
        <v>1426</v>
      </c>
      <c r="C144" s="3" t="b">
        <f t="shared" si="2"/>
        <v>0</v>
      </c>
    </row>
    <row r="145" spans="1:3" x14ac:dyDescent="0.25">
      <c r="A145" s="14" t="s">
        <v>1426</v>
      </c>
      <c r="B145" s="113" t="s">
        <v>1244</v>
      </c>
      <c r="C145" s="3" t="b">
        <f t="shared" si="2"/>
        <v>0</v>
      </c>
    </row>
    <row r="146" spans="1:3" x14ac:dyDescent="0.25">
      <c r="A146" s="14" t="s">
        <v>1244</v>
      </c>
      <c r="B146" s="113" t="s">
        <v>1318</v>
      </c>
      <c r="C146" s="3" t="b">
        <f t="shared" si="2"/>
        <v>0</v>
      </c>
    </row>
    <row r="147" spans="1:3" x14ac:dyDescent="0.25">
      <c r="A147" s="14" t="s">
        <v>1318</v>
      </c>
      <c r="B147" s="113" t="s">
        <v>1152</v>
      </c>
      <c r="C147" s="3" t="b">
        <f t="shared" si="2"/>
        <v>0</v>
      </c>
    </row>
    <row r="148" spans="1:3" x14ac:dyDescent="0.25">
      <c r="A148" s="14" t="s">
        <v>1152</v>
      </c>
      <c r="B148" s="113" t="s">
        <v>1475</v>
      </c>
      <c r="C148" s="3" t="b">
        <f t="shared" si="2"/>
        <v>0</v>
      </c>
    </row>
    <row r="149" spans="1:3" x14ac:dyDescent="0.25">
      <c r="A149" s="14" t="s">
        <v>1475</v>
      </c>
      <c r="B149" s="113" t="s">
        <v>1452</v>
      </c>
      <c r="C149" s="3" t="b">
        <f t="shared" si="2"/>
        <v>0</v>
      </c>
    </row>
    <row r="150" spans="1:3" x14ac:dyDescent="0.25">
      <c r="A150" s="14" t="s">
        <v>1452</v>
      </c>
      <c r="B150" s="113" t="s">
        <v>1151</v>
      </c>
      <c r="C150" s="3" t="b">
        <f t="shared" si="2"/>
        <v>0</v>
      </c>
    </row>
    <row r="151" spans="1:3" x14ac:dyDescent="0.25">
      <c r="A151" s="14" t="s">
        <v>1151</v>
      </c>
      <c r="B151" s="113" t="s">
        <v>949</v>
      </c>
      <c r="C151" s="3" t="b">
        <f t="shared" si="2"/>
        <v>0</v>
      </c>
    </row>
    <row r="152" spans="1:3" x14ac:dyDescent="0.25">
      <c r="A152" s="14" t="s">
        <v>949</v>
      </c>
      <c r="B152" s="113" t="s">
        <v>1168</v>
      </c>
      <c r="C152" s="3" t="b">
        <f t="shared" si="2"/>
        <v>0</v>
      </c>
    </row>
    <row r="153" spans="1:3" x14ac:dyDescent="0.25">
      <c r="A153" s="14" t="s">
        <v>1168</v>
      </c>
      <c r="B153" s="113" t="s">
        <v>1195</v>
      </c>
      <c r="C153" s="3" t="b">
        <f t="shared" si="2"/>
        <v>0</v>
      </c>
    </row>
    <row r="154" spans="1:3" x14ac:dyDescent="0.25">
      <c r="A154" s="14" t="s">
        <v>1195</v>
      </c>
      <c r="B154" s="113" t="s">
        <v>1182</v>
      </c>
      <c r="C154" s="3" t="b">
        <f t="shared" si="2"/>
        <v>0</v>
      </c>
    </row>
    <row r="155" spans="1:3" x14ac:dyDescent="0.25">
      <c r="A155" s="14" t="s">
        <v>1182</v>
      </c>
      <c r="B155" s="113" t="s">
        <v>1418</v>
      </c>
      <c r="C155" s="3" t="b">
        <f t="shared" si="2"/>
        <v>0</v>
      </c>
    </row>
    <row r="156" spans="1:3" x14ac:dyDescent="0.25">
      <c r="A156" s="14" t="s">
        <v>1418</v>
      </c>
      <c r="B156" s="113" t="s">
        <v>1198</v>
      </c>
      <c r="C156" s="3" t="b">
        <f t="shared" si="2"/>
        <v>0</v>
      </c>
    </row>
    <row r="157" spans="1:3" x14ac:dyDescent="0.25">
      <c r="A157" s="14" t="s">
        <v>1198</v>
      </c>
      <c r="B157" s="113" t="s">
        <v>1348</v>
      </c>
      <c r="C157" s="3" t="b">
        <f t="shared" si="2"/>
        <v>0</v>
      </c>
    </row>
    <row r="158" spans="1:3" x14ac:dyDescent="0.25">
      <c r="A158" s="14" t="s">
        <v>1348</v>
      </c>
      <c r="B158" s="113" t="s">
        <v>1433</v>
      </c>
      <c r="C158" s="3" t="b">
        <f t="shared" si="2"/>
        <v>0</v>
      </c>
    </row>
    <row r="159" spans="1:3" x14ac:dyDescent="0.25">
      <c r="A159" s="14" t="s">
        <v>1433</v>
      </c>
      <c r="B159" s="113" t="s">
        <v>1414</v>
      </c>
      <c r="C159" s="3" t="b">
        <f t="shared" si="2"/>
        <v>0</v>
      </c>
    </row>
    <row r="160" spans="1:3" x14ac:dyDescent="0.25">
      <c r="A160" s="14" t="s">
        <v>1414</v>
      </c>
      <c r="B160" s="113" t="s">
        <v>1080</v>
      </c>
      <c r="C160" s="3" t="b">
        <f t="shared" si="2"/>
        <v>0</v>
      </c>
    </row>
    <row r="161" spans="1:3" x14ac:dyDescent="0.25">
      <c r="A161" s="14" t="s">
        <v>1080</v>
      </c>
      <c r="B161" s="113" t="s">
        <v>584</v>
      </c>
      <c r="C161" s="3" t="b">
        <f t="shared" si="2"/>
        <v>0</v>
      </c>
    </row>
    <row r="162" spans="1:3" x14ac:dyDescent="0.25">
      <c r="A162" s="14" t="s">
        <v>584</v>
      </c>
      <c r="B162" s="113" t="s">
        <v>1146</v>
      </c>
      <c r="C162" s="3" t="b">
        <f t="shared" si="2"/>
        <v>0</v>
      </c>
    </row>
    <row r="163" spans="1:3" x14ac:dyDescent="0.25">
      <c r="A163" s="14" t="s">
        <v>1146</v>
      </c>
      <c r="B163" s="113" t="s">
        <v>1090</v>
      </c>
      <c r="C163" s="3" t="b">
        <f t="shared" si="2"/>
        <v>0</v>
      </c>
    </row>
    <row r="164" spans="1:3" x14ac:dyDescent="0.25">
      <c r="A164" s="14" t="s">
        <v>1090</v>
      </c>
      <c r="B164" s="113" t="s">
        <v>1096</v>
      </c>
      <c r="C164" s="3" t="b">
        <f t="shared" si="2"/>
        <v>0</v>
      </c>
    </row>
    <row r="165" spans="1:3" x14ac:dyDescent="0.25">
      <c r="A165" s="14" t="s">
        <v>1096</v>
      </c>
      <c r="B165" s="113" t="s">
        <v>1409</v>
      </c>
      <c r="C165" s="3" t="b">
        <f t="shared" si="2"/>
        <v>0</v>
      </c>
    </row>
    <row r="166" spans="1:3" x14ac:dyDescent="0.25">
      <c r="A166" s="14" t="s">
        <v>1409</v>
      </c>
      <c r="B166" s="113" t="s">
        <v>1073</v>
      </c>
      <c r="C166" s="3" t="b">
        <f t="shared" si="2"/>
        <v>0</v>
      </c>
    </row>
    <row r="167" spans="1:3" x14ac:dyDescent="0.25">
      <c r="A167" s="14" t="s">
        <v>1073</v>
      </c>
      <c r="B167" s="113" t="s">
        <v>1145</v>
      </c>
      <c r="C167" s="3" t="b">
        <f t="shared" si="2"/>
        <v>0</v>
      </c>
    </row>
    <row r="168" spans="1:3" x14ac:dyDescent="0.25">
      <c r="A168" s="14" t="s">
        <v>1145</v>
      </c>
      <c r="B168" s="113" t="s">
        <v>1354</v>
      </c>
      <c r="C168" s="3" t="b">
        <f t="shared" si="2"/>
        <v>0</v>
      </c>
    </row>
    <row r="169" spans="1:3" x14ac:dyDescent="0.25">
      <c r="A169" s="14" t="s">
        <v>1354</v>
      </c>
      <c r="B169" s="113" t="s">
        <v>593</v>
      </c>
      <c r="C169" s="3" t="b">
        <f t="shared" si="2"/>
        <v>0</v>
      </c>
    </row>
    <row r="170" spans="1:3" x14ac:dyDescent="0.25">
      <c r="A170" s="14" t="s">
        <v>593</v>
      </c>
      <c r="B170" s="113" t="s">
        <v>1281</v>
      </c>
      <c r="C170" s="3" t="b">
        <f t="shared" si="2"/>
        <v>0</v>
      </c>
    </row>
    <row r="171" spans="1:3" x14ac:dyDescent="0.25">
      <c r="A171" s="14" t="s">
        <v>1281</v>
      </c>
      <c r="B171" s="113" t="s">
        <v>1375</v>
      </c>
      <c r="C171" s="3" t="b">
        <f t="shared" si="2"/>
        <v>0</v>
      </c>
    </row>
    <row r="172" spans="1:3" x14ac:dyDescent="0.25">
      <c r="A172" s="14" t="s">
        <v>1375</v>
      </c>
      <c r="B172" s="113" t="s">
        <v>1457</v>
      </c>
      <c r="C172" s="3" t="b">
        <f t="shared" si="2"/>
        <v>0</v>
      </c>
    </row>
    <row r="173" spans="1:3" x14ac:dyDescent="0.25">
      <c r="A173" s="14" t="s">
        <v>1457</v>
      </c>
      <c r="B173" s="113" t="s">
        <v>1012</v>
      </c>
      <c r="C173" s="3" t="b">
        <f t="shared" si="2"/>
        <v>0</v>
      </c>
    </row>
    <row r="174" spans="1:3" x14ac:dyDescent="0.25">
      <c r="A174" s="54" t="s">
        <v>1012</v>
      </c>
      <c r="B174" s="113" t="s">
        <v>1401</v>
      </c>
      <c r="C174" s="3" t="b">
        <f t="shared" si="2"/>
        <v>0</v>
      </c>
    </row>
    <row r="175" spans="1:3" x14ac:dyDescent="0.25">
      <c r="A175" s="14" t="s">
        <v>1401</v>
      </c>
      <c r="B175" s="113" t="s">
        <v>1363</v>
      </c>
      <c r="C175" s="3" t="b">
        <f t="shared" si="2"/>
        <v>0</v>
      </c>
    </row>
    <row r="176" spans="1:3" x14ac:dyDescent="0.25">
      <c r="A176" s="14" t="s">
        <v>1363</v>
      </c>
      <c r="B176" s="113" t="s">
        <v>1248</v>
      </c>
      <c r="C176" s="3" t="b">
        <f t="shared" si="2"/>
        <v>0</v>
      </c>
    </row>
    <row r="177" spans="1:3" x14ac:dyDescent="0.25">
      <c r="A177" s="14" t="s">
        <v>1248</v>
      </c>
      <c r="B177" s="113" t="s">
        <v>1448</v>
      </c>
      <c r="C177" s="3" t="b">
        <f t="shared" si="2"/>
        <v>0</v>
      </c>
    </row>
    <row r="178" spans="1:3" x14ac:dyDescent="0.25">
      <c r="A178" s="14" t="s">
        <v>1448</v>
      </c>
      <c r="B178" s="113" t="s">
        <v>1250</v>
      </c>
      <c r="C178" s="3" t="b">
        <f t="shared" si="2"/>
        <v>0</v>
      </c>
    </row>
    <row r="179" spans="1:3" x14ac:dyDescent="0.25">
      <c r="A179" s="14" t="s">
        <v>1250</v>
      </c>
      <c r="B179" s="113" t="s">
        <v>1372</v>
      </c>
      <c r="C179" s="3" t="b">
        <f t="shared" si="2"/>
        <v>0</v>
      </c>
    </row>
    <row r="180" spans="1:3" x14ac:dyDescent="0.25">
      <c r="A180" s="14" t="s">
        <v>1372</v>
      </c>
      <c r="B180" s="113" t="s">
        <v>1147</v>
      </c>
      <c r="C180" s="3" t="b">
        <f t="shared" si="2"/>
        <v>0</v>
      </c>
    </row>
    <row r="181" spans="1:3" x14ac:dyDescent="0.25">
      <c r="A181" s="54" t="s">
        <v>1147</v>
      </c>
      <c r="B181" s="113" t="s">
        <v>1174</v>
      </c>
      <c r="C181" s="3" t="b">
        <f t="shared" si="2"/>
        <v>0</v>
      </c>
    </row>
    <row r="182" spans="1:3" x14ac:dyDescent="0.25">
      <c r="A182" s="54" t="s">
        <v>1174</v>
      </c>
      <c r="B182" s="113" t="s">
        <v>1156</v>
      </c>
      <c r="C182" s="3" t="b">
        <f t="shared" si="2"/>
        <v>0</v>
      </c>
    </row>
    <row r="183" spans="1:3" x14ac:dyDescent="0.25">
      <c r="A183" s="54" t="s">
        <v>1156</v>
      </c>
      <c r="B183" s="113" t="s">
        <v>1302</v>
      </c>
      <c r="C183" s="3" t="b">
        <f t="shared" si="2"/>
        <v>0</v>
      </c>
    </row>
    <row r="184" spans="1:3" x14ac:dyDescent="0.25">
      <c r="A184" s="14" t="s">
        <v>1302</v>
      </c>
      <c r="B184" s="113" t="s">
        <v>1254</v>
      </c>
      <c r="C184" s="3" t="b">
        <f t="shared" si="2"/>
        <v>0</v>
      </c>
    </row>
    <row r="185" spans="1:3" x14ac:dyDescent="0.25">
      <c r="A185" s="14" t="s">
        <v>1254</v>
      </c>
      <c r="B185" s="113" t="s">
        <v>1461</v>
      </c>
      <c r="C185" s="3" t="b">
        <f t="shared" si="2"/>
        <v>0</v>
      </c>
    </row>
    <row r="186" spans="1:3" x14ac:dyDescent="0.25">
      <c r="A186" s="14" t="s">
        <v>1461</v>
      </c>
      <c r="B186" s="113" t="s">
        <v>1365</v>
      </c>
      <c r="C186" s="3" t="b">
        <f t="shared" si="2"/>
        <v>0</v>
      </c>
    </row>
    <row r="187" spans="1:3" x14ac:dyDescent="0.25">
      <c r="A187" s="14" t="s">
        <v>1365</v>
      </c>
      <c r="B187" s="113" t="s">
        <v>1396</v>
      </c>
      <c r="C187" s="3" t="b">
        <f t="shared" si="2"/>
        <v>0</v>
      </c>
    </row>
    <row r="188" spans="1:3" x14ac:dyDescent="0.25">
      <c r="A188" s="14" t="s">
        <v>1396</v>
      </c>
      <c r="B188" s="113" t="s">
        <v>1412</v>
      </c>
      <c r="C188" s="3" t="b">
        <f t="shared" si="2"/>
        <v>0</v>
      </c>
    </row>
    <row r="189" spans="1:3" x14ac:dyDescent="0.25">
      <c r="A189" s="14" t="s">
        <v>1412</v>
      </c>
      <c r="B189" s="113" t="s">
        <v>1245</v>
      </c>
      <c r="C189" s="3" t="b">
        <f t="shared" si="2"/>
        <v>0</v>
      </c>
    </row>
    <row r="190" spans="1:3" x14ac:dyDescent="0.25">
      <c r="A190" s="14" t="s">
        <v>1245</v>
      </c>
      <c r="B190" s="113" t="s">
        <v>1334</v>
      </c>
      <c r="C190" s="3" t="b">
        <f t="shared" si="2"/>
        <v>0</v>
      </c>
    </row>
    <row r="191" spans="1:3" x14ac:dyDescent="0.25">
      <c r="A191" s="14" t="s">
        <v>1334</v>
      </c>
      <c r="B191" s="113" t="s">
        <v>1327</v>
      </c>
      <c r="C191" s="3" t="b">
        <f t="shared" si="2"/>
        <v>0</v>
      </c>
    </row>
    <row r="192" spans="1:3" x14ac:dyDescent="0.25">
      <c r="A192" s="14" t="s">
        <v>1327</v>
      </c>
      <c r="B192" s="113" t="s">
        <v>1256</v>
      </c>
      <c r="C192" s="3" t="b">
        <f t="shared" si="2"/>
        <v>0</v>
      </c>
    </row>
    <row r="193" spans="1:3" x14ac:dyDescent="0.25">
      <c r="A193" s="14" t="s">
        <v>1256</v>
      </c>
      <c r="B193" s="113" t="s">
        <v>2172</v>
      </c>
      <c r="C193" s="3" t="b">
        <f t="shared" si="2"/>
        <v>0</v>
      </c>
    </row>
    <row r="194" spans="1:3" x14ac:dyDescent="0.25">
      <c r="A194" s="54" t="s">
        <v>2172</v>
      </c>
      <c r="B194" s="113" t="s">
        <v>1197</v>
      </c>
      <c r="C194" s="3" t="b">
        <f t="shared" si="2"/>
        <v>0</v>
      </c>
    </row>
    <row r="195" spans="1:3" x14ac:dyDescent="0.25">
      <c r="A195" s="14" t="s">
        <v>1197</v>
      </c>
      <c r="B195" s="113" t="s">
        <v>1323</v>
      </c>
      <c r="C195" s="3" t="b">
        <f t="shared" ref="C195:C249" si="3">IF(A195=B195,TRUE,FALSE)</f>
        <v>0</v>
      </c>
    </row>
    <row r="196" spans="1:3" x14ac:dyDescent="0.25">
      <c r="A196" s="14" t="s">
        <v>1323</v>
      </c>
      <c r="B196" s="113" t="s">
        <v>1377</v>
      </c>
      <c r="C196" s="3" t="b">
        <f t="shared" si="3"/>
        <v>0</v>
      </c>
    </row>
    <row r="197" spans="1:3" x14ac:dyDescent="0.25">
      <c r="A197" s="14" t="s">
        <v>1377</v>
      </c>
      <c r="B197" s="113" t="s">
        <v>1268</v>
      </c>
      <c r="C197" s="3" t="b">
        <f t="shared" si="3"/>
        <v>0</v>
      </c>
    </row>
    <row r="198" spans="1:3" x14ac:dyDescent="0.25">
      <c r="A198" s="14" t="s">
        <v>1268</v>
      </c>
      <c r="B198" s="113" t="s">
        <v>1175</v>
      </c>
      <c r="C198" s="3" t="b">
        <f t="shared" si="3"/>
        <v>0</v>
      </c>
    </row>
    <row r="199" spans="1:3" x14ac:dyDescent="0.25">
      <c r="A199" s="14" t="s">
        <v>1175</v>
      </c>
      <c r="B199" s="113" t="s">
        <v>1180</v>
      </c>
      <c r="C199" s="3" t="b">
        <f t="shared" si="3"/>
        <v>0</v>
      </c>
    </row>
    <row r="200" spans="1:3" x14ac:dyDescent="0.25">
      <c r="A200" s="14" t="s">
        <v>1180</v>
      </c>
      <c r="B200" s="113" t="s">
        <v>1393</v>
      </c>
      <c r="C200" s="3" t="b">
        <f t="shared" si="3"/>
        <v>0</v>
      </c>
    </row>
    <row r="201" spans="1:3" x14ac:dyDescent="0.25">
      <c r="A201" s="14" t="s">
        <v>1393</v>
      </c>
      <c r="B201" s="113" t="s">
        <v>1358</v>
      </c>
      <c r="C201" s="3" t="b">
        <f t="shared" si="3"/>
        <v>0</v>
      </c>
    </row>
    <row r="202" spans="1:3" x14ac:dyDescent="0.25">
      <c r="A202" s="14" t="s">
        <v>1358</v>
      </c>
      <c r="B202" s="113" t="s">
        <v>1315</v>
      </c>
      <c r="C202" s="3" t="b">
        <f t="shared" si="3"/>
        <v>0</v>
      </c>
    </row>
    <row r="203" spans="1:3" x14ac:dyDescent="0.25">
      <c r="A203" s="14" t="s">
        <v>1315</v>
      </c>
      <c r="B203" s="113" t="s">
        <v>1386</v>
      </c>
      <c r="C203" s="3" t="b">
        <f t="shared" si="3"/>
        <v>0</v>
      </c>
    </row>
    <row r="204" spans="1:3" x14ac:dyDescent="0.25">
      <c r="A204" s="14" t="s">
        <v>1386</v>
      </c>
      <c r="B204" s="113" t="s">
        <v>1257</v>
      </c>
      <c r="C204" s="3" t="b">
        <f t="shared" si="3"/>
        <v>0</v>
      </c>
    </row>
    <row r="205" spans="1:3" x14ac:dyDescent="0.25">
      <c r="A205" s="14" t="s">
        <v>1257</v>
      </c>
      <c r="B205" s="113" t="s">
        <v>1379</v>
      </c>
      <c r="C205" s="3" t="b">
        <f t="shared" si="3"/>
        <v>0</v>
      </c>
    </row>
    <row r="206" spans="1:3" x14ac:dyDescent="0.25">
      <c r="A206" s="14" t="s">
        <v>1379</v>
      </c>
      <c r="B206" s="113" t="s">
        <v>1395</v>
      </c>
      <c r="C206" s="3" t="b">
        <f t="shared" si="3"/>
        <v>0</v>
      </c>
    </row>
    <row r="207" spans="1:3" x14ac:dyDescent="0.25">
      <c r="A207" s="14" t="s">
        <v>1395</v>
      </c>
      <c r="B207" s="113" t="s">
        <v>1202</v>
      </c>
      <c r="C207" s="3" t="b">
        <f t="shared" si="3"/>
        <v>0</v>
      </c>
    </row>
    <row r="208" spans="1:3" x14ac:dyDescent="0.25">
      <c r="A208" s="14" t="s">
        <v>1202</v>
      </c>
      <c r="B208" s="113" t="s">
        <v>1424</v>
      </c>
      <c r="C208" s="3" t="b">
        <f t="shared" si="3"/>
        <v>0</v>
      </c>
    </row>
    <row r="209" spans="1:3" x14ac:dyDescent="0.25">
      <c r="A209" s="14" t="s">
        <v>1424</v>
      </c>
      <c r="B209" s="113" t="s">
        <v>1286</v>
      </c>
      <c r="C209" s="3" t="b">
        <f t="shared" si="3"/>
        <v>0</v>
      </c>
    </row>
    <row r="210" spans="1:3" x14ac:dyDescent="0.25">
      <c r="A210" s="14" t="s">
        <v>1286</v>
      </c>
      <c r="B210" s="113" t="s">
        <v>1382</v>
      </c>
      <c r="C210" s="3" t="b">
        <f t="shared" si="3"/>
        <v>0</v>
      </c>
    </row>
    <row r="211" spans="1:3" x14ac:dyDescent="0.25">
      <c r="A211" s="14" t="s">
        <v>1382</v>
      </c>
      <c r="B211" s="113" t="s">
        <v>1380</v>
      </c>
      <c r="C211" s="3" t="b">
        <f t="shared" si="3"/>
        <v>0</v>
      </c>
    </row>
    <row r="212" spans="1:3" x14ac:dyDescent="0.25">
      <c r="A212" s="14" t="s">
        <v>1380</v>
      </c>
      <c r="B212" s="113" t="s">
        <v>1370</v>
      </c>
      <c r="C212" s="3" t="b">
        <f t="shared" si="3"/>
        <v>0</v>
      </c>
    </row>
    <row r="213" spans="1:3" x14ac:dyDescent="0.25">
      <c r="A213" s="14" t="s">
        <v>1370</v>
      </c>
      <c r="B213" s="113" t="s">
        <v>1460</v>
      </c>
      <c r="C213" s="3" t="b">
        <f t="shared" si="3"/>
        <v>0</v>
      </c>
    </row>
    <row r="214" spans="1:3" x14ac:dyDescent="0.25">
      <c r="A214" s="14" t="s">
        <v>1460</v>
      </c>
      <c r="B214" s="113" t="s">
        <v>591</v>
      </c>
      <c r="C214" s="3" t="b">
        <f t="shared" si="3"/>
        <v>0</v>
      </c>
    </row>
    <row r="215" spans="1:3" x14ac:dyDescent="0.25">
      <c r="A215" s="14" t="s">
        <v>591</v>
      </c>
      <c r="B215" s="113" t="s">
        <v>1200</v>
      </c>
      <c r="C215" s="3" t="b">
        <f t="shared" si="3"/>
        <v>0</v>
      </c>
    </row>
    <row r="216" spans="1:3" x14ac:dyDescent="0.25">
      <c r="A216" s="14" t="s">
        <v>1200</v>
      </c>
      <c r="B216" s="113" t="s">
        <v>1384</v>
      </c>
      <c r="C216" s="3" t="b">
        <f t="shared" si="3"/>
        <v>0</v>
      </c>
    </row>
    <row r="217" spans="1:3" x14ac:dyDescent="0.25">
      <c r="A217" s="14" t="s">
        <v>1384</v>
      </c>
      <c r="B217" s="113" t="s">
        <v>1169</v>
      </c>
      <c r="C217" s="3" t="b">
        <f t="shared" si="3"/>
        <v>0</v>
      </c>
    </row>
    <row r="218" spans="1:3" x14ac:dyDescent="0.25">
      <c r="A218" s="54" t="s">
        <v>1169</v>
      </c>
      <c r="B218" s="113" t="s">
        <v>1335</v>
      </c>
      <c r="C218" s="3" t="b">
        <f t="shared" si="3"/>
        <v>0</v>
      </c>
    </row>
    <row r="219" spans="1:3" x14ac:dyDescent="0.25">
      <c r="A219" s="14" t="s">
        <v>1335</v>
      </c>
      <c r="B219" s="113" t="s">
        <v>1160</v>
      </c>
      <c r="C219" s="3" t="b">
        <f t="shared" si="3"/>
        <v>0</v>
      </c>
    </row>
    <row r="220" spans="1:3" x14ac:dyDescent="0.25">
      <c r="A220" s="54" t="s">
        <v>1160</v>
      </c>
      <c r="B220" s="113" t="s">
        <v>1289</v>
      </c>
      <c r="C220" s="3" t="b">
        <f t="shared" si="3"/>
        <v>0</v>
      </c>
    </row>
    <row r="221" spans="1:3" x14ac:dyDescent="0.25">
      <c r="A221" s="14" t="s">
        <v>1289</v>
      </c>
      <c r="B221" s="113" t="s">
        <v>1319</v>
      </c>
      <c r="C221" s="3" t="b">
        <f t="shared" si="3"/>
        <v>0</v>
      </c>
    </row>
    <row r="222" spans="1:3" x14ac:dyDescent="0.25">
      <c r="A222" s="14" t="s">
        <v>1319</v>
      </c>
      <c r="B222" s="113" t="s">
        <v>1308</v>
      </c>
      <c r="C222" s="3" t="b">
        <f t="shared" si="3"/>
        <v>0</v>
      </c>
    </row>
    <row r="223" spans="1:3" x14ac:dyDescent="0.25">
      <c r="A223" s="14" t="s">
        <v>1308</v>
      </c>
      <c r="B223" s="113" t="s">
        <v>1274</v>
      </c>
      <c r="C223" s="3" t="b">
        <f t="shared" si="3"/>
        <v>0</v>
      </c>
    </row>
    <row r="224" spans="1:3" x14ac:dyDescent="0.25">
      <c r="A224" s="14" t="s">
        <v>1274</v>
      </c>
      <c r="B224" s="113" t="s">
        <v>1298</v>
      </c>
      <c r="C224" s="3" t="b">
        <f t="shared" si="3"/>
        <v>0</v>
      </c>
    </row>
    <row r="225" spans="1:3" x14ac:dyDescent="0.25">
      <c r="A225" s="14" t="s">
        <v>1298</v>
      </c>
      <c r="B225" s="113" t="s">
        <v>1351</v>
      </c>
      <c r="C225" s="3" t="b">
        <f t="shared" si="3"/>
        <v>0</v>
      </c>
    </row>
    <row r="226" spans="1:3" x14ac:dyDescent="0.25">
      <c r="A226" s="14" t="s">
        <v>1351</v>
      </c>
      <c r="B226" s="113" t="s">
        <v>1296</v>
      </c>
      <c r="C226" s="3" t="b">
        <f t="shared" si="3"/>
        <v>0</v>
      </c>
    </row>
    <row r="227" spans="1:3" x14ac:dyDescent="0.25">
      <c r="A227" s="14" t="s">
        <v>1296</v>
      </c>
      <c r="B227" s="113" t="s">
        <v>1154</v>
      </c>
      <c r="C227" s="3" t="b">
        <f t="shared" si="3"/>
        <v>0</v>
      </c>
    </row>
    <row r="228" spans="1:3" x14ac:dyDescent="0.25">
      <c r="A228" s="14" t="s">
        <v>1154</v>
      </c>
      <c r="B228" s="113" t="s">
        <v>1266</v>
      </c>
      <c r="C228" s="3" t="b">
        <f t="shared" si="3"/>
        <v>0</v>
      </c>
    </row>
    <row r="229" spans="1:3" x14ac:dyDescent="0.25">
      <c r="A229" s="14" t="s">
        <v>1266</v>
      </c>
      <c r="B229" s="113" t="s">
        <v>1265</v>
      </c>
      <c r="C229" s="3" t="b">
        <f t="shared" si="3"/>
        <v>0</v>
      </c>
    </row>
    <row r="230" spans="1:3" x14ac:dyDescent="0.25">
      <c r="A230" s="14" t="s">
        <v>1265</v>
      </c>
      <c r="B230" s="113" t="s">
        <v>1388</v>
      </c>
      <c r="C230" s="3" t="b">
        <f t="shared" si="3"/>
        <v>0</v>
      </c>
    </row>
    <row r="231" spans="1:3" x14ac:dyDescent="0.25">
      <c r="A231" s="14" t="s">
        <v>1388</v>
      </c>
      <c r="B231" s="113" t="s">
        <v>1273</v>
      </c>
      <c r="C231" s="3" t="b">
        <f t="shared" si="3"/>
        <v>0</v>
      </c>
    </row>
    <row r="232" spans="1:3" x14ac:dyDescent="0.25">
      <c r="A232" s="14" t="s">
        <v>1273</v>
      </c>
      <c r="B232" s="113" t="s">
        <v>1449</v>
      </c>
      <c r="C232" s="3" t="b">
        <f t="shared" si="3"/>
        <v>0</v>
      </c>
    </row>
    <row r="233" spans="1:3" x14ac:dyDescent="0.25">
      <c r="A233" s="14" t="s">
        <v>1449</v>
      </c>
      <c r="B233" s="113" t="s">
        <v>848</v>
      </c>
      <c r="C233" s="3" t="b">
        <f t="shared" si="3"/>
        <v>0</v>
      </c>
    </row>
    <row r="234" spans="1:3" x14ac:dyDescent="0.25">
      <c r="A234" s="14" t="s">
        <v>848</v>
      </c>
      <c r="B234" s="113" t="s">
        <v>1312</v>
      </c>
      <c r="C234" s="3" t="b">
        <f t="shared" si="3"/>
        <v>0</v>
      </c>
    </row>
    <row r="235" spans="1:3" x14ac:dyDescent="0.25">
      <c r="A235" s="14" t="s">
        <v>1312</v>
      </c>
      <c r="B235" s="113" t="s">
        <v>1083</v>
      </c>
      <c r="C235" s="3" t="b">
        <f t="shared" si="3"/>
        <v>0</v>
      </c>
    </row>
    <row r="236" spans="1:3" x14ac:dyDescent="0.25">
      <c r="A236" s="14" t="s">
        <v>1083</v>
      </c>
      <c r="B236" s="113" t="s">
        <v>1439</v>
      </c>
      <c r="C236" s="3" t="b">
        <f t="shared" si="3"/>
        <v>0</v>
      </c>
    </row>
    <row r="237" spans="1:3" x14ac:dyDescent="0.25">
      <c r="A237" s="14" t="s">
        <v>1439</v>
      </c>
      <c r="B237" s="113" t="s">
        <v>1292</v>
      </c>
      <c r="C237" s="3" t="b">
        <f t="shared" si="3"/>
        <v>0</v>
      </c>
    </row>
    <row r="238" spans="1:3" x14ac:dyDescent="0.25">
      <c r="A238" s="14" t="s">
        <v>1292</v>
      </c>
      <c r="B238" s="113" t="s">
        <v>1962</v>
      </c>
      <c r="C238" s="3" t="b">
        <f t="shared" si="3"/>
        <v>0</v>
      </c>
    </row>
    <row r="239" spans="1:3" x14ac:dyDescent="0.25">
      <c r="A239" s="14" t="s">
        <v>1962</v>
      </c>
      <c r="B239" s="113" t="s">
        <v>1065</v>
      </c>
      <c r="C239" s="3" t="b">
        <f t="shared" si="3"/>
        <v>0</v>
      </c>
    </row>
    <row r="240" spans="1:3" x14ac:dyDescent="0.25">
      <c r="A240" s="14" t="s">
        <v>1065</v>
      </c>
      <c r="B240" s="113" t="s">
        <v>453</v>
      </c>
      <c r="C240" s="3" t="b">
        <f t="shared" si="3"/>
        <v>0</v>
      </c>
    </row>
    <row r="241" spans="1:3" x14ac:dyDescent="0.25">
      <c r="A241" s="14" t="s">
        <v>453</v>
      </c>
      <c r="B241" s="113" t="s">
        <v>1462</v>
      </c>
      <c r="C241" s="3" t="b">
        <f t="shared" si="3"/>
        <v>0</v>
      </c>
    </row>
    <row r="242" spans="1:3" x14ac:dyDescent="0.25">
      <c r="A242" s="14" t="s">
        <v>1462</v>
      </c>
      <c r="B242" s="113" t="s">
        <v>1446</v>
      </c>
      <c r="C242" s="3" t="b">
        <f t="shared" si="3"/>
        <v>0</v>
      </c>
    </row>
    <row r="243" spans="1:3" x14ac:dyDescent="0.25">
      <c r="A243" s="14" t="s">
        <v>1446</v>
      </c>
      <c r="B243" s="113" t="s">
        <v>1067</v>
      </c>
      <c r="C243" s="3" t="b">
        <f t="shared" si="3"/>
        <v>0</v>
      </c>
    </row>
    <row r="244" spans="1:3" x14ac:dyDescent="0.25">
      <c r="A244" s="54" t="s">
        <v>1067</v>
      </c>
      <c r="B244" s="113" t="s">
        <v>1451</v>
      </c>
      <c r="C244" s="3" t="b">
        <f t="shared" si="3"/>
        <v>0</v>
      </c>
    </row>
    <row r="245" spans="1:3" x14ac:dyDescent="0.25">
      <c r="A245" s="14" t="s">
        <v>1451</v>
      </c>
      <c r="B245" s="113" t="s">
        <v>1454</v>
      </c>
      <c r="C245" s="3" t="b">
        <f t="shared" si="3"/>
        <v>0</v>
      </c>
    </row>
    <row r="246" spans="1:3" x14ac:dyDescent="0.25">
      <c r="A246" s="110" t="s">
        <v>1454</v>
      </c>
      <c r="B246" s="113" t="s">
        <v>1467</v>
      </c>
      <c r="C246" s="3" t="b">
        <f t="shared" si="3"/>
        <v>0</v>
      </c>
    </row>
    <row r="247" spans="1:3" x14ac:dyDescent="0.25">
      <c r="A247" s="13" t="s">
        <v>1467</v>
      </c>
      <c r="B247" s="113" t="s">
        <v>1459</v>
      </c>
      <c r="C247" s="3" t="b">
        <f t="shared" si="3"/>
        <v>0</v>
      </c>
    </row>
    <row r="248" spans="1:3" x14ac:dyDescent="0.25">
      <c r="A248" s="13" t="s">
        <v>1459</v>
      </c>
      <c r="B248" s="113" t="s">
        <v>1430</v>
      </c>
      <c r="C248" s="3" t="b">
        <f t="shared" si="3"/>
        <v>0</v>
      </c>
    </row>
    <row r="249" spans="1:3" x14ac:dyDescent="0.25">
      <c r="A249" s="13" t="s">
        <v>1430</v>
      </c>
      <c r="C249" s="3" t="b">
        <f t="shared" si="3"/>
        <v>0</v>
      </c>
    </row>
  </sheetData>
  <conditionalFormatting sqref="A4:A7">
    <cfRule type="duplicateValues" dxfId="695" priority="38"/>
  </conditionalFormatting>
  <conditionalFormatting sqref="A4:A7">
    <cfRule type="duplicateValues" dxfId="694" priority="39"/>
    <cfRule type="duplicateValues" dxfId="693" priority="40"/>
  </conditionalFormatting>
  <conditionalFormatting sqref="A1">
    <cfRule type="duplicateValues" dxfId="692" priority="37"/>
  </conditionalFormatting>
  <conditionalFormatting sqref="A230:A245 A208:A228 A176:A206 A165:A174 A156:A163 A148:A149 A151:A154 A110:A146 A29:A108 A8:A27 A2:A3">
    <cfRule type="duplicateValues" dxfId="691" priority="41"/>
    <cfRule type="duplicateValues" dxfId="690" priority="42"/>
  </conditionalFormatting>
  <conditionalFormatting sqref="A230:A245 A208:A228 A176:A206 A165:A174 A156:A163 A148:A149 A151:A154 A110:A146 A29:A108 A8:A27 A2:A3">
    <cfRule type="duplicateValues" dxfId="689" priority="43"/>
  </conditionalFormatting>
  <conditionalFormatting sqref="A208:A245 A176:A206 A156:A174 A148:A149 A151:A154 A8:A146 A2:A3">
    <cfRule type="duplicateValues" dxfId="688" priority="44"/>
  </conditionalFormatting>
  <conditionalFormatting sqref="A28">
    <cfRule type="duplicateValues" dxfId="687" priority="34"/>
    <cfRule type="duplicateValues" dxfId="686" priority="35"/>
  </conditionalFormatting>
  <conditionalFormatting sqref="A28">
    <cfRule type="duplicateValues" dxfId="685" priority="36"/>
  </conditionalFormatting>
  <conditionalFormatting sqref="A109">
    <cfRule type="duplicateValues" dxfId="684" priority="31"/>
    <cfRule type="duplicateValues" dxfId="683" priority="32"/>
  </conditionalFormatting>
  <conditionalFormatting sqref="A109">
    <cfRule type="duplicateValues" dxfId="682" priority="33"/>
  </conditionalFormatting>
  <conditionalFormatting sqref="A147">
    <cfRule type="duplicateValues" dxfId="681" priority="28"/>
    <cfRule type="duplicateValues" dxfId="680" priority="29"/>
  </conditionalFormatting>
  <conditionalFormatting sqref="A147">
    <cfRule type="duplicateValues" dxfId="679" priority="30"/>
  </conditionalFormatting>
  <conditionalFormatting sqref="A150">
    <cfRule type="duplicateValues" dxfId="678" priority="25"/>
    <cfRule type="duplicateValues" dxfId="677" priority="26"/>
  </conditionalFormatting>
  <conditionalFormatting sqref="A150">
    <cfRule type="duplicateValues" dxfId="676" priority="27"/>
  </conditionalFormatting>
  <conditionalFormatting sqref="A155">
    <cfRule type="duplicateValues" dxfId="675" priority="22"/>
  </conditionalFormatting>
  <conditionalFormatting sqref="A155">
    <cfRule type="duplicateValues" dxfId="674" priority="23"/>
    <cfRule type="duplicateValues" dxfId="673" priority="24"/>
  </conditionalFormatting>
  <conditionalFormatting sqref="A164">
    <cfRule type="duplicateValues" dxfId="672" priority="19"/>
    <cfRule type="duplicateValues" dxfId="671" priority="20"/>
  </conditionalFormatting>
  <conditionalFormatting sqref="A164">
    <cfRule type="duplicateValues" dxfId="670" priority="21"/>
  </conditionalFormatting>
  <conditionalFormatting sqref="A207">
    <cfRule type="duplicateValues" dxfId="669" priority="16"/>
  </conditionalFormatting>
  <conditionalFormatting sqref="A207">
    <cfRule type="duplicateValues" dxfId="668" priority="17"/>
    <cfRule type="duplicateValues" dxfId="667" priority="18"/>
  </conditionalFormatting>
  <conditionalFormatting sqref="A229">
    <cfRule type="duplicateValues" dxfId="666" priority="13"/>
    <cfRule type="duplicateValues" dxfId="665" priority="14"/>
  </conditionalFormatting>
  <conditionalFormatting sqref="A229">
    <cfRule type="duplicateValues" dxfId="664" priority="15"/>
  </conditionalFormatting>
  <conditionalFormatting sqref="A246">
    <cfRule type="duplicateValues" dxfId="663" priority="12"/>
  </conditionalFormatting>
  <conditionalFormatting sqref="A246">
    <cfRule type="duplicateValues" dxfId="662" priority="9"/>
  </conditionalFormatting>
  <conditionalFormatting sqref="A246">
    <cfRule type="duplicateValues" dxfId="661" priority="10"/>
    <cfRule type="duplicateValues" dxfId="660" priority="11"/>
  </conditionalFormatting>
  <conditionalFormatting sqref="A247">
    <cfRule type="duplicateValues" dxfId="659" priority="8"/>
  </conditionalFormatting>
  <conditionalFormatting sqref="A247">
    <cfRule type="duplicateValues" dxfId="658" priority="5"/>
  </conditionalFormatting>
  <conditionalFormatting sqref="A247">
    <cfRule type="duplicateValues" dxfId="657" priority="6"/>
    <cfRule type="duplicateValues" dxfId="656" priority="7"/>
  </conditionalFormatting>
  <conditionalFormatting sqref="A248:A249">
    <cfRule type="duplicateValues" dxfId="655" priority="4"/>
  </conditionalFormatting>
  <conditionalFormatting sqref="A248:A249">
    <cfRule type="duplicateValues" dxfId="654" priority="1"/>
  </conditionalFormatting>
  <conditionalFormatting sqref="A248:A249">
    <cfRule type="duplicateValues" dxfId="653" priority="2"/>
    <cfRule type="duplicateValues" dxfId="652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2232</v>
      </c>
      <c r="B1" s="102" t="s">
        <v>2233</v>
      </c>
      <c r="C1" s="102" t="s">
        <v>2234</v>
      </c>
    </row>
    <row r="2" spans="1:3" hidden="1" x14ac:dyDescent="0.25">
      <c r="A2" s="70">
        <v>9203</v>
      </c>
      <c r="B2" s="70" t="s">
        <v>657</v>
      </c>
      <c r="C2" s="70" t="s">
        <v>2246</v>
      </c>
    </row>
    <row r="3" spans="1:3" hidden="1" x14ac:dyDescent="0.25">
      <c r="A3" s="70">
        <v>9211</v>
      </c>
      <c r="B3" s="70" t="s">
        <v>2237</v>
      </c>
      <c r="C3" s="70" t="s">
        <v>2236</v>
      </c>
    </row>
    <row r="4" spans="1:3" hidden="1" x14ac:dyDescent="0.25">
      <c r="A4" s="70">
        <v>9212</v>
      </c>
      <c r="B4" s="70" t="s">
        <v>2238</v>
      </c>
      <c r="C4" s="70" t="s">
        <v>2239</v>
      </c>
    </row>
    <row r="5" spans="1:3" hidden="1" x14ac:dyDescent="0.25">
      <c r="A5" s="70">
        <v>9213</v>
      </c>
      <c r="B5" s="70" t="s">
        <v>695</v>
      </c>
      <c r="C5" s="70" t="s">
        <v>2236</v>
      </c>
    </row>
    <row r="6" spans="1:3" hidden="1" x14ac:dyDescent="0.25">
      <c r="A6" s="70">
        <v>9214</v>
      </c>
      <c r="B6" s="70" t="s">
        <v>2240</v>
      </c>
      <c r="C6" s="70" t="s">
        <v>2239</v>
      </c>
    </row>
    <row r="7" spans="1:3" hidden="1" x14ac:dyDescent="0.25">
      <c r="A7" s="70">
        <v>9217</v>
      </c>
      <c r="B7" s="70" t="s">
        <v>692</v>
      </c>
      <c r="C7" s="70" t="s">
        <v>2236</v>
      </c>
    </row>
    <row r="8" spans="1:3" hidden="1" x14ac:dyDescent="0.25">
      <c r="A8" s="70">
        <v>9218</v>
      </c>
      <c r="B8" s="70" t="s">
        <v>2241</v>
      </c>
      <c r="C8" s="70" t="s">
        <v>2236</v>
      </c>
    </row>
    <row r="9" spans="1:3" hidden="1" x14ac:dyDescent="0.25">
      <c r="A9" s="70">
        <v>9219</v>
      </c>
      <c r="B9" s="70" t="s">
        <v>2242</v>
      </c>
      <c r="C9" s="70" t="s">
        <v>2236</v>
      </c>
    </row>
    <row r="10" spans="1:3" hidden="1" x14ac:dyDescent="0.25">
      <c r="A10" s="70">
        <v>9221</v>
      </c>
      <c r="B10" s="70" t="s">
        <v>772</v>
      </c>
      <c r="C10" s="70" t="s">
        <v>2246</v>
      </c>
    </row>
    <row r="11" spans="1:3" hidden="1" x14ac:dyDescent="0.25">
      <c r="A11" s="70">
        <v>9224</v>
      </c>
      <c r="B11" s="70" t="s">
        <v>671</v>
      </c>
      <c r="C11" s="70" t="s">
        <v>2236</v>
      </c>
    </row>
    <row r="12" spans="1:3" hidden="1" x14ac:dyDescent="0.25">
      <c r="A12" s="70">
        <v>9225</v>
      </c>
      <c r="B12" s="70" t="s">
        <v>840</v>
      </c>
      <c r="C12" s="70" t="s">
        <v>2236</v>
      </c>
    </row>
    <row r="13" spans="1:3" hidden="1" x14ac:dyDescent="0.25">
      <c r="A13" s="70">
        <v>9226</v>
      </c>
      <c r="B13" s="70" t="s">
        <v>718</v>
      </c>
      <c r="C13" s="70" t="s">
        <v>2236</v>
      </c>
    </row>
    <row r="14" spans="1:3" hidden="1" x14ac:dyDescent="0.25">
      <c r="A14" s="70">
        <v>9227</v>
      </c>
      <c r="B14" s="70" t="s">
        <v>825</v>
      </c>
      <c r="C14" s="70" t="s">
        <v>2236</v>
      </c>
    </row>
    <row r="15" spans="1:3" hidden="1" x14ac:dyDescent="0.25">
      <c r="A15" s="70">
        <v>9228</v>
      </c>
      <c r="B15" s="70" t="s">
        <v>834</v>
      </c>
      <c r="C15" s="70" t="s">
        <v>2236</v>
      </c>
    </row>
    <row r="16" spans="1:3" hidden="1" x14ac:dyDescent="0.25">
      <c r="A16" s="70">
        <v>9229</v>
      </c>
      <c r="B16" s="70" t="s">
        <v>2243</v>
      </c>
      <c r="C16" s="70" t="s">
        <v>2239</v>
      </c>
    </row>
    <row r="17" spans="1:3" hidden="1" x14ac:dyDescent="0.25">
      <c r="A17" s="104">
        <v>9229</v>
      </c>
      <c r="B17" s="70" t="s">
        <v>2379</v>
      </c>
      <c r="C17" s="103" t="s">
        <v>2236</v>
      </c>
    </row>
    <row r="18" spans="1:3" hidden="1" x14ac:dyDescent="0.25">
      <c r="A18" s="70">
        <v>9231</v>
      </c>
      <c r="B18" s="70" t="s">
        <v>811</v>
      </c>
      <c r="C18" s="70" t="s">
        <v>2236</v>
      </c>
    </row>
    <row r="19" spans="1:3" hidden="1" x14ac:dyDescent="0.25">
      <c r="A19" s="70">
        <v>9232</v>
      </c>
      <c r="B19" s="70" t="s">
        <v>702</v>
      </c>
      <c r="C19" s="70" t="s">
        <v>2236</v>
      </c>
    </row>
    <row r="20" spans="1:3" hidden="1" x14ac:dyDescent="0.25">
      <c r="A20" s="70">
        <v>9234</v>
      </c>
      <c r="B20" s="70" t="s">
        <v>665</v>
      </c>
      <c r="C20" s="70" t="s">
        <v>2239</v>
      </c>
    </row>
    <row r="21" spans="1:3" hidden="1" x14ac:dyDescent="0.25">
      <c r="A21" s="70">
        <v>9238</v>
      </c>
      <c r="B21" s="70" t="s">
        <v>846</v>
      </c>
      <c r="C21" s="70" t="s">
        <v>2236</v>
      </c>
    </row>
    <row r="22" spans="1:3" hidden="1" x14ac:dyDescent="0.25">
      <c r="A22" s="70">
        <v>9241</v>
      </c>
      <c r="B22" s="70" t="s">
        <v>2244</v>
      </c>
      <c r="C22" s="70" t="s">
        <v>2239</v>
      </c>
    </row>
    <row r="23" spans="1:3" hidden="1" x14ac:dyDescent="0.25">
      <c r="A23" s="70">
        <v>9246</v>
      </c>
      <c r="B23" s="70" t="s">
        <v>731</v>
      </c>
      <c r="C23" s="70" t="s">
        <v>2236</v>
      </c>
    </row>
    <row r="24" spans="1:3" hidden="1" x14ac:dyDescent="0.25">
      <c r="A24" s="70">
        <v>9250</v>
      </c>
      <c r="B24" s="70" t="s">
        <v>721</v>
      </c>
      <c r="C24" s="70" t="s">
        <v>2236</v>
      </c>
    </row>
    <row r="25" spans="1:3" hidden="1" x14ac:dyDescent="0.25">
      <c r="A25" s="70">
        <v>9252</v>
      </c>
      <c r="B25" s="70" t="s">
        <v>2245</v>
      </c>
      <c r="C25" s="70" t="s">
        <v>2246</v>
      </c>
    </row>
    <row r="26" spans="1:3" hidden="1" x14ac:dyDescent="0.25">
      <c r="A26" s="70">
        <v>9253</v>
      </c>
      <c r="B26" s="70" t="s">
        <v>2247</v>
      </c>
      <c r="C26" s="70" t="s">
        <v>2246</v>
      </c>
    </row>
    <row r="27" spans="1:3" hidden="1" x14ac:dyDescent="0.25">
      <c r="A27" s="70">
        <v>9259</v>
      </c>
      <c r="B27" s="70" t="s">
        <v>681</v>
      </c>
      <c r="C27" s="70" t="s">
        <v>2236</v>
      </c>
    </row>
    <row r="28" spans="1:3" hidden="1" x14ac:dyDescent="0.25">
      <c r="A28" s="70">
        <v>9260</v>
      </c>
      <c r="B28" s="70" t="s">
        <v>2248</v>
      </c>
      <c r="C28" s="70" t="s">
        <v>2236</v>
      </c>
    </row>
    <row r="29" spans="1:3" hidden="1" x14ac:dyDescent="0.25">
      <c r="A29" s="70">
        <v>9261</v>
      </c>
      <c r="B29" s="70" t="s">
        <v>2249</v>
      </c>
      <c r="C29" s="70" t="s">
        <v>2236</v>
      </c>
    </row>
    <row r="30" spans="1:3" hidden="1" x14ac:dyDescent="0.25">
      <c r="A30" s="70">
        <v>9263</v>
      </c>
      <c r="B30" s="70" t="s">
        <v>716</v>
      </c>
      <c r="C30" s="70" t="s">
        <v>2236</v>
      </c>
    </row>
    <row r="31" spans="1:3" hidden="1" x14ac:dyDescent="0.25">
      <c r="A31" s="70">
        <v>9264</v>
      </c>
      <c r="B31" s="70" t="s">
        <v>2250</v>
      </c>
      <c r="C31" s="70" t="s">
        <v>2236</v>
      </c>
    </row>
    <row r="32" spans="1:3" hidden="1" x14ac:dyDescent="0.25">
      <c r="A32" s="70">
        <v>9268</v>
      </c>
      <c r="B32" s="70" t="s">
        <v>2251</v>
      </c>
      <c r="C32" s="70" t="s">
        <v>2239</v>
      </c>
    </row>
    <row r="33" spans="1:3" hidden="1" x14ac:dyDescent="0.25">
      <c r="A33" s="70">
        <v>9269</v>
      </c>
      <c r="B33" s="70" t="s">
        <v>2252</v>
      </c>
      <c r="C33" s="70" t="s">
        <v>2239</v>
      </c>
    </row>
    <row r="34" spans="1:3" hidden="1" x14ac:dyDescent="0.25">
      <c r="A34" s="70">
        <v>9270</v>
      </c>
      <c r="B34" s="70" t="s">
        <v>2253</v>
      </c>
      <c r="C34" s="70" t="s">
        <v>2236</v>
      </c>
    </row>
    <row r="35" spans="1:3" hidden="1" x14ac:dyDescent="0.25">
      <c r="A35" s="70">
        <v>9271</v>
      </c>
      <c r="B35" s="70" t="s">
        <v>801</v>
      </c>
      <c r="C35" s="70" t="s">
        <v>2236</v>
      </c>
    </row>
    <row r="36" spans="1:3" hidden="1" x14ac:dyDescent="0.25">
      <c r="A36" s="70">
        <v>9272</v>
      </c>
      <c r="B36" s="70" t="s">
        <v>2254</v>
      </c>
      <c r="C36" s="70" t="s">
        <v>2236</v>
      </c>
    </row>
    <row r="37" spans="1:3" hidden="1" x14ac:dyDescent="0.25">
      <c r="A37" s="70">
        <v>9276</v>
      </c>
      <c r="B37" s="70" t="s">
        <v>729</v>
      </c>
      <c r="C37" s="70" t="s">
        <v>2236</v>
      </c>
    </row>
    <row r="38" spans="1:3" hidden="1" x14ac:dyDescent="0.25">
      <c r="A38" s="70">
        <v>9282</v>
      </c>
      <c r="B38" s="70" t="s">
        <v>2255</v>
      </c>
      <c r="C38" s="70" t="s">
        <v>2236</v>
      </c>
    </row>
    <row r="39" spans="1:3" hidden="1" x14ac:dyDescent="0.25">
      <c r="A39" s="70">
        <v>9283</v>
      </c>
      <c r="B39" s="70" t="s">
        <v>2256</v>
      </c>
      <c r="C39" s="70" t="s">
        <v>2239</v>
      </c>
    </row>
    <row r="40" spans="1:3" hidden="1" x14ac:dyDescent="0.25">
      <c r="A40" s="70">
        <v>9284</v>
      </c>
      <c r="B40" s="70" t="s">
        <v>836</v>
      </c>
      <c r="C40" s="70" t="s">
        <v>2239</v>
      </c>
    </row>
    <row r="41" spans="1:3" hidden="1" x14ac:dyDescent="0.25">
      <c r="A41" s="70">
        <v>9285</v>
      </c>
      <c r="B41" s="70" t="s">
        <v>2257</v>
      </c>
      <c r="C41" s="70" t="s">
        <v>2246</v>
      </c>
    </row>
    <row r="42" spans="1:3" hidden="1" x14ac:dyDescent="0.25">
      <c r="A42" s="70">
        <v>9289</v>
      </c>
      <c r="B42" s="70" t="s">
        <v>2258</v>
      </c>
      <c r="C42" s="70" t="s">
        <v>2236</v>
      </c>
    </row>
    <row r="43" spans="1:3" hidden="1" x14ac:dyDescent="0.25">
      <c r="A43" s="70">
        <v>9290</v>
      </c>
      <c r="B43" s="70" t="s">
        <v>828</v>
      </c>
      <c r="C43" s="70" t="s">
        <v>2236</v>
      </c>
    </row>
    <row r="44" spans="1:3" hidden="1" x14ac:dyDescent="0.25">
      <c r="A44" s="70">
        <v>9291</v>
      </c>
      <c r="B44" s="70" t="s">
        <v>821</v>
      </c>
      <c r="C44" s="70" t="s">
        <v>2236</v>
      </c>
    </row>
    <row r="45" spans="1:3" hidden="1" x14ac:dyDescent="0.25">
      <c r="A45" s="70">
        <v>9292</v>
      </c>
      <c r="B45" s="70" t="s">
        <v>2140</v>
      </c>
      <c r="C45" s="70" t="s">
        <v>2236</v>
      </c>
    </row>
    <row r="46" spans="1:3" hidden="1" x14ac:dyDescent="0.25">
      <c r="A46" s="70">
        <v>9294</v>
      </c>
      <c r="B46" s="70" t="s">
        <v>797</v>
      </c>
      <c r="C46" s="70" t="s">
        <v>2236</v>
      </c>
    </row>
    <row r="47" spans="1:3" hidden="1" x14ac:dyDescent="0.25">
      <c r="A47" s="70">
        <v>9295</v>
      </c>
      <c r="B47" s="70" t="s">
        <v>2259</v>
      </c>
      <c r="C47" s="70" t="s">
        <v>2246</v>
      </c>
    </row>
    <row r="48" spans="1:3" hidden="1" x14ac:dyDescent="0.25">
      <c r="A48" s="70">
        <v>9297</v>
      </c>
      <c r="B48" s="70" t="s">
        <v>737</v>
      </c>
      <c r="C48" s="70" t="s">
        <v>2239</v>
      </c>
    </row>
    <row r="49" spans="1:3" hidden="1" x14ac:dyDescent="0.25">
      <c r="A49" s="70">
        <v>9298</v>
      </c>
      <c r="B49" s="70" t="s">
        <v>2260</v>
      </c>
      <c r="C49" s="70" t="s">
        <v>2246</v>
      </c>
    </row>
    <row r="50" spans="1:3" hidden="1" x14ac:dyDescent="0.25">
      <c r="A50" s="70">
        <v>9299</v>
      </c>
      <c r="B50" s="70" t="s">
        <v>756</v>
      </c>
      <c r="C50" s="70" t="s">
        <v>2236</v>
      </c>
    </row>
    <row r="51" spans="1:3" hidden="1" x14ac:dyDescent="0.25">
      <c r="A51" s="70">
        <v>9304</v>
      </c>
      <c r="B51" s="70" t="s">
        <v>2261</v>
      </c>
      <c r="C51" s="70" t="s">
        <v>2239</v>
      </c>
    </row>
    <row r="52" spans="1:3" hidden="1" x14ac:dyDescent="0.25">
      <c r="A52" s="70">
        <v>9311</v>
      </c>
      <c r="B52" s="70" t="s">
        <v>2262</v>
      </c>
      <c r="C52" s="70" t="s">
        <v>2236</v>
      </c>
    </row>
    <row r="53" spans="1:3" hidden="1" x14ac:dyDescent="0.25">
      <c r="A53" s="70">
        <v>9312</v>
      </c>
      <c r="B53" s="70" t="s">
        <v>2263</v>
      </c>
      <c r="C53" s="70" t="s">
        <v>2236</v>
      </c>
    </row>
    <row r="54" spans="1:3" hidden="1" x14ac:dyDescent="0.25">
      <c r="A54" s="70">
        <v>9330</v>
      </c>
      <c r="B54" s="70" t="s">
        <v>543</v>
      </c>
      <c r="C54" s="70" t="s">
        <v>2236</v>
      </c>
    </row>
    <row r="55" spans="1:3" hidden="1" x14ac:dyDescent="0.25">
      <c r="A55" s="70">
        <v>9336</v>
      </c>
      <c r="B55" s="70" t="s">
        <v>2264</v>
      </c>
      <c r="C55" s="70" t="s">
        <v>2239</v>
      </c>
    </row>
    <row r="56" spans="1:3" hidden="1" x14ac:dyDescent="0.25">
      <c r="A56" s="70">
        <v>9340</v>
      </c>
      <c r="B56" s="70" t="s">
        <v>527</v>
      </c>
      <c r="C56" s="70" t="s">
        <v>2236</v>
      </c>
    </row>
    <row r="57" spans="1:3" hidden="1" x14ac:dyDescent="0.25">
      <c r="A57" s="70">
        <v>9341</v>
      </c>
      <c r="B57" s="70" t="s">
        <v>2265</v>
      </c>
      <c r="C57" s="70" t="s">
        <v>2246</v>
      </c>
    </row>
    <row r="58" spans="1:3" hidden="1" x14ac:dyDescent="0.25">
      <c r="A58" s="70">
        <v>9345</v>
      </c>
      <c r="B58" s="70" t="s">
        <v>742</v>
      </c>
      <c r="C58" s="70" t="s">
        <v>2236</v>
      </c>
    </row>
    <row r="59" spans="1:3" hidden="1" x14ac:dyDescent="0.25">
      <c r="A59" s="70">
        <v>9349</v>
      </c>
      <c r="B59" s="70" t="s">
        <v>754</v>
      </c>
      <c r="C59" s="70" t="s">
        <v>2239</v>
      </c>
    </row>
    <row r="60" spans="1:3" hidden="1" x14ac:dyDescent="0.25">
      <c r="A60" s="70">
        <v>9350</v>
      </c>
      <c r="B60" s="70" t="s">
        <v>2266</v>
      </c>
      <c r="C60" s="70" t="s">
        <v>2239</v>
      </c>
    </row>
    <row r="61" spans="1:3" hidden="1" x14ac:dyDescent="0.25">
      <c r="A61" s="70">
        <v>9360</v>
      </c>
      <c r="B61" s="70" t="s">
        <v>2267</v>
      </c>
      <c r="C61" s="70" t="s">
        <v>2236</v>
      </c>
    </row>
    <row r="62" spans="1:3" hidden="1" x14ac:dyDescent="0.25">
      <c r="A62" s="70">
        <v>9370</v>
      </c>
      <c r="B62" s="70" t="s">
        <v>2268</v>
      </c>
      <c r="C62" s="70" t="s">
        <v>2236</v>
      </c>
    </row>
    <row r="63" spans="1:3" hidden="1" x14ac:dyDescent="0.25">
      <c r="A63" s="70">
        <v>9374</v>
      </c>
      <c r="B63" s="70" t="s">
        <v>2269</v>
      </c>
      <c r="C63" s="70" t="s">
        <v>2246</v>
      </c>
    </row>
    <row r="64" spans="1:3" hidden="1" x14ac:dyDescent="0.25">
      <c r="A64" s="70">
        <v>9388</v>
      </c>
      <c r="B64" s="70" t="s">
        <v>558</v>
      </c>
      <c r="C64" s="70" t="s">
        <v>2236</v>
      </c>
    </row>
    <row r="65" spans="1:3" hidden="1" x14ac:dyDescent="0.25">
      <c r="A65" s="70">
        <v>9390</v>
      </c>
      <c r="B65" s="70" t="s">
        <v>571</v>
      </c>
      <c r="C65" s="70" t="s">
        <v>2246</v>
      </c>
    </row>
    <row r="66" spans="1:3" hidden="1" x14ac:dyDescent="0.25">
      <c r="A66" s="70">
        <v>9391</v>
      </c>
      <c r="B66" s="70" t="s">
        <v>2270</v>
      </c>
      <c r="C66" s="70" t="s">
        <v>2236</v>
      </c>
    </row>
    <row r="67" spans="1:3" hidden="1" x14ac:dyDescent="0.25">
      <c r="A67" s="70">
        <v>9392</v>
      </c>
      <c r="B67" s="70" t="s">
        <v>529</v>
      </c>
      <c r="C67" s="70" t="s">
        <v>2236</v>
      </c>
    </row>
    <row r="68" spans="1:3" hidden="1" x14ac:dyDescent="0.25">
      <c r="A68" s="70">
        <v>9393</v>
      </c>
      <c r="B68" s="70" t="s">
        <v>2271</v>
      </c>
      <c r="C68" s="70" t="s">
        <v>2236</v>
      </c>
    </row>
    <row r="69" spans="1:3" hidden="1" x14ac:dyDescent="0.25">
      <c r="A69" s="70">
        <v>9394</v>
      </c>
      <c r="B69" s="70" t="s">
        <v>2272</v>
      </c>
      <c r="C69" s="70" t="s">
        <v>2236</v>
      </c>
    </row>
    <row r="70" spans="1:3" hidden="1" x14ac:dyDescent="0.25">
      <c r="A70" s="70">
        <v>9396</v>
      </c>
      <c r="B70" s="70" t="s">
        <v>2273</v>
      </c>
      <c r="C70" s="70" t="s">
        <v>2236</v>
      </c>
    </row>
    <row r="71" spans="1:3" hidden="1" x14ac:dyDescent="0.25">
      <c r="A71" s="70">
        <v>9397</v>
      </c>
      <c r="B71" s="70" t="s">
        <v>541</v>
      </c>
      <c r="C71" s="70" t="s">
        <v>2236</v>
      </c>
    </row>
    <row r="72" spans="1:3" hidden="1" x14ac:dyDescent="0.25">
      <c r="A72" s="70">
        <v>9398</v>
      </c>
      <c r="B72" s="70" t="s">
        <v>2274</v>
      </c>
      <c r="C72" s="70" t="s">
        <v>2236</v>
      </c>
    </row>
    <row r="73" spans="1:3" hidden="1" x14ac:dyDescent="0.25">
      <c r="A73" s="70">
        <v>9402</v>
      </c>
      <c r="B73" s="70" t="s">
        <v>2275</v>
      </c>
      <c r="C73" s="70" t="s">
        <v>2246</v>
      </c>
    </row>
    <row r="74" spans="1:3" hidden="1" x14ac:dyDescent="0.25">
      <c r="A74" s="70">
        <v>9405</v>
      </c>
      <c r="B74" s="70" t="s">
        <v>514</v>
      </c>
      <c r="C74" s="70" t="s">
        <v>2236</v>
      </c>
    </row>
    <row r="75" spans="1:3" hidden="1" x14ac:dyDescent="0.25">
      <c r="A75" s="70">
        <v>9408</v>
      </c>
      <c r="B75" s="70" t="s">
        <v>611</v>
      </c>
      <c r="C75" s="70" t="s">
        <v>2239</v>
      </c>
    </row>
    <row r="76" spans="1:3" hidden="1" x14ac:dyDescent="0.25">
      <c r="A76" s="70">
        <v>9410</v>
      </c>
      <c r="B76" s="70" t="s">
        <v>2276</v>
      </c>
      <c r="C76" s="70" t="s">
        <v>2236</v>
      </c>
    </row>
    <row r="77" spans="1:3" hidden="1" x14ac:dyDescent="0.25">
      <c r="A77" s="70">
        <v>9414</v>
      </c>
      <c r="B77" s="70" t="s">
        <v>2277</v>
      </c>
      <c r="C77" s="70" t="s">
        <v>2246</v>
      </c>
    </row>
    <row r="78" spans="1:3" hidden="1" x14ac:dyDescent="0.25">
      <c r="A78" s="70">
        <v>9415</v>
      </c>
      <c r="B78" s="70" t="s">
        <v>2278</v>
      </c>
      <c r="C78" s="70" t="s">
        <v>2239</v>
      </c>
    </row>
    <row r="79" spans="1:3" hidden="1" x14ac:dyDescent="0.25">
      <c r="A79" s="70">
        <v>9420</v>
      </c>
      <c r="B79" s="70" t="s">
        <v>2279</v>
      </c>
      <c r="C79" s="70" t="s">
        <v>2246</v>
      </c>
    </row>
    <row r="80" spans="1:3" hidden="1" x14ac:dyDescent="0.25">
      <c r="A80" s="70">
        <v>9425</v>
      </c>
      <c r="B80" s="70" t="s">
        <v>2280</v>
      </c>
      <c r="C80" s="70" t="s">
        <v>2236</v>
      </c>
    </row>
    <row r="81" spans="1:3" hidden="1" x14ac:dyDescent="0.25">
      <c r="A81" s="70">
        <v>9429</v>
      </c>
      <c r="B81" s="70" t="s">
        <v>2281</v>
      </c>
      <c r="C81" s="70" t="s">
        <v>2236</v>
      </c>
    </row>
    <row r="82" spans="1:3" hidden="1" x14ac:dyDescent="0.25">
      <c r="A82" s="70">
        <v>9430</v>
      </c>
      <c r="B82" s="70" t="s">
        <v>2282</v>
      </c>
      <c r="C82" s="70" t="s">
        <v>2236</v>
      </c>
    </row>
    <row r="83" spans="1:3" hidden="1" x14ac:dyDescent="0.25">
      <c r="A83" s="70">
        <v>9440</v>
      </c>
      <c r="B83" s="70" t="s">
        <v>468</v>
      </c>
      <c r="C83" s="70" t="s">
        <v>2236</v>
      </c>
    </row>
    <row r="84" spans="1:3" hidden="1" x14ac:dyDescent="0.25">
      <c r="A84" s="70">
        <v>9441</v>
      </c>
      <c r="B84" s="70" t="s">
        <v>2283</v>
      </c>
      <c r="C84" s="70" t="s">
        <v>2236</v>
      </c>
    </row>
    <row r="85" spans="1:3" hidden="1" x14ac:dyDescent="0.25">
      <c r="A85" s="70">
        <v>9444</v>
      </c>
      <c r="B85" s="70" t="s">
        <v>2284</v>
      </c>
      <c r="C85" s="70" t="s">
        <v>2236</v>
      </c>
    </row>
    <row r="86" spans="1:3" hidden="1" x14ac:dyDescent="0.25">
      <c r="A86" s="70">
        <v>9445</v>
      </c>
      <c r="B86" s="70" t="s">
        <v>2285</v>
      </c>
      <c r="C86" s="70" t="s">
        <v>2239</v>
      </c>
    </row>
    <row r="87" spans="1:3" hidden="1" x14ac:dyDescent="0.25">
      <c r="A87" s="70">
        <v>9446</v>
      </c>
      <c r="B87" s="70" t="s">
        <v>2286</v>
      </c>
      <c r="C87" s="70" t="s">
        <v>2236</v>
      </c>
    </row>
    <row r="88" spans="1:3" hidden="1" x14ac:dyDescent="0.25">
      <c r="A88" s="70">
        <v>9448</v>
      </c>
      <c r="B88" s="70" t="s">
        <v>2287</v>
      </c>
      <c r="C88" s="70" t="s">
        <v>2236</v>
      </c>
    </row>
    <row r="89" spans="1:3" hidden="1" x14ac:dyDescent="0.25">
      <c r="A89" s="70">
        <v>9461</v>
      </c>
      <c r="B89" s="70" t="s">
        <v>2288</v>
      </c>
      <c r="C89" s="70" t="s">
        <v>2236</v>
      </c>
    </row>
    <row r="90" spans="1:3" hidden="1" x14ac:dyDescent="0.25">
      <c r="A90" s="70">
        <v>9467</v>
      </c>
      <c r="B90" s="70" t="s">
        <v>2289</v>
      </c>
      <c r="C90" s="70" t="s">
        <v>2236</v>
      </c>
    </row>
    <row r="91" spans="1:3" hidden="1" x14ac:dyDescent="0.25">
      <c r="A91" s="70">
        <v>9469</v>
      </c>
      <c r="B91" s="70" t="s">
        <v>497</v>
      </c>
      <c r="C91" s="70" t="s">
        <v>2246</v>
      </c>
    </row>
    <row r="92" spans="1:3" hidden="1" x14ac:dyDescent="0.25">
      <c r="A92" s="70">
        <v>9470</v>
      </c>
      <c r="B92" s="70" t="s">
        <v>501</v>
      </c>
      <c r="C92" s="70" t="s">
        <v>2236</v>
      </c>
    </row>
    <row r="93" spans="1:3" hidden="1" x14ac:dyDescent="0.25">
      <c r="A93" s="70">
        <v>9471</v>
      </c>
      <c r="B93" s="70" t="s">
        <v>2290</v>
      </c>
      <c r="C93" s="70" t="s">
        <v>2239</v>
      </c>
    </row>
    <row r="94" spans="1:3" hidden="1" x14ac:dyDescent="0.25">
      <c r="A94" s="70">
        <v>9472</v>
      </c>
      <c r="B94" s="70" t="s">
        <v>509</v>
      </c>
      <c r="C94" s="70" t="s">
        <v>2236</v>
      </c>
    </row>
    <row r="95" spans="1:3" hidden="1" x14ac:dyDescent="0.25">
      <c r="A95" s="70">
        <v>9474</v>
      </c>
      <c r="B95" s="70" t="s">
        <v>2291</v>
      </c>
      <c r="C95" s="70" t="s">
        <v>2246</v>
      </c>
    </row>
    <row r="96" spans="1:3" hidden="1" x14ac:dyDescent="0.25">
      <c r="A96" s="70">
        <v>9477</v>
      </c>
      <c r="B96" s="70" t="s">
        <v>2292</v>
      </c>
      <c r="C96" s="70" t="s">
        <v>2239</v>
      </c>
    </row>
    <row r="97" spans="1:3" hidden="1" x14ac:dyDescent="0.25">
      <c r="A97" s="70">
        <v>9485</v>
      </c>
      <c r="B97" s="70" t="s">
        <v>2293</v>
      </c>
      <c r="C97" s="70" t="s">
        <v>2236</v>
      </c>
    </row>
    <row r="98" spans="1:3" hidden="1" x14ac:dyDescent="0.25">
      <c r="A98" s="70">
        <v>9499</v>
      </c>
      <c r="B98" s="70" t="s">
        <v>2294</v>
      </c>
      <c r="C98" s="70" t="s">
        <v>2236</v>
      </c>
    </row>
    <row r="99" spans="1:3" hidden="1" x14ac:dyDescent="0.25">
      <c r="A99" s="70">
        <v>9503</v>
      </c>
      <c r="B99" s="70" t="s">
        <v>2295</v>
      </c>
      <c r="C99" s="70" t="s">
        <v>2236</v>
      </c>
    </row>
    <row r="100" spans="1:3" hidden="1" x14ac:dyDescent="0.25">
      <c r="A100" s="70">
        <v>9504</v>
      </c>
      <c r="B100" s="70" t="s">
        <v>2296</v>
      </c>
      <c r="C100" s="70" t="s">
        <v>2246</v>
      </c>
    </row>
    <row r="101" spans="1:3" hidden="1" x14ac:dyDescent="0.25">
      <c r="A101" s="70">
        <v>9510</v>
      </c>
      <c r="B101" s="70" t="s">
        <v>2297</v>
      </c>
      <c r="C101" s="70" t="s">
        <v>2236</v>
      </c>
    </row>
    <row r="102" spans="1:3" hidden="1" x14ac:dyDescent="0.25">
      <c r="A102" s="70">
        <v>9518</v>
      </c>
      <c r="B102" s="70" t="s">
        <v>2298</v>
      </c>
      <c r="C102" s="70" t="s">
        <v>2239</v>
      </c>
    </row>
    <row r="103" spans="1:3" hidden="1" x14ac:dyDescent="0.25">
      <c r="A103" s="70">
        <v>9530</v>
      </c>
      <c r="B103" s="70" t="s">
        <v>2299</v>
      </c>
      <c r="C103" s="70" t="s">
        <v>2236</v>
      </c>
    </row>
    <row r="104" spans="1:3" hidden="1" x14ac:dyDescent="0.25">
      <c r="A104" s="70">
        <v>9536</v>
      </c>
      <c r="B104" s="70" t="s">
        <v>2300</v>
      </c>
      <c r="C104" s="70" t="s">
        <v>2236</v>
      </c>
    </row>
    <row r="105" spans="1:3" hidden="1" x14ac:dyDescent="0.25">
      <c r="A105" s="70">
        <v>9538</v>
      </c>
      <c r="B105" s="70" t="s">
        <v>2301</v>
      </c>
      <c r="C105" s="70" t="s">
        <v>2239</v>
      </c>
    </row>
    <row r="106" spans="1:3" hidden="1" x14ac:dyDescent="0.25">
      <c r="A106" s="70">
        <v>9540</v>
      </c>
      <c r="B106" s="70" t="s">
        <v>976</v>
      </c>
      <c r="C106" s="70" t="s">
        <v>2236</v>
      </c>
    </row>
    <row r="107" spans="1:3" hidden="1" x14ac:dyDescent="0.25">
      <c r="A107" s="70">
        <v>9541</v>
      </c>
      <c r="B107" s="70" t="s">
        <v>2302</v>
      </c>
      <c r="C107" s="70" t="s">
        <v>2239</v>
      </c>
    </row>
    <row r="108" spans="1:3" hidden="1" x14ac:dyDescent="0.25">
      <c r="A108" s="70">
        <v>9543</v>
      </c>
      <c r="B108" s="70" t="s">
        <v>2303</v>
      </c>
      <c r="C108" s="70" t="s">
        <v>2239</v>
      </c>
    </row>
    <row r="109" spans="1:3" hidden="1" x14ac:dyDescent="0.25">
      <c r="A109" s="70">
        <v>9550</v>
      </c>
      <c r="B109" s="70" t="s">
        <v>2304</v>
      </c>
      <c r="C109" s="70" t="s">
        <v>2239</v>
      </c>
    </row>
    <row r="110" spans="1:3" hidden="1" x14ac:dyDescent="0.25">
      <c r="A110" s="70">
        <v>9555</v>
      </c>
      <c r="B110" s="70" t="s">
        <v>2305</v>
      </c>
      <c r="C110" s="70" t="s">
        <v>2236</v>
      </c>
    </row>
    <row r="111" spans="1:3" hidden="1" x14ac:dyDescent="0.25">
      <c r="A111" s="70">
        <v>9560</v>
      </c>
      <c r="B111" s="70" t="s">
        <v>956</v>
      </c>
      <c r="C111" s="70" t="s">
        <v>2236</v>
      </c>
    </row>
    <row r="112" spans="1:3" hidden="1" x14ac:dyDescent="0.25">
      <c r="A112" s="70">
        <v>9565</v>
      </c>
      <c r="B112" s="70" t="s">
        <v>2306</v>
      </c>
      <c r="C112" s="70" t="s">
        <v>2239</v>
      </c>
    </row>
    <row r="113" spans="1:3" hidden="1" x14ac:dyDescent="0.25">
      <c r="A113" s="70">
        <v>9566</v>
      </c>
      <c r="B113" s="70" t="s">
        <v>2307</v>
      </c>
      <c r="C113" s="70" t="s">
        <v>2239</v>
      </c>
    </row>
    <row r="114" spans="1:3" hidden="1" x14ac:dyDescent="0.25">
      <c r="A114" s="70">
        <v>9567</v>
      </c>
      <c r="B114" s="70" t="s">
        <v>2308</v>
      </c>
      <c r="C114" s="70" t="s">
        <v>2236</v>
      </c>
    </row>
    <row r="115" spans="1:3" hidden="1" x14ac:dyDescent="0.25">
      <c r="A115" s="70">
        <v>9570</v>
      </c>
      <c r="B115" s="70" t="s">
        <v>2309</v>
      </c>
      <c r="C115" s="70" t="s">
        <v>2236</v>
      </c>
    </row>
    <row r="116" spans="1:3" hidden="1" x14ac:dyDescent="0.25">
      <c r="A116" s="70">
        <v>9580</v>
      </c>
      <c r="B116" s="70" t="s">
        <v>950</v>
      </c>
      <c r="C116" s="70" t="s">
        <v>2236</v>
      </c>
    </row>
    <row r="117" spans="1:3" hidden="1" x14ac:dyDescent="0.25">
      <c r="A117" s="70">
        <v>9610</v>
      </c>
      <c r="B117" s="70" t="s">
        <v>2310</v>
      </c>
      <c r="C117" s="70" t="s">
        <v>2236</v>
      </c>
    </row>
    <row r="118" spans="1:3" hidden="1" x14ac:dyDescent="0.25">
      <c r="A118" s="70">
        <v>9611</v>
      </c>
      <c r="B118" s="70" t="s">
        <v>2311</v>
      </c>
      <c r="C118" s="70" t="s">
        <v>2239</v>
      </c>
    </row>
    <row r="119" spans="1:3" hidden="1" x14ac:dyDescent="0.25">
      <c r="A119" s="70">
        <v>9612</v>
      </c>
      <c r="B119" s="70" t="s">
        <v>1038</v>
      </c>
      <c r="C119" s="70" t="s">
        <v>2236</v>
      </c>
    </row>
    <row r="120" spans="1:3" hidden="1" x14ac:dyDescent="0.25">
      <c r="A120" s="70">
        <v>9615</v>
      </c>
      <c r="B120" s="70" t="s">
        <v>2312</v>
      </c>
      <c r="C120" s="70" t="s">
        <v>2236</v>
      </c>
    </row>
    <row r="121" spans="1:3" hidden="1" x14ac:dyDescent="0.25">
      <c r="A121" s="70">
        <v>9630</v>
      </c>
      <c r="B121" s="70" t="s">
        <v>2313</v>
      </c>
      <c r="C121" s="70" t="s">
        <v>2236</v>
      </c>
    </row>
    <row r="122" spans="1:3" hidden="1" x14ac:dyDescent="0.25">
      <c r="A122" s="70">
        <v>9640</v>
      </c>
      <c r="B122" s="70" t="s">
        <v>2314</v>
      </c>
      <c r="C122" s="70" t="s">
        <v>2239</v>
      </c>
    </row>
    <row r="123" spans="1:3" x14ac:dyDescent="0.25">
      <c r="A123" s="70">
        <v>9647</v>
      </c>
      <c r="B123" s="70" t="s">
        <v>2315</v>
      </c>
      <c r="C123" s="70" t="s">
        <v>2236</v>
      </c>
    </row>
    <row r="124" spans="1:3" hidden="1" x14ac:dyDescent="0.25">
      <c r="A124" s="70">
        <v>9650</v>
      </c>
      <c r="B124" s="70" t="s">
        <v>2316</v>
      </c>
      <c r="C124" s="70" t="s">
        <v>2236</v>
      </c>
    </row>
    <row r="125" spans="1:3" hidden="1" x14ac:dyDescent="0.25">
      <c r="A125" s="70">
        <v>9653</v>
      </c>
      <c r="B125" s="70" t="s">
        <v>1018</v>
      </c>
      <c r="C125" s="70" t="s">
        <v>2236</v>
      </c>
    </row>
    <row r="126" spans="1:3" hidden="1" x14ac:dyDescent="0.25">
      <c r="A126" s="70">
        <v>9654</v>
      </c>
      <c r="B126" s="70" t="s">
        <v>2317</v>
      </c>
      <c r="C126" s="70" t="s">
        <v>2239</v>
      </c>
    </row>
    <row r="127" spans="1:3" hidden="1" x14ac:dyDescent="0.25">
      <c r="A127" s="70">
        <v>9655</v>
      </c>
      <c r="B127" s="70" t="s">
        <v>987</v>
      </c>
      <c r="C127" s="70" t="s">
        <v>2236</v>
      </c>
    </row>
    <row r="128" spans="1:3" hidden="1" x14ac:dyDescent="0.25">
      <c r="A128" s="70">
        <v>9658</v>
      </c>
      <c r="B128" s="70" t="s">
        <v>2318</v>
      </c>
      <c r="C128" s="70" t="s">
        <v>2239</v>
      </c>
    </row>
    <row r="129" spans="1:3" hidden="1" x14ac:dyDescent="0.25">
      <c r="A129" s="70">
        <v>9660</v>
      </c>
      <c r="B129" s="70" t="s">
        <v>2319</v>
      </c>
      <c r="C129" s="70" t="s">
        <v>2239</v>
      </c>
    </row>
    <row r="130" spans="1:3" hidden="1" x14ac:dyDescent="0.25">
      <c r="A130" s="70">
        <v>9663</v>
      </c>
      <c r="B130" s="70" t="s">
        <v>2320</v>
      </c>
      <c r="C130" s="70" t="s">
        <v>2246</v>
      </c>
    </row>
    <row r="131" spans="1:3" hidden="1" x14ac:dyDescent="0.25">
      <c r="A131" s="70">
        <v>9665</v>
      </c>
      <c r="B131" s="70" t="s">
        <v>2321</v>
      </c>
      <c r="C131" s="70" t="s">
        <v>2239</v>
      </c>
    </row>
    <row r="132" spans="1:3" hidden="1" x14ac:dyDescent="0.25">
      <c r="A132" s="70">
        <v>9670</v>
      </c>
      <c r="B132" s="70" t="s">
        <v>2322</v>
      </c>
      <c r="C132" s="70" t="s">
        <v>2239</v>
      </c>
    </row>
    <row r="133" spans="1:3" hidden="1" x14ac:dyDescent="0.25">
      <c r="A133" s="70">
        <v>9675</v>
      </c>
      <c r="B133" s="70" t="s">
        <v>2323</v>
      </c>
      <c r="C133" s="70" t="s">
        <v>2236</v>
      </c>
    </row>
    <row r="134" spans="1:3" hidden="1" x14ac:dyDescent="0.25">
      <c r="A134" s="70">
        <v>9678</v>
      </c>
      <c r="B134" s="70" t="s">
        <v>2324</v>
      </c>
      <c r="C134" s="70" t="s">
        <v>2239</v>
      </c>
    </row>
    <row r="135" spans="1:3" hidden="1" x14ac:dyDescent="0.25">
      <c r="A135" s="70">
        <v>9801</v>
      </c>
      <c r="B135" s="70" t="s">
        <v>2325</v>
      </c>
      <c r="C135" s="70" t="s">
        <v>2239</v>
      </c>
    </row>
    <row r="136" spans="1:3" hidden="1" x14ac:dyDescent="0.25">
      <c r="A136" s="70">
        <v>9805</v>
      </c>
      <c r="B136" s="70" t="s">
        <v>2326</v>
      </c>
      <c r="C136" s="70" t="s">
        <v>2236</v>
      </c>
    </row>
    <row r="137" spans="1:3" hidden="1" x14ac:dyDescent="0.25">
      <c r="A137" s="70">
        <v>9811</v>
      </c>
      <c r="B137" s="70" t="s">
        <v>2327</v>
      </c>
      <c r="C137" s="70" t="s">
        <v>2239</v>
      </c>
    </row>
    <row r="138" spans="1:3" hidden="1" x14ac:dyDescent="0.25">
      <c r="A138" s="70">
        <v>9813</v>
      </c>
      <c r="B138" s="70" t="s">
        <v>2328</v>
      </c>
      <c r="C138" s="70" t="s">
        <v>2236</v>
      </c>
    </row>
    <row r="139" spans="1:3" hidden="1" x14ac:dyDescent="0.25">
      <c r="A139" s="70">
        <v>9814</v>
      </c>
      <c r="B139" s="70" t="s">
        <v>2329</v>
      </c>
      <c r="C139" s="70" t="s">
        <v>2236</v>
      </c>
    </row>
    <row r="140" spans="1:3" hidden="1" x14ac:dyDescent="0.25">
      <c r="A140" s="70">
        <v>9815</v>
      </c>
      <c r="B140" s="70" t="s">
        <v>885</v>
      </c>
      <c r="C140" s="70" t="s">
        <v>2236</v>
      </c>
    </row>
    <row r="141" spans="1:3" hidden="1" x14ac:dyDescent="0.25">
      <c r="A141" s="70">
        <v>9816</v>
      </c>
      <c r="B141" s="70" t="s">
        <v>2330</v>
      </c>
      <c r="C141" s="70" t="s">
        <v>2236</v>
      </c>
    </row>
    <row r="142" spans="1:3" hidden="1" x14ac:dyDescent="0.25">
      <c r="A142" s="70">
        <v>9817</v>
      </c>
      <c r="B142" s="70" t="s">
        <v>920</v>
      </c>
      <c r="C142" s="70" t="s">
        <v>2236</v>
      </c>
    </row>
    <row r="143" spans="1:3" hidden="1" x14ac:dyDescent="0.25">
      <c r="A143" s="70">
        <v>9818</v>
      </c>
      <c r="B143" s="70" t="s">
        <v>2331</v>
      </c>
      <c r="C143" s="70" t="s">
        <v>2236</v>
      </c>
    </row>
    <row r="144" spans="1:3" hidden="1" x14ac:dyDescent="0.25">
      <c r="A144" s="70">
        <v>9820</v>
      </c>
      <c r="B144" s="70" t="s">
        <v>2332</v>
      </c>
      <c r="C144" s="70" t="s">
        <v>2236</v>
      </c>
    </row>
    <row r="145" spans="1:3" hidden="1" x14ac:dyDescent="0.25">
      <c r="A145" s="70">
        <v>9821</v>
      </c>
      <c r="B145" s="70" t="s">
        <v>2333</v>
      </c>
      <c r="C145" s="70" t="s">
        <v>2246</v>
      </c>
    </row>
    <row r="146" spans="1:3" hidden="1" x14ac:dyDescent="0.25">
      <c r="A146" s="70">
        <v>9822</v>
      </c>
      <c r="B146" s="70" t="s">
        <v>435</v>
      </c>
      <c r="C146" s="70" t="s">
        <v>2236</v>
      </c>
    </row>
    <row r="147" spans="1:3" hidden="1" x14ac:dyDescent="0.25">
      <c r="A147" s="70">
        <v>9824</v>
      </c>
      <c r="B147" s="70" t="s">
        <v>932</v>
      </c>
      <c r="C147" s="70" t="s">
        <v>2236</v>
      </c>
    </row>
    <row r="148" spans="1:3" hidden="1" x14ac:dyDescent="0.25">
      <c r="A148" s="70">
        <v>9826</v>
      </c>
      <c r="B148" s="70" t="s">
        <v>892</v>
      </c>
      <c r="C148" s="70" t="s">
        <v>2236</v>
      </c>
    </row>
    <row r="149" spans="1:3" hidden="1" x14ac:dyDescent="0.25">
      <c r="A149" s="70">
        <v>9827</v>
      </c>
      <c r="B149" s="70" t="s">
        <v>2334</v>
      </c>
      <c r="C149" s="70" t="s">
        <v>2236</v>
      </c>
    </row>
    <row r="150" spans="1:3" hidden="1" x14ac:dyDescent="0.25">
      <c r="A150" s="70">
        <v>9830</v>
      </c>
      <c r="B150" s="70" t="s">
        <v>2335</v>
      </c>
      <c r="C150" s="70" t="s">
        <v>2239</v>
      </c>
    </row>
    <row r="151" spans="1:3" hidden="1" x14ac:dyDescent="0.25">
      <c r="A151" s="70">
        <v>9831</v>
      </c>
      <c r="B151" s="70" t="s">
        <v>2336</v>
      </c>
      <c r="C151" s="70" t="s">
        <v>2236</v>
      </c>
    </row>
    <row r="152" spans="1:3" hidden="1" x14ac:dyDescent="0.25">
      <c r="A152" s="70">
        <v>9832</v>
      </c>
      <c r="B152" s="70" t="s">
        <v>623</v>
      </c>
      <c r="C152" s="70" t="s">
        <v>2236</v>
      </c>
    </row>
    <row r="153" spans="1:3" hidden="1" x14ac:dyDescent="0.25">
      <c r="A153" s="70">
        <v>9833</v>
      </c>
      <c r="B153" s="70" t="s">
        <v>603</v>
      </c>
      <c r="C153" s="70" t="s">
        <v>2236</v>
      </c>
    </row>
    <row r="154" spans="1:3" hidden="1" x14ac:dyDescent="0.25">
      <c r="A154" s="70">
        <v>9834</v>
      </c>
      <c r="B154" s="70" t="s">
        <v>586</v>
      </c>
      <c r="C154" s="70" t="s">
        <v>2236</v>
      </c>
    </row>
    <row r="155" spans="1:3" hidden="1" x14ac:dyDescent="0.25">
      <c r="A155" s="70">
        <v>9835</v>
      </c>
      <c r="B155" s="70" t="s">
        <v>635</v>
      </c>
      <c r="C155" s="70" t="s">
        <v>2236</v>
      </c>
    </row>
    <row r="156" spans="1:3" hidden="1" x14ac:dyDescent="0.25">
      <c r="A156" s="70">
        <v>9836</v>
      </c>
      <c r="B156" s="70" t="s">
        <v>2337</v>
      </c>
      <c r="C156" s="70" t="s">
        <v>2236</v>
      </c>
    </row>
    <row r="157" spans="1:3" hidden="1" x14ac:dyDescent="0.25">
      <c r="A157" s="70">
        <v>9837</v>
      </c>
      <c r="B157" s="70" t="s">
        <v>431</v>
      </c>
      <c r="C157" s="70" t="s">
        <v>2236</v>
      </c>
    </row>
    <row r="158" spans="1:3" hidden="1" x14ac:dyDescent="0.25">
      <c r="A158" s="70">
        <v>9838</v>
      </c>
      <c r="B158" s="70" t="s">
        <v>2338</v>
      </c>
      <c r="C158" s="70" t="s">
        <v>2236</v>
      </c>
    </row>
    <row r="159" spans="1:3" hidden="1" x14ac:dyDescent="0.25">
      <c r="A159" s="70">
        <v>9841</v>
      </c>
      <c r="B159" s="70" t="s">
        <v>2339</v>
      </c>
      <c r="C159" s="70" t="s">
        <v>2239</v>
      </c>
    </row>
    <row r="160" spans="1:3" hidden="1" x14ac:dyDescent="0.25">
      <c r="A160" s="70">
        <v>9842</v>
      </c>
      <c r="B160" s="70" t="s">
        <v>619</v>
      </c>
      <c r="C160" s="70" t="s">
        <v>2239</v>
      </c>
    </row>
    <row r="161" spans="1:3" hidden="1" x14ac:dyDescent="0.25">
      <c r="A161" s="70">
        <v>9843</v>
      </c>
      <c r="B161" s="70" t="s">
        <v>2340</v>
      </c>
      <c r="C161" s="70" t="s">
        <v>2246</v>
      </c>
    </row>
    <row r="162" spans="1:3" hidden="1" x14ac:dyDescent="0.25">
      <c r="A162" s="70">
        <v>9844</v>
      </c>
      <c r="B162" s="70" t="s">
        <v>2341</v>
      </c>
      <c r="C162" s="70" t="s">
        <v>2239</v>
      </c>
    </row>
    <row r="163" spans="1:3" hidden="1" x14ac:dyDescent="0.25">
      <c r="A163" s="70">
        <v>9845</v>
      </c>
      <c r="B163" s="70" t="s">
        <v>582</v>
      </c>
      <c r="C163" s="70" t="s">
        <v>2236</v>
      </c>
    </row>
    <row r="164" spans="1:3" hidden="1" x14ac:dyDescent="0.25">
      <c r="A164" s="70">
        <v>9847</v>
      </c>
      <c r="B164" s="70" t="s">
        <v>2342</v>
      </c>
      <c r="C164" s="70" t="s">
        <v>2246</v>
      </c>
    </row>
    <row r="165" spans="1:3" hidden="1" x14ac:dyDescent="0.25">
      <c r="A165" s="70">
        <v>9848</v>
      </c>
      <c r="B165" s="70" t="s">
        <v>2343</v>
      </c>
      <c r="C165" s="70" t="s">
        <v>2246</v>
      </c>
    </row>
    <row r="166" spans="1:3" hidden="1" x14ac:dyDescent="0.25">
      <c r="A166" s="70">
        <v>9849</v>
      </c>
      <c r="B166" s="70" t="s">
        <v>2344</v>
      </c>
      <c r="C166" s="70" t="s">
        <v>2246</v>
      </c>
    </row>
    <row r="167" spans="1:3" hidden="1" x14ac:dyDescent="0.25">
      <c r="A167" s="70">
        <v>9849</v>
      </c>
      <c r="B167" s="70" t="s">
        <v>906</v>
      </c>
      <c r="C167" s="70" t="s">
        <v>2246</v>
      </c>
    </row>
    <row r="168" spans="1:3" hidden="1" x14ac:dyDescent="0.25">
      <c r="A168" s="70">
        <v>9853</v>
      </c>
      <c r="B168" s="70" t="s">
        <v>2345</v>
      </c>
      <c r="C168" s="70" t="s">
        <v>2236</v>
      </c>
    </row>
    <row r="169" spans="1:3" hidden="1" x14ac:dyDescent="0.25">
      <c r="A169" s="70">
        <v>9854</v>
      </c>
      <c r="B169" s="70" t="s">
        <v>899</v>
      </c>
      <c r="C169" s="70" t="s">
        <v>2236</v>
      </c>
    </row>
    <row r="170" spans="1:3" hidden="1" x14ac:dyDescent="0.25">
      <c r="A170" s="70">
        <v>9855</v>
      </c>
      <c r="B170" s="70" t="s">
        <v>2346</v>
      </c>
      <c r="C170" s="70" t="s">
        <v>2236</v>
      </c>
    </row>
    <row r="171" spans="1:3" hidden="1" x14ac:dyDescent="0.25">
      <c r="A171" s="70">
        <v>9857</v>
      </c>
      <c r="B171" s="70" t="s">
        <v>2347</v>
      </c>
      <c r="C171" s="70" t="s">
        <v>2236</v>
      </c>
    </row>
    <row r="172" spans="1:3" hidden="1" x14ac:dyDescent="0.25">
      <c r="A172" s="70">
        <v>9858</v>
      </c>
      <c r="B172" s="70" t="s">
        <v>2348</v>
      </c>
      <c r="C172" s="70" t="s">
        <v>2236</v>
      </c>
    </row>
    <row r="173" spans="1:3" hidden="1" x14ac:dyDescent="0.25">
      <c r="A173" s="70">
        <v>9859</v>
      </c>
      <c r="B173" s="70" t="s">
        <v>2349</v>
      </c>
      <c r="C173" s="70" t="s">
        <v>2246</v>
      </c>
    </row>
    <row r="174" spans="1:3" hidden="1" x14ac:dyDescent="0.25">
      <c r="A174" s="70">
        <v>9864</v>
      </c>
      <c r="B174" s="70" t="s">
        <v>2350</v>
      </c>
      <c r="C174" s="70" t="s">
        <v>2239</v>
      </c>
    </row>
    <row r="175" spans="1:3" hidden="1" x14ac:dyDescent="0.25">
      <c r="A175" s="70">
        <v>9868</v>
      </c>
      <c r="B175" s="70" t="s">
        <v>2351</v>
      </c>
      <c r="C175" s="70" t="s">
        <v>2236</v>
      </c>
    </row>
    <row r="176" spans="1:3" hidden="1" x14ac:dyDescent="0.25">
      <c r="A176" s="70">
        <v>9869</v>
      </c>
      <c r="B176" s="70" t="s">
        <v>444</v>
      </c>
      <c r="C176" s="70" t="s">
        <v>2236</v>
      </c>
    </row>
    <row r="177" spans="1:3" hidden="1" x14ac:dyDescent="0.25">
      <c r="A177" s="70">
        <v>9873</v>
      </c>
      <c r="B177" s="70" t="s">
        <v>2352</v>
      </c>
      <c r="C177" s="70" t="s">
        <v>2239</v>
      </c>
    </row>
    <row r="178" spans="1:3" hidden="1" x14ac:dyDescent="0.25">
      <c r="A178" s="70">
        <v>9874</v>
      </c>
      <c r="B178" s="70" t="s">
        <v>421</v>
      </c>
      <c r="C178" s="70" t="s">
        <v>2236</v>
      </c>
    </row>
    <row r="179" spans="1:3" hidden="1" x14ac:dyDescent="0.25">
      <c r="A179" s="70">
        <v>9875</v>
      </c>
      <c r="B179" s="70" t="s">
        <v>2353</v>
      </c>
      <c r="C179" s="70" t="s">
        <v>2239</v>
      </c>
    </row>
    <row r="180" spans="1:3" hidden="1" x14ac:dyDescent="0.25">
      <c r="A180" s="70">
        <v>9876</v>
      </c>
      <c r="B180" s="70" t="s">
        <v>2354</v>
      </c>
      <c r="C180" s="70" t="s">
        <v>2246</v>
      </c>
    </row>
    <row r="181" spans="1:3" hidden="1" x14ac:dyDescent="0.25">
      <c r="A181" s="70">
        <v>9877</v>
      </c>
      <c r="B181" s="70" t="s">
        <v>2355</v>
      </c>
      <c r="C181" s="70" t="s">
        <v>2246</v>
      </c>
    </row>
    <row r="182" spans="1:3" hidden="1" x14ac:dyDescent="0.25">
      <c r="A182" s="70">
        <v>9878</v>
      </c>
      <c r="B182" s="70" t="s">
        <v>2356</v>
      </c>
      <c r="C182" s="70" t="s">
        <v>2236</v>
      </c>
    </row>
    <row r="183" spans="1:3" hidden="1" x14ac:dyDescent="0.25">
      <c r="A183" s="70">
        <v>9884</v>
      </c>
      <c r="B183" s="70" t="s">
        <v>903</v>
      </c>
      <c r="C183" s="70" t="s">
        <v>2236</v>
      </c>
    </row>
    <row r="184" spans="1:3" hidden="1" x14ac:dyDescent="0.25">
      <c r="A184" s="70">
        <v>9892</v>
      </c>
      <c r="B184" s="70" t="s">
        <v>434</v>
      </c>
      <c r="C184" s="70" t="s">
        <v>2236</v>
      </c>
    </row>
    <row r="185" spans="1:3" hidden="1" x14ac:dyDescent="0.25">
      <c r="A185" s="70">
        <v>9895</v>
      </c>
      <c r="B185" s="70" t="s">
        <v>2357</v>
      </c>
      <c r="C185" s="70" t="s">
        <v>2246</v>
      </c>
    </row>
    <row r="186" spans="1:3" hidden="1" x14ac:dyDescent="0.25">
      <c r="A186" s="70">
        <v>9905</v>
      </c>
      <c r="B186" s="70" t="s">
        <v>2358</v>
      </c>
      <c r="C186" s="70" t="s">
        <v>2246</v>
      </c>
    </row>
    <row r="187" spans="1:3" hidden="1" x14ac:dyDescent="0.25">
      <c r="A187" s="70">
        <v>9906</v>
      </c>
      <c r="B187" s="70" t="s">
        <v>2359</v>
      </c>
      <c r="C187" s="70" t="s">
        <v>2236</v>
      </c>
    </row>
    <row r="188" spans="1:3" hidden="1" x14ac:dyDescent="0.25">
      <c r="A188" s="70">
        <v>9907</v>
      </c>
      <c r="B188" s="70" t="s">
        <v>2360</v>
      </c>
      <c r="C188" s="70" t="s">
        <v>2236</v>
      </c>
    </row>
    <row r="189" spans="1:3" hidden="1" x14ac:dyDescent="0.25">
      <c r="A189" s="70">
        <v>9908</v>
      </c>
      <c r="B189" s="70" t="s">
        <v>779</v>
      </c>
      <c r="C189" s="70" t="s">
        <v>2236</v>
      </c>
    </row>
    <row r="190" spans="1:3" hidden="1" x14ac:dyDescent="0.25">
      <c r="A190" s="70">
        <v>9911</v>
      </c>
      <c r="B190" s="70" t="s">
        <v>2361</v>
      </c>
      <c r="C190" s="70" t="s">
        <v>2236</v>
      </c>
    </row>
    <row r="191" spans="1:3" hidden="1" x14ac:dyDescent="0.25">
      <c r="A191" s="70">
        <v>9914</v>
      </c>
      <c r="B191" s="70" t="s">
        <v>2362</v>
      </c>
      <c r="C191" s="70" t="s">
        <v>2236</v>
      </c>
    </row>
    <row r="192" spans="1:3" hidden="1" x14ac:dyDescent="0.25">
      <c r="A192" s="70">
        <v>9915</v>
      </c>
      <c r="B192" s="70" t="s">
        <v>2363</v>
      </c>
      <c r="C192" s="70" t="s">
        <v>2239</v>
      </c>
    </row>
    <row r="193" spans="1:3" hidden="1" x14ac:dyDescent="0.25">
      <c r="A193" s="70">
        <v>9927</v>
      </c>
      <c r="B193" s="70" t="s">
        <v>2364</v>
      </c>
      <c r="C193" s="70" t="s">
        <v>2236</v>
      </c>
    </row>
    <row r="194" spans="1:3" hidden="1" x14ac:dyDescent="0.25">
      <c r="A194" s="70">
        <v>9928</v>
      </c>
      <c r="B194" s="70" t="s">
        <v>2365</v>
      </c>
      <c r="C194" s="70" t="s">
        <v>2239</v>
      </c>
    </row>
    <row r="195" spans="1:3" hidden="1" x14ac:dyDescent="0.25">
      <c r="A195" s="70">
        <v>9929</v>
      </c>
      <c r="B195" s="70" t="s">
        <v>2366</v>
      </c>
      <c r="C195" s="70" t="s">
        <v>2236</v>
      </c>
    </row>
    <row r="196" spans="1:3" hidden="1" x14ac:dyDescent="0.25">
      <c r="A196" s="70">
        <v>9932</v>
      </c>
      <c r="B196" s="70" t="s">
        <v>2367</v>
      </c>
      <c r="C196" s="70" t="s">
        <v>2239</v>
      </c>
    </row>
    <row r="197" spans="1:3" hidden="1" x14ac:dyDescent="0.25">
      <c r="A197" s="70">
        <v>9933</v>
      </c>
      <c r="B197" s="70" t="s">
        <v>2368</v>
      </c>
      <c r="C197" s="70" t="s">
        <v>2246</v>
      </c>
    </row>
    <row r="198" spans="1:3" hidden="1" x14ac:dyDescent="0.25">
      <c r="A198" s="70">
        <v>9935</v>
      </c>
      <c r="B198" s="70" t="s">
        <v>2369</v>
      </c>
      <c r="C198" s="70" t="s">
        <v>2236</v>
      </c>
    </row>
    <row r="199" spans="1:3" hidden="1" x14ac:dyDescent="0.25">
      <c r="A199" s="70">
        <v>9936</v>
      </c>
      <c r="B199" s="70" t="s">
        <v>704</v>
      </c>
      <c r="C199" s="70" t="s">
        <v>2236</v>
      </c>
    </row>
    <row r="200" spans="1:3" hidden="1" x14ac:dyDescent="0.25">
      <c r="A200" s="70">
        <v>9937</v>
      </c>
      <c r="B200" s="70" t="s">
        <v>2370</v>
      </c>
      <c r="C200" s="70" t="s">
        <v>2246</v>
      </c>
    </row>
    <row r="201" spans="1:3" hidden="1" x14ac:dyDescent="0.25">
      <c r="A201" s="70">
        <v>9940</v>
      </c>
      <c r="B201" s="70" t="s">
        <v>2371</v>
      </c>
      <c r="C201" s="70" t="s">
        <v>2236</v>
      </c>
    </row>
    <row r="202" spans="1:3" hidden="1" x14ac:dyDescent="0.25">
      <c r="A202" s="70">
        <v>9941</v>
      </c>
      <c r="B202" s="70" t="s">
        <v>2372</v>
      </c>
      <c r="C202" s="70" t="s">
        <v>2246</v>
      </c>
    </row>
    <row r="203" spans="1:3" hidden="1" x14ac:dyDescent="0.25">
      <c r="A203" s="70">
        <v>9947</v>
      </c>
      <c r="B203" s="70" t="s">
        <v>2373</v>
      </c>
      <c r="C203" s="70" t="s">
        <v>2246</v>
      </c>
    </row>
    <row r="204" spans="1:3" hidden="1" x14ac:dyDescent="0.25">
      <c r="A204" s="70">
        <v>9948</v>
      </c>
      <c r="B204" s="70" t="s">
        <v>2374</v>
      </c>
      <c r="C204" s="70" t="s">
        <v>2236</v>
      </c>
    </row>
    <row r="205" spans="1:3" hidden="1" x14ac:dyDescent="0.25">
      <c r="A205" s="70">
        <v>9955</v>
      </c>
      <c r="B205" s="70" t="s">
        <v>2375</v>
      </c>
      <c r="C205" s="70" t="s">
        <v>2246</v>
      </c>
    </row>
    <row r="206" spans="1:3" hidden="1" x14ac:dyDescent="0.25">
      <c r="A206" s="70">
        <v>9963</v>
      </c>
      <c r="B206" s="70" t="s">
        <v>417</v>
      </c>
      <c r="C206" s="70" t="s">
        <v>2236</v>
      </c>
    </row>
    <row r="207" spans="1:3" hidden="1" x14ac:dyDescent="0.25">
      <c r="A207" s="70">
        <v>9964</v>
      </c>
      <c r="B207" s="70" t="s">
        <v>2376</v>
      </c>
      <c r="C207" s="70" t="s">
        <v>2246</v>
      </c>
    </row>
    <row r="208" spans="1:3" hidden="1" x14ac:dyDescent="0.25">
      <c r="A208" s="104" t="s">
        <v>2377</v>
      </c>
      <c r="B208" s="70" t="s">
        <v>2378</v>
      </c>
      <c r="C208" s="103" t="s">
        <v>2235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5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5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407</v>
      </c>
      <c r="B1" s="30" t="s">
        <v>408</v>
      </c>
      <c r="C1" s="30" t="s">
        <v>409</v>
      </c>
      <c r="D1" s="30" t="s">
        <v>410</v>
      </c>
      <c r="E1" s="30" t="s">
        <v>411</v>
      </c>
      <c r="F1" s="30" t="s">
        <v>412</v>
      </c>
      <c r="G1" s="30" t="s">
        <v>0</v>
      </c>
      <c r="H1" s="30">
        <v>42643</v>
      </c>
      <c r="I1" s="30" t="s">
        <v>1479</v>
      </c>
      <c r="J1" s="30" t="s">
        <v>1480</v>
      </c>
      <c r="K1" s="30" t="s">
        <v>1481</v>
      </c>
      <c r="L1" s="30" t="s">
        <v>1482</v>
      </c>
      <c r="M1" s="30" t="s">
        <v>1483</v>
      </c>
      <c r="N1" s="30" t="s">
        <v>1484</v>
      </c>
      <c r="O1" s="30" t="s">
        <v>1485</v>
      </c>
      <c r="P1" s="30" t="s">
        <v>1486</v>
      </c>
      <c r="Q1" s="30">
        <v>42674</v>
      </c>
      <c r="R1" s="30" t="s">
        <v>1487</v>
      </c>
      <c r="S1" s="30" t="s">
        <v>398</v>
      </c>
      <c r="T1" s="30" t="s">
        <v>382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706</v>
      </c>
      <c r="B2" s="14" t="s">
        <v>1488</v>
      </c>
      <c r="C2" s="20">
        <v>9262</v>
      </c>
      <c r="D2" s="14" t="s">
        <v>1489</v>
      </c>
      <c r="E2" s="14" t="s">
        <v>416</v>
      </c>
      <c r="F2" s="14" t="s">
        <v>1941</v>
      </c>
      <c r="G2" s="14" t="s">
        <v>1490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1491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771</v>
      </c>
      <c r="B3" s="14" t="s">
        <v>1492</v>
      </c>
      <c r="C3" s="20">
        <v>9296</v>
      </c>
      <c r="D3" s="14" t="s">
        <v>1493</v>
      </c>
      <c r="E3" s="14" t="s">
        <v>420</v>
      </c>
      <c r="F3" s="14" t="s">
        <v>1058</v>
      </c>
      <c r="G3" s="14" t="s">
        <v>1494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1495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771</v>
      </c>
      <c r="B4" s="14" t="s">
        <v>1492</v>
      </c>
      <c r="C4" s="20">
        <v>9296</v>
      </c>
      <c r="D4" s="14" t="s">
        <v>1496</v>
      </c>
      <c r="E4" s="14" t="s">
        <v>416</v>
      </c>
      <c r="F4" s="14" t="s">
        <v>1942</v>
      </c>
      <c r="G4" s="14" t="s">
        <v>1497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1498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1015</v>
      </c>
      <c r="B5" s="21" t="s">
        <v>1056</v>
      </c>
      <c r="C5" s="22">
        <v>9611</v>
      </c>
      <c r="D5" s="14" t="s">
        <v>1059</v>
      </c>
      <c r="E5" s="15" t="s">
        <v>416</v>
      </c>
      <c r="F5" s="14" t="s">
        <v>1943</v>
      </c>
      <c r="G5" s="15" t="s">
        <v>360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1499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771</v>
      </c>
      <c r="B6" s="14" t="s">
        <v>1500</v>
      </c>
      <c r="C6" s="20">
        <v>9439</v>
      </c>
      <c r="D6" s="14" t="s">
        <v>1501</v>
      </c>
      <c r="E6" s="14" t="s">
        <v>416</v>
      </c>
      <c r="F6" s="14" t="s">
        <v>1944</v>
      </c>
      <c r="G6" s="14" t="s">
        <v>1502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1503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642</v>
      </c>
      <c r="B7" s="14" t="s">
        <v>1504</v>
      </c>
      <c r="C7" s="20">
        <v>9942</v>
      </c>
      <c r="D7" s="14" t="s">
        <v>1505</v>
      </c>
      <c r="E7" s="14" t="s">
        <v>420</v>
      </c>
      <c r="F7" s="14" t="s">
        <v>838</v>
      </c>
      <c r="G7" s="14" t="s">
        <v>1506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1507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771</v>
      </c>
      <c r="B8" s="14" t="s">
        <v>1508</v>
      </c>
      <c r="C8" s="20">
        <v>9945</v>
      </c>
      <c r="D8" s="14" t="s">
        <v>1509</v>
      </c>
      <c r="E8" s="14" t="s">
        <v>416</v>
      </c>
      <c r="F8" s="14" t="s">
        <v>1945</v>
      </c>
      <c r="G8" s="14" t="s">
        <v>1510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1511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642</v>
      </c>
      <c r="B9" s="14" t="s">
        <v>1512</v>
      </c>
      <c r="C9" s="20">
        <v>9215</v>
      </c>
      <c r="D9" s="14" t="s">
        <v>1513</v>
      </c>
      <c r="E9" s="14" t="s">
        <v>420</v>
      </c>
      <c r="F9" s="14" t="s">
        <v>1946</v>
      </c>
      <c r="G9" s="14" t="s">
        <v>1514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1515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642</v>
      </c>
      <c r="B10" s="14" t="s">
        <v>1512</v>
      </c>
      <c r="C10" s="20">
        <v>9215</v>
      </c>
      <c r="D10" s="14" t="s">
        <v>1516</v>
      </c>
      <c r="E10" s="14" t="s">
        <v>416</v>
      </c>
      <c r="F10" s="14" t="s">
        <v>1947</v>
      </c>
      <c r="G10" s="14" t="s">
        <v>1517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1518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706</v>
      </c>
      <c r="B11" s="14" t="s">
        <v>1519</v>
      </c>
      <c r="C11" s="20">
        <v>9251</v>
      </c>
      <c r="D11" s="14" t="s">
        <v>1520</v>
      </c>
      <c r="E11" s="14" t="s">
        <v>420</v>
      </c>
      <c r="F11" s="14" t="s">
        <v>1948</v>
      </c>
      <c r="G11" s="14" t="s">
        <v>1521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1522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706</v>
      </c>
      <c r="B12" s="14" t="s">
        <v>1519</v>
      </c>
      <c r="C12" s="20">
        <v>9251</v>
      </c>
      <c r="D12" s="14" t="s">
        <v>1523</v>
      </c>
      <c r="E12" s="14" t="s">
        <v>416</v>
      </c>
      <c r="F12" s="14" t="s">
        <v>1949</v>
      </c>
      <c r="G12" s="14" t="s">
        <v>1524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1525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642</v>
      </c>
      <c r="B13" s="21" t="s">
        <v>1526</v>
      </c>
      <c r="C13" s="22">
        <v>9254</v>
      </c>
      <c r="D13" s="14" t="s">
        <v>1527</v>
      </c>
      <c r="E13" s="15" t="s">
        <v>416</v>
      </c>
      <c r="F13" s="14" t="s">
        <v>1035</v>
      </c>
      <c r="G13" s="15" t="s">
        <v>1528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1529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771</v>
      </c>
      <c r="B14" s="14" t="s">
        <v>1530</v>
      </c>
      <c r="C14" s="20">
        <v>9364</v>
      </c>
      <c r="D14" s="14" t="s">
        <v>1531</v>
      </c>
      <c r="E14" s="14" t="s">
        <v>420</v>
      </c>
      <c r="F14" s="14" t="s">
        <v>1950</v>
      </c>
      <c r="G14" s="14" t="s">
        <v>1532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1533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642</v>
      </c>
      <c r="B15" s="14" t="s">
        <v>1534</v>
      </c>
      <c r="C15" s="19">
        <v>9223</v>
      </c>
      <c r="D15" s="14" t="s">
        <v>1535</v>
      </c>
      <c r="E15" s="14" t="s">
        <v>420</v>
      </c>
      <c r="F15" s="14" t="s">
        <v>1066</v>
      </c>
      <c r="G15" s="14" t="s">
        <v>1536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1537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642</v>
      </c>
      <c r="B16" s="14" t="s">
        <v>1534</v>
      </c>
      <c r="C16" s="19">
        <v>9223</v>
      </c>
      <c r="D16" s="14" t="s">
        <v>1538</v>
      </c>
      <c r="E16" s="14" t="s">
        <v>416</v>
      </c>
      <c r="F16" s="14" t="s">
        <v>1951</v>
      </c>
      <c r="G16" s="14" t="s">
        <v>1539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1540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642</v>
      </c>
      <c r="B17" s="14" t="s">
        <v>1541</v>
      </c>
      <c r="C17" s="20">
        <v>9237</v>
      </c>
      <c r="D17" s="14" t="s">
        <v>1542</v>
      </c>
      <c r="E17" s="14" t="s">
        <v>416</v>
      </c>
      <c r="F17" s="14" t="s">
        <v>1952</v>
      </c>
      <c r="G17" s="14" t="s">
        <v>1543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1544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771</v>
      </c>
      <c r="B18" s="21" t="s">
        <v>1545</v>
      </c>
      <c r="C18" s="20">
        <v>9938</v>
      </c>
      <c r="D18" s="14" t="s">
        <v>1546</v>
      </c>
      <c r="E18" s="14" t="s">
        <v>416</v>
      </c>
      <c r="F18" s="14" t="s">
        <v>1953</v>
      </c>
      <c r="G18" s="14" t="s">
        <v>1547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1548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706</v>
      </c>
      <c r="B19" s="14" t="s">
        <v>1549</v>
      </c>
      <c r="C19" s="20" t="s">
        <v>1550</v>
      </c>
      <c r="D19" s="14" t="s">
        <v>1551</v>
      </c>
      <c r="E19" s="14" t="s">
        <v>420</v>
      </c>
      <c r="F19" s="14" t="s">
        <v>964</v>
      </c>
      <c r="G19" s="14" t="s">
        <v>1552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1553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706</v>
      </c>
      <c r="B20" s="14" t="s">
        <v>1549</v>
      </c>
      <c r="C20" s="20" t="s">
        <v>1550</v>
      </c>
      <c r="D20" s="14" t="s">
        <v>1554</v>
      </c>
      <c r="E20" s="14" t="s">
        <v>416</v>
      </c>
      <c r="F20" s="14" t="s">
        <v>1954</v>
      </c>
      <c r="G20" s="14" t="s">
        <v>1555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1556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706</v>
      </c>
      <c r="B21" s="14" t="s">
        <v>1557</v>
      </c>
      <c r="C21" s="20">
        <v>9949</v>
      </c>
      <c r="D21" s="14" t="s">
        <v>1558</v>
      </c>
      <c r="E21" s="14" t="s">
        <v>420</v>
      </c>
      <c r="F21" s="14" t="s">
        <v>1955</v>
      </c>
      <c r="G21" s="14" t="s">
        <v>1559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1560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706</v>
      </c>
      <c r="B22" s="14" t="s">
        <v>1557</v>
      </c>
      <c r="C22" s="20">
        <v>9949</v>
      </c>
      <c r="D22" s="14" t="s">
        <v>1561</v>
      </c>
      <c r="E22" s="14" t="s">
        <v>416</v>
      </c>
      <c r="F22" s="14" t="s">
        <v>1956</v>
      </c>
      <c r="G22" s="14" t="s">
        <v>1562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1563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771</v>
      </c>
      <c r="B23" s="21" t="s">
        <v>1564</v>
      </c>
      <c r="C23" s="19">
        <v>9944</v>
      </c>
      <c r="D23" s="14" t="s">
        <v>1565</v>
      </c>
      <c r="E23" s="15" t="s">
        <v>420</v>
      </c>
      <c r="F23" s="14" t="s">
        <v>1957</v>
      </c>
      <c r="G23" s="15" t="s">
        <v>1566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1567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771</v>
      </c>
      <c r="B24" s="14" t="s">
        <v>1568</v>
      </c>
      <c r="C24" s="20" t="s">
        <v>1569</v>
      </c>
      <c r="D24" s="14" t="s">
        <v>1570</v>
      </c>
      <c r="E24" s="14" t="s">
        <v>420</v>
      </c>
      <c r="F24" s="14" t="s">
        <v>1958</v>
      </c>
      <c r="G24" s="14" t="s">
        <v>1571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1572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771</v>
      </c>
      <c r="B25" s="14" t="s">
        <v>1568</v>
      </c>
      <c r="C25" s="20" t="s">
        <v>1569</v>
      </c>
      <c r="D25" s="14" t="s">
        <v>1573</v>
      </c>
      <c r="E25" s="14" t="s">
        <v>416</v>
      </c>
      <c r="F25" s="14" t="s">
        <v>1959</v>
      </c>
      <c r="G25" s="14" t="s">
        <v>1574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1575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706</v>
      </c>
      <c r="B26" s="14" t="s">
        <v>1576</v>
      </c>
      <c r="C26" s="20">
        <v>9946</v>
      </c>
      <c r="D26" s="14" t="s">
        <v>1577</v>
      </c>
      <c r="E26" s="14" t="s">
        <v>416</v>
      </c>
      <c r="F26" s="14" t="s">
        <v>1960</v>
      </c>
      <c r="G26" s="14" t="s">
        <v>1578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1579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642</v>
      </c>
      <c r="B27" s="14" t="s">
        <v>1534</v>
      </c>
      <c r="C27" s="19">
        <v>9223</v>
      </c>
      <c r="D27" s="14" t="s">
        <v>1580</v>
      </c>
      <c r="E27" s="14" t="s">
        <v>416</v>
      </c>
      <c r="F27" s="14" t="s">
        <v>1961</v>
      </c>
      <c r="G27" s="14" t="s">
        <v>1581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1582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946</v>
      </c>
      <c r="B28" s="14" t="s">
        <v>1583</v>
      </c>
      <c r="C28" s="20">
        <v>9537</v>
      </c>
      <c r="D28" s="14" t="s">
        <v>1584</v>
      </c>
      <c r="E28" s="14" t="s">
        <v>420</v>
      </c>
      <c r="F28" s="14" t="s">
        <v>1962</v>
      </c>
      <c r="G28" s="14" t="s">
        <v>1585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1586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946</v>
      </c>
      <c r="B29" s="21" t="s">
        <v>1583</v>
      </c>
      <c r="C29" s="22">
        <v>9537</v>
      </c>
      <c r="D29" s="14" t="s">
        <v>1587</v>
      </c>
      <c r="E29" s="15" t="s">
        <v>416</v>
      </c>
      <c r="F29" s="14" t="s">
        <v>958</v>
      </c>
      <c r="G29" s="15" t="s">
        <v>1588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1589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946</v>
      </c>
      <c r="B30" s="14" t="s">
        <v>956</v>
      </c>
      <c r="C30" s="19">
        <v>9560</v>
      </c>
      <c r="D30" s="14" t="s">
        <v>1590</v>
      </c>
      <c r="E30" s="14" t="s">
        <v>416</v>
      </c>
      <c r="F30" s="14" t="s">
        <v>1963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1591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462</v>
      </c>
      <c r="B31" s="14" t="s">
        <v>1592</v>
      </c>
      <c r="C31" s="20">
        <v>9424</v>
      </c>
      <c r="D31" s="14" t="s">
        <v>1593</v>
      </c>
      <c r="E31" s="14" t="s">
        <v>420</v>
      </c>
      <c r="F31" s="14" t="s">
        <v>1069</v>
      </c>
      <c r="G31" s="14" t="s">
        <v>1594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1595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462</v>
      </c>
      <c r="B32" s="14" t="s">
        <v>1592</v>
      </c>
      <c r="C32" s="20">
        <v>9424</v>
      </c>
      <c r="D32" s="14" t="s">
        <v>1596</v>
      </c>
      <c r="E32" s="14" t="s">
        <v>416</v>
      </c>
      <c r="F32" s="14" t="s">
        <v>1964</v>
      </c>
      <c r="G32" s="14" t="s">
        <v>1597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1598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872</v>
      </c>
      <c r="B33" s="14" t="s">
        <v>1599</v>
      </c>
      <c r="C33" s="20">
        <v>9812</v>
      </c>
      <c r="D33" s="14" t="s">
        <v>1600</v>
      </c>
      <c r="E33" s="14" t="s">
        <v>420</v>
      </c>
      <c r="F33" s="14" t="s">
        <v>1965</v>
      </c>
      <c r="G33" s="14" t="s">
        <v>1064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1601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872</v>
      </c>
      <c r="B34" s="14" t="s">
        <v>1599</v>
      </c>
      <c r="C34" s="20">
        <v>9812</v>
      </c>
      <c r="D34" s="14" t="s">
        <v>1600</v>
      </c>
      <c r="E34" s="14" t="s">
        <v>416</v>
      </c>
      <c r="F34" s="14" t="s">
        <v>1966</v>
      </c>
      <c r="G34" s="14" t="s">
        <v>1602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1603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413</v>
      </c>
      <c r="B35" s="14" t="s">
        <v>1604</v>
      </c>
      <c r="C35" s="20">
        <v>9958</v>
      </c>
      <c r="D35" s="14" t="s">
        <v>1605</v>
      </c>
      <c r="E35" s="14" t="s">
        <v>420</v>
      </c>
      <c r="F35" s="14" t="s">
        <v>1967</v>
      </c>
      <c r="G35" s="14" t="s">
        <v>1606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1607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413</v>
      </c>
      <c r="B36" s="14" t="s">
        <v>1604</v>
      </c>
      <c r="C36" s="20">
        <v>9958</v>
      </c>
      <c r="D36" s="32" t="s">
        <v>1608</v>
      </c>
      <c r="E36" s="14" t="s">
        <v>416</v>
      </c>
      <c r="F36" s="14" t="s">
        <v>1609</v>
      </c>
      <c r="G36" s="14" t="s">
        <v>1610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1611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523</v>
      </c>
      <c r="B37" s="14" t="s">
        <v>1612</v>
      </c>
      <c r="C37" s="20">
        <v>9380</v>
      </c>
      <c r="D37" s="14" t="s">
        <v>1613</v>
      </c>
      <c r="E37" s="14" t="s">
        <v>420</v>
      </c>
      <c r="F37" s="14" t="s">
        <v>610</v>
      </c>
      <c r="G37" s="14" t="s">
        <v>1614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1615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523</v>
      </c>
      <c r="B38" s="14" t="s">
        <v>1612</v>
      </c>
      <c r="C38" s="20">
        <v>9380</v>
      </c>
      <c r="D38" s="14" t="s">
        <v>1616</v>
      </c>
      <c r="E38" s="14" t="s">
        <v>416</v>
      </c>
      <c r="F38" s="14" t="s">
        <v>1968</v>
      </c>
      <c r="G38" s="14" t="s">
        <v>1617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1618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872</v>
      </c>
      <c r="B39" s="21" t="s">
        <v>1619</v>
      </c>
      <c r="C39" s="22">
        <v>9882</v>
      </c>
      <c r="D39" s="14" t="s">
        <v>1620</v>
      </c>
      <c r="E39" s="15" t="s">
        <v>416</v>
      </c>
      <c r="F39" s="14" t="s">
        <v>1969</v>
      </c>
      <c r="G39" s="15" t="s">
        <v>1621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1622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407</v>
      </c>
      <c r="B40" s="30" t="s">
        <v>408</v>
      </c>
      <c r="C40" s="30" t="s">
        <v>409</v>
      </c>
      <c r="D40" s="30" t="s">
        <v>410</v>
      </c>
      <c r="E40" s="30" t="s">
        <v>411</v>
      </c>
      <c r="F40" s="30" t="s">
        <v>412</v>
      </c>
      <c r="G40" s="30" t="s">
        <v>0</v>
      </c>
      <c r="H40" s="30">
        <v>42674</v>
      </c>
      <c r="I40" s="30" t="s">
        <v>1623</v>
      </c>
      <c r="J40" s="30" t="s">
        <v>1624</v>
      </c>
      <c r="K40" s="30" t="s">
        <v>1625</v>
      </c>
      <c r="L40" s="30" t="s">
        <v>1626</v>
      </c>
      <c r="M40" s="30" t="s">
        <v>1627</v>
      </c>
      <c r="N40" s="30" t="s">
        <v>1628</v>
      </c>
      <c r="O40" s="30" t="s">
        <v>1629</v>
      </c>
      <c r="P40" s="30" t="s">
        <v>1630</v>
      </c>
      <c r="Q40" s="30" t="s">
        <v>1631</v>
      </c>
      <c r="R40" s="30" t="s">
        <v>1632</v>
      </c>
      <c r="S40" s="30" t="s">
        <v>398</v>
      </c>
      <c r="T40" s="30" t="s">
        <v>382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946</v>
      </c>
      <c r="B41" s="14" t="s">
        <v>1633</v>
      </c>
      <c r="C41" s="19">
        <v>9561</v>
      </c>
      <c r="D41" s="14" t="s">
        <v>1634</v>
      </c>
      <c r="E41" s="14" t="s">
        <v>416</v>
      </c>
      <c r="F41" s="14" t="s">
        <v>1063</v>
      </c>
      <c r="G41" s="14" t="s">
        <v>1635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1636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771</v>
      </c>
      <c r="B42" s="14" t="s">
        <v>791</v>
      </c>
      <c r="C42" s="19">
        <v>9441</v>
      </c>
      <c r="D42" s="14" t="s">
        <v>1637</v>
      </c>
      <c r="E42" s="14" t="s">
        <v>416</v>
      </c>
      <c r="F42" s="14" t="s">
        <v>1970</v>
      </c>
      <c r="G42" s="14" t="s">
        <v>1638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1639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462</v>
      </c>
      <c r="B43" s="14" t="s">
        <v>491</v>
      </c>
      <c r="C43" s="20">
        <v>9420</v>
      </c>
      <c r="D43" s="14" t="s">
        <v>1640</v>
      </c>
      <c r="E43" s="14" t="s">
        <v>420</v>
      </c>
      <c r="F43" s="14" t="s">
        <v>1971</v>
      </c>
      <c r="G43" s="14" t="s">
        <v>1641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1642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407</v>
      </c>
      <c r="B44" s="30" t="s">
        <v>408</v>
      </c>
      <c r="C44" s="30" t="s">
        <v>409</v>
      </c>
      <c r="D44" s="30" t="s">
        <v>410</v>
      </c>
      <c r="E44" s="30" t="s">
        <v>411</v>
      </c>
      <c r="F44" s="30" t="s">
        <v>412</v>
      </c>
      <c r="G44" s="30" t="s">
        <v>0</v>
      </c>
      <c r="H44" s="33" t="s">
        <v>1643</v>
      </c>
      <c r="I44" s="33" t="s">
        <v>1644</v>
      </c>
      <c r="J44" s="30" t="s">
        <v>1645</v>
      </c>
      <c r="K44" s="33" t="s">
        <v>1646</v>
      </c>
      <c r="L44" s="30" t="s">
        <v>1647</v>
      </c>
      <c r="M44" s="33" t="s">
        <v>1648</v>
      </c>
      <c r="N44" s="30" t="s">
        <v>1649</v>
      </c>
      <c r="O44" s="33" t="s">
        <v>1650</v>
      </c>
      <c r="P44" s="30" t="s">
        <v>1651</v>
      </c>
      <c r="Q44" s="33" t="s">
        <v>1652</v>
      </c>
      <c r="R44" s="30" t="s">
        <v>1653</v>
      </c>
      <c r="S44" s="30" t="s">
        <v>398</v>
      </c>
      <c r="T44" s="30" t="s">
        <v>382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771</v>
      </c>
      <c r="B45" s="14" t="s">
        <v>854</v>
      </c>
      <c r="C45" s="20">
        <v>9394</v>
      </c>
      <c r="D45" s="14" t="s">
        <v>1654</v>
      </c>
      <c r="E45" s="14" t="s">
        <v>416</v>
      </c>
      <c r="F45" s="14" t="s">
        <v>1972</v>
      </c>
      <c r="G45" s="14" t="s">
        <v>1655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1656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581</v>
      </c>
      <c r="B46" s="14" t="s">
        <v>615</v>
      </c>
      <c r="C46" s="19">
        <v>9445</v>
      </c>
      <c r="D46" s="14" t="s">
        <v>1657</v>
      </c>
      <c r="E46" s="14" t="s">
        <v>416</v>
      </c>
      <c r="F46" s="14" t="s">
        <v>1973</v>
      </c>
      <c r="G46" s="14" t="s">
        <v>1658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1659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771</v>
      </c>
      <c r="B47" s="14" t="s">
        <v>836</v>
      </c>
      <c r="C47" s="20">
        <v>9284</v>
      </c>
      <c r="D47" s="14" t="s">
        <v>837</v>
      </c>
      <c r="E47" s="14" t="s">
        <v>420</v>
      </c>
      <c r="F47" s="14" t="s">
        <v>1974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1660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407</v>
      </c>
      <c r="B48" s="30" t="s">
        <v>408</v>
      </c>
      <c r="C48" s="30" t="s">
        <v>409</v>
      </c>
      <c r="D48" s="30" t="s">
        <v>410</v>
      </c>
      <c r="E48" s="30" t="s">
        <v>411</v>
      </c>
      <c r="F48" s="30" t="s">
        <v>412</v>
      </c>
      <c r="G48" s="30" t="s">
        <v>0</v>
      </c>
      <c r="H48" s="33" t="s">
        <v>1661</v>
      </c>
      <c r="I48" s="33" t="s">
        <v>1662</v>
      </c>
      <c r="J48" s="30" t="s">
        <v>1663</v>
      </c>
      <c r="K48" s="33" t="s">
        <v>1664</v>
      </c>
      <c r="L48" s="30" t="s">
        <v>1665</v>
      </c>
      <c r="M48" s="33" t="s">
        <v>1666</v>
      </c>
      <c r="N48" s="30" t="s">
        <v>1667</v>
      </c>
      <c r="O48" s="33" t="s">
        <v>1668</v>
      </c>
      <c r="P48" s="30" t="s">
        <v>1669</v>
      </c>
      <c r="Q48" s="33" t="s">
        <v>1670</v>
      </c>
      <c r="R48" s="30" t="s">
        <v>1671</v>
      </c>
      <c r="S48" s="30" t="s">
        <v>398</v>
      </c>
      <c r="T48" s="30" t="s">
        <v>382</v>
      </c>
    </row>
    <row r="49" spans="1:84" s="7" customFormat="1" ht="16.5" customHeight="1" x14ac:dyDescent="0.25">
      <c r="A49" s="14" t="s">
        <v>413</v>
      </c>
      <c r="B49" s="14" t="s">
        <v>421</v>
      </c>
      <c r="C49" s="19">
        <v>9874</v>
      </c>
      <c r="D49" s="11" t="s">
        <v>1672</v>
      </c>
      <c r="E49" s="14" t="s">
        <v>416</v>
      </c>
      <c r="F49" s="14" t="s">
        <v>1063</v>
      </c>
      <c r="G49" s="14" t="s">
        <v>1673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1674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872</v>
      </c>
      <c r="B50" s="14" t="s">
        <v>873</v>
      </c>
      <c r="C50" s="19">
        <v>9811</v>
      </c>
      <c r="D50" s="14" t="s">
        <v>875</v>
      </c>
      <c r="E50" s="14" t="s">
        <v>416</v>
      </c>
      <c r="F50" s="14" t="s">
        <v>1975</v>
      </c>
      <c r="G50" s="14" t="s">
        <v>1675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1676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523</v>
      </c>
      <c r="B51" s="14" t="s">
        <v>539</v>
      </c>
      <c r="C51" s="24">
        <v>9396</v>
      </c>
      <c r="D51" s="11" t="s">
        <v>1677</v>
      </c>
      <c r="E51" s="11" t="s">
        <v>416</v>
      </c>
      <c r="F51" s="11" t="s">
        <v>1976</v>
      </c>
      <c r="G51" s="11" t="s">
        <v>1678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1679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581</v>
      </c>
      <c r="B52" s="21" t="s">
        <v>632</v>
      </c>
      <c r="C52" s="22">
        <v>9446</v>
      </c>
      <c r="D52" s="14" t="s">
        <v>634</v>
      </c>
      <c r="E52" s="15" t="s">
        <v>416</v>
      </c>
      <c r="F52" s="14" t="s">
        <v>1977</v>
      </c>
      <c r="G52" s="15" t="s">
        <v>1680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1681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946</v>
      </c>
      <c r="B53" s="14" t="s">
        <v>979</v>
      </c>
      <c r="C53" s="20" t="s">
        <v>980</v>
      </c>
      <c r="D53" s="14" t="s">
        <v>1682</v>
      </c>
      <c r="E53" s="14" t="s">
        <v>416</v>
      </c>
      <c r="F53" s="14" t="s">
        <v>1070</v>
      </c>
      <c r="G53" s="14" t="s">
        <v>1683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1684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413</v>
      </c>
      <c r="B54" s="14" t="s">
        <v>447</v>
      </c>
      <c r="C54" s="20">
        <v>9947</v>
      </c>
      <c r="D54" s="14" t="s">
        <v>1685</v>
      </c>
      <c r="E54" s="14" t="s">
        <v>416</v>
      </c>
      <c r="F54" s="14" t="s">
        <v>1978</v>
      </c>
      <c r="G54" s="14" t="s">
        <v>1686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1687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462</v>
      </c>
      <c r="B55" s="21" t="s">
        <v>514</v>
      </c>
      <c r="C55" s="22">
        <v>9405</v>
      </c>
      <c r="D55" s="14" t="s">
        <v>1688</v>
      </c>
      <c r="E55" s="15" t="s">
        <v>416</v>
      </c>
      <c r="F55" s="14" t="s">
        <v>1979</v>
      </c>
      <c r="G55" s="1" t="s">
        <v>1689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1690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523</v>
      </c>
      <c r="B56" s="14" t="s">
        <v>558</v>
      </c>
      <c r="C56" s="24">
        <v>9388</v>
      </c>
      <c r="D56" s="11" t="s">
        <v>1691</v>
      </c>
      <c r="E56" s="11" t="s">
        <v>416</v>
      </c>
      <c r="F56" s="11" t="s">
        <v>1980</v>
      </c>
      <c r="G56" s="11" t="s">
        <v>1692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1693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1015</v>
      </c>
      <c r="B57" s="14" t="s">
        <v>1016</v>
      </c>
      <c r="C57" s="19">
        <v>9658</v>
      </c>
      <c r="D57" s="14" t="s">
        <v>1694</v>
      </c>
      <c r="E57" s="14" t="s">
        <v>416</v>
      </c>
      <c r="F57" s="14" t="s">
        <v>1981</v>
      </c>
      <c r="G57" s="14" t="s">
        <v>1695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1696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1015</v>
      </c>
      <c r="B58" s="14" t="s">
        <v>1027</v>
      </c>
      <c r="C58" s="20">
        <v>9530</v>
      </c>
      <c r="D58" s="14" t="s">
        <v>1697</v>
      </c>
      <c r="E58" s="14" t="s">
        <v>416</v>
      </c>
      <c r="F58" s="14" t="s">
        <v>1982</v>
      </c>
      <c r="G58" s="14" t="s">
        <v>1698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1699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581</v>
      </c>
      <c r="B59" s="21" t="s">
        <v>628</v>
      </c>
      <c r="C59" s="22">
        <v>9442</v>
      </c>
      <c r="D59" s="14" t="s">
        <v>1700</v>
      </c>
      <c r="E59" s="15" t="s">
        <v>1701</v>
      </c>
      <c r="F59" s="14" t="s">
        <v>1983</v>
      </c>
      <c r="G59" s="1" t="s">
        <v>1702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1703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706</v>
      </c>
      <c r="B60" s="14" t="s">
        <v>742</v>
      </c>
      <c r="C60" s="20">
        <v>9345</v>
      </c>
      <c r="D60" s="14" t="s">
        <v>1704</v>
      </c>
      <c r="E60" s="14" t="s">
        <v>416</v>
      </c>
      <c r="F60" s="14" t="s">
        <v>1984</v>
      </c>
      <c r="G60" s="14" t="s">
        <v>1705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1706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706</v>
      </c>
      <c r="B61" s="21" t="s">
        <v>729</v>
      </c>
      <c r="C61" s="20">
        <v>9276</v>
      </c>
      <c r="D61" s="14" t="s">
        <v>1707</v>
      </c>
      <c r="E61" s="14" t="s">
        <v>416</v>
      </c>
      <c r="F61" s="14" t="s">
        <v>1985</v>
      </c>
      <c r="G61" s="14" t="s">
        <v>1708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1709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946</v>
      </c>
      <c r="B62" s="14" t="s">
        <v>1710</v>
      </c>
      <c r="C62" s="19">
        <v>9666</v>
      </c>
      <c r="D62" s="14" t="s">
        <v>1711</v>
      </c>
      <c r="E62" s="14" t="s">
        <v>416</v>
      </c>
      <c r="F62" s="14" t="s">
        <v>1986</v>
      </c>
      <c r="G62" s="14" t="s">
        <v>1712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1713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642</v>
      </c>
      <c r="B63" s="14" t="s">
        <v>681</v>
      </c>
      <c r="C63" s="20">
        <v>9259</v>
      </c>
      <c r="D63" s="14" t="s">
        <v>1714</v>
      </c>
      <c r="E63" s="14" t="s">
        <v>416</v>
      </c>
      <c r="F63" s="14" t="s">
        <v>1987</v>
      </c>
      <c r="G63" s="14" t="s">
        <v>1715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1716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771</v>
      </c>
      <c r="B64" s="14" t="s">
        <v>772</v>
      </c>
      <c r="C64" s="19">
        <v>9221</v>
      </c>
      <c r="D64" s="14" t="s">
        <v>1717</v>
      </c>
      <c r="E64" s="14" t="s">
        <v>416</v>
      </c>
      <c r="F64" s="14" t="s">
        <v>1988</v>
      </c>
      <c r="G64" s="14" t="s">
        <v>1718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1719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525</v>
      </c>
      <c r="B65" s="21" t="s">
        <v>563</v>
      </c>
      <c r="C65" s="22">
        <v>9360</v>
      </c>
      <c r="D65" s="14" t="s">
        <v>1720</v>
      </c>
      <c r="E65" s="15" t="s">
        <v>416</v>
      </c>
      <c r="F65" s="14" t="s">
        <v>1989</v>
      </c>
      <c r="G65" s="15" t="s">
        <v>1721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1722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523</v>
      </c>
      <c r="B66" s="14" t="s">
        <v>534</v>
      </c>
      <c r="C66" s="23">
        <v>9336</v>
      </c>
      <c r="D66" s="11" t="s">
        <v>1723</v>
      </c>
      <c r="E66" s="11" t="s">
        <v>420</v>
      </c>
      <c r="F66" s="11" t="s">
        <v>1990</v>
      </c>
      <c r="G66" s="11" t="s">
        <v>1724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1725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1015</v>
      </c>
      <c r="B67" s="14" t="s">
        <v>1018</v>
      </c>
      <c r="C67" s="19">
        <v>9653</v>
      </c>
      <c r="D67" s="14" t="s">
        <v>1726</v>
      </c>
      <c r="E67" s="14" t="s">
        <v>416</v>
      </c>
      <c r="F67" s="14" t="s">
        <v>1991</v>
      </c>
      <c r="G67" s="14" t="s">
        <v>1727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1728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462</v>
      </c>
      <c r="B68" s="21" t="s">
        <v>507</v>
      </c>
      <c r="C68" s="22">
        <v>9430</v>
      </c>
      <c r="D68" s="14" t="s">
        <v>1729</v>
      </c>
      <c r="E68" s="15" t="s">
        <v>416</v>
      </c>
      <c r="F68" s="14" t="s">
        <v>1992</v>
      </c>
      <c r="G68" s="15" t="s">
        <v>1730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1731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946</v>
      </c>
      <c r="B69" s="14" t="s">
        <v>953</v>
      </c>
      <c r="C69" s="19">
        <v>9665</v>
      </c>
      <c r="D69" s="14" t="s">
        <v>955</v>
      </c>
      <c r="E69" s="14" t="s">
        <v>416</v>
      </c>
      <c r="F69" s="14" t="s">
        <v>1993</v>
      </c>
      <c r="G69" s="14" t="s">
        <v>1732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1733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771</v>
      </c>
      <c r="B70" s="14" t="s">
        <v>854</v>
      </c>
      <c r="C70" s="20">
        <v>9394</v>
      </c>
      <c r="D70" s="14" t="s">
        <v>1734</v>
      </c>
      <c r="E70" s="14" t="s">
        <v>420</v>
      </c>
      <c r="F70" s="14" t="s">
        <v>806</v>
      </c>
      <c r="G70" s="14" t="s">
        <v>1735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1736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872</v>
      </c>
      <c r="B71" s="14" t="s">
        <v>897</v>
      </c>
      <c r="C71" s="20">
        <v>9883</v>
      </c>
      <c r="D71" s="14" t="s">
        <v>1737</v>
      </c>
      <c r="E71" s="14" t="s">
        <v>416</v>
      </c>
      <c r="F71" s="14" t="s">
        <v>482</v>
      </c>
      <c r="G71" s="14" t="s">
        <v>1738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1739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946</v>
      </c>
      <c r="B72" s="21" t="s">
        <v>969</v>
      </c>
      <c r="C72" s="19">
        <v>9570</v>
      </c>
      <c r="D72" s="14" t="s">
        <v>1740</v>
      </c>
      <c r="E72" s="15" t="s">
        <v>416</v>
      </c>
      <c r="F72" s="14" t="s">
        <v>1994</v>
      </c>
      <c r="G72" s="1" t="s">
        <v>1741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1742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642</v>
      </c>
      <c r="B73" s="14" t="s">
        <v>654</v>
      </c>
      <c r="C73" s="19">
        <v>9970</v>
      </c>
      <c r="D73" s="14" t="s">
        <v>656</v>
      </c>
      <c r="E73" s="14" t="s">
        <v>416</v>
      </c>
      <c r="F73" s="14" t="s">
        <v>1214</v>
      </c>
      <c r="G73" s="14" t="s">
        <v>197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1743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872</v>
      </c>
      <c r="B74" s="11" t="s">
        <v>889</v>
      </c>
      <c r="C74" s="23">
        <v>9816</v>
      </c>
      <c r="D74" s="11" t="s">
        <v>1744</v>
      </c>
      <c r="E74" s="11" t="s">
        <v>416</v>
      </c>
      <c r="F74" s="11" t="s">
        <v>1745</v>
      </c>
      <c r="G74" s="11" t="s">
        <v>1746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1747</v>
      </c>
    </row>
    <row r="75" spans="1:84" s="6" customFormat="1" ht="16.5" customHeight="1" x14ac:dyDescent="0.25">
      <c r="A75" s="11" t="s">
        <v>946</v>
      </c>
      <c r="B75" s="11" t="s">
        <v>985</v>
      </c>
      <c r="C75" s="24">
        <v>9640</v>
      </c>
      <c r="D75" s="11" t="s">
        <v>1748</v>
      </c>
      <c r="E75" s="11" t="s">
        <v>416</v>
      </c>
      <c r="F75" s="11" t="s">
        <v>1995</v>
      </c>
      <c r="G75" s="11" t="s">
        <v>1749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1750</v>
      </c>
    </row>
    <row r="76" spans="1:84" s="6" customFormat="1" ht="16.5" customHeight="1" x14ac:dyDescent="0.25">
      <c r="A76" s="11" t="s">
        <v>1015</v>
      </c>
      <c r="B76" s="11" t="s">
        <v>1025</v>
      </c>
      <c r="C76" s="24">
        <v>9550</v>
      </c>
      <c r="D76" s="11" t="s">
        <v>1751</v>
      </c>
      <c r="E76" s="11" t="s">
        <v>416</v>
      </c>
      <c r="F76" s="11" t="s">
        <v>1996</v>
      </c>
      <c r="G76" s="11" t="s">
        <v>1752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1753</v>
      </c>
    </row>
    <row r="77" spans="1:84" s="6" customFormat="1" ht="16.5" customHeight="1" x14ac:dyDescent="0.25">
      <c r="A77" s="11" t="s">
        <v>872</v>
      </c>
      <c r="B77" s="11" t="s">
        <v>878</v>
      </c>
      <c r="C77" s="23">
        <v>9843</v>
      </c>
      <c r="D77" s="11" t="s">
        <v>1754</v>
      </c>
      <c r="E77" s="11" t="s">
        <v>416</v>
      </c>
      <c r="F77" s="11" t="s">
        <v>1997</v>
      </c>
      <c r="G77" s="11" t="s">
        <v>1755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1756</v>
      </c>
    </row>
    <row r="78" spans="1:84" s="7" customFormat="1" ht="16.5" customHeight="1" x14ac:dyDescent="0.25">
      <c r="A78" s="14" t="s">
        <v>771</v>
      </c>
      <c r="B78" s="14" t="s">
        <v>784</v>
      </c>
      <c r="C78" s="19">
        <v>9282</v>
      </c>
      <c r="D78" s="14" t="s">
        <v>1757</v>
      </c>
      <c r="E78" s="14" t="s">
        <v>416</v>
      </c>
      <c r="F78" s="14" t="s">
        <v>1998</v>
      </c>
      <c r="G78" s="14" t="s">
        <v>1758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1759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771</v>
      </c>
      <c r="B79" s="14" t="s">
        <v>788</v>
      </c>
      <c r="C79" s="19">
        <v>9911</v>
      </c>
      <c r="D79" s="14" t="s">
        <v>1760</v>
      </c>
      <c r="E79" s="14" t="s">
        <v>416</v>
      </c>
      <c r="F79" s="14" t="s">
        <v>1999</v>
      </c>
      <c r="G79" s="14" t="s">
        <v>1761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1762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642</v>
      </c>
      <c r="B80" s="14" t="s">
        <v>643</v>
      </c>
      <c r="C80" s="19">
        <v>9214</v>
      </c>
      <c r="D80" s="14" t="s">
        <v>1763</v>
      </c>
      <c r="E80" s="14" t="s">
        <v>416</v>
      </c>
      <c r="F80" s="14" t="s">
        <v>2000</v>
      </c>
      <c r="G80" s="14" t="s">
        <v>1764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1765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642</v>
      </c>
      <c r="B81" s="14" t="s">
        <v>687</v>
      </c>
      <c r="C81" s="20">
        <v>9235</v>
      </c>
      <c r="D81" s="14" t="s">
        <v>1766</v>
      </c>
      <c r="E81" s="14" t="s">
        <v>416</v>
      </c>
      <c r="F81" s="14" t="s">
        <v>1767</v>
      </c>
      <c r="G81" s="14" t="s">
        <v>1768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1769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771</v>
      </c>
      <c r="B82" s="14" t="s">
        <v>801</v>
      </c>
      <c r="C82" s="19">
        <v>9271</v>
      </c>
      <c r="D82" s="14" t="s">
        <v>1770</v>
      </c>
      <c r="E82" s="14" t="s">
        <v>416</v>
      </c>
      <c r="F82" s="14" t="s">
        <v>1476</v>
      </c>
      <c r="G82" s="14" t="s">
        <v>1771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1772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771</v>
      </c>
      <c r="B83" s="14" t="s">
        <v>840</v>
      </c>
      <c r="C83" s="20">
        <v>9225</v>
      </c>
      <c r="D83" s="14" t="s">
        <v>1773</v>
      </c>
      <c r="E83" s="14" t="s">
        <v>416</v>
      </c>
      <c r="F83" s="14" t="s">
        <v>2001</v>
      </c>
      <c r="G83" s="14" t="s">
        <v>1774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1775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642</v>
      </c>
      <c r="B84" s="14" t="s">
        <v>657</v>
      </c>
      <c r="C84" s="19">
        <v>9203</v>
      </c>
      <c r="D84" s="14" t="s">
        <v>1776</v>
      </c>
      <c r="E84" s="14" t="s">
        <v>416</v>
      </c>
      <c r="F84" s="14" t="s">
        <v>1777</v>
      </c>
      <c r="G84" s="14" t="s">
        <v>1778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1779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706</v>
      </c>
      <c r="B85" s="14" t="s">
        <v>767</v>
      </c>
      <c r="C85" s="20">
        <v>9253</v>
      </c>
      <c r="D85" s="14" t="s">
        <v>1780</v>
      </c>
      <c r="E85" s="14" t="s">
        <v>416</v>
      </c>
      <c r="F85" s="14" t="s">
        <v>1781</v>
      </c>
      <c r="G85" s="14" t="s">
        <v>1782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1783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642</v>
      </c>
      <c r="B86" s="14" t="s">
        <v>665</v>
      </c>
      <c r="C86" s="19">
        <v>9234</v>
      </c>
      <c r="D86" s="11" t="s">
        <v>1784</v>
      </c>
      <c r="E86" s="14" t="s">
        <v>416</v>
      </c>
      <c r="F86" s="14" t="s">
        <v>2002</v>
      </c>
      <c r="G86" s="14" t="s">
        <v>1785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1786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642</v>
      </c>
      <c r="B87" s="14" t="s">
        <v>652</v>
      </c>
      <c r="C87" s="19">
        <v>9955</v>
      </c>
      <c r="D87" s="14" t="s">
        <v>1787</v>
      </c>
      <c r="E87" s="14" t="s">
        <v>416</v>
      </c>
      <c r="F87" s="14" t="s">
        <v>2003</v>
      </c>
      <c r="G87" s="14" t="s">
        <v>1788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1789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642</v>
      </c>
      <c r="B88" s="21" t="s">
        <v>663</v>
      </c>
      <c r="C88" s="19">
        <v>9924</v>
      </c>
      <c r="D88" s="14" t="s">
        <v>1790</v>
      </c>
      <c r="E88" s="15" t="s">
        <v>416</v>
      </c>
      <c r="F88" s="14" t="s">
        <v>1473</v>
      </c>
      <c r="G88" s="15" t="s">
        <v>1791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1792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642</v>
      </c>
      <c r="B89" s="14" t="s">
        <v>1793</v>
      </c>
      <c r="C89" s="20">
        <v>9216</v>
      </c>
      <c r="D89" s="14" t="s">
        <v>1794</v>
      </c>
      <c r="E89" s="14" t="s">
        <v>420</v>
      </c>
      <c r="F89" s="14" t="s">
        <v>2004</v>
      </c>
      <c r="G89" s="14" t="s">
        <v>1795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1796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523</v>
      </c>
      <c r="B90" s="14" t="s">
        <v>555</v>
      </c>
      <c r="C90" s="20">
        <v>9310</v>
      </c>
      <c r="D90" s="14" t="s">
        <v>1797</v>
      </c>
      <c r="E90" s="14" t="s">
        <v>416</v>
      </c>
      <c r="F90" s="14" t="s">
        <v>2005</v>
      </c>
      <c r="G90" s="14" t="s">
        <v>1798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1799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523</v>
      </c>
      <c r="B91" s="14" t="s">
        <v>573</v>
      </c>
      <c r="C91" s="24">
        <v>9391</v>
      </c>
      <c r="D91" s="11" t="s">
        <v>1800</v>
      </c>
      <c r="E91" s="11" t="s">
        <v>416</v>
      </c>
      <c r="F91" s="11" t="s">
        <v>2006</v>
      </c>
      <c r="G91" s="11" t="s">
        <v>1801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1802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407</v>
      </c>
      <c r="B92" s="30" t="s">
        <v>408</v>
      </c>
      <c r="C92" s="30" t="s">
        <v>409</v>
      </c>
      <c r="D92" s="30" t="s">
        <v>410</v>
      </c>
      <c r="E92" s="30" t="s">
        <v>411</v>
      </c>
      <c r="F92" s="30" t="s">
        <v>412</v>
      </c>
      <c r="G92" s="30" t="s">
        <v>0</v>
      </c>
      <c r="H92" s="33" t="s">
        <v>1803</v>
      </c>
      <c r="I92" s="33" t="s">
        <v>1804</v>
      </c>
      <c r="J92" s="30" t="s">
        <v>1805</v>
      </c>
      <c r="K92" s="33" t="s">
        <v>1806</v>
      </c>
      <c r="L92" s="30" t="s">
        <v>1807</v>
      </c>
      <c r="M92" s="33" t="s">
        <v>1808</v>
      </c>
      <c r="N92" s="30" t="s">
        <v>1809</v>
      </c>
      <c r="O92" s="33" t="s">
        <v>1810</v>
      </c>
      <c r="P92" s="30" t="s">
        <v>1811</v>
      </c>
      <c r="Q92" s="30" t="s">
        <v>398</v>
      </c>
      <c r="R92" s="138" t="s">
        <v>382</v>
      </c>
      <c r="S92" s="138"/>
      <c r="T92" s="138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642</v>
      </c>
      <c r="B93" s="14" t="s">
        <v>692</v>
      </c>
      <c r="C93" s="20">
        <v>9217</v>
      </c>
      <c r="D93" s="11" t="s">
        <v>1812</v>
      </c>
      <c r="E93" s="14" t="s">
        <v>416</v>
      </c>
      <c r="F93" s="14" t="s">
        <v>2007</v>
      </c>
      <c r="G93" s="14" t="s">
        <v>1813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9" t="s">
        <v>1814</v>
      </c>
      <c r="S93" s="139"/>
      <c r="T93" s="139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642</v>
      </c>
      <c r="B94" s="14" t="s">
        <v>692</v>
      </c>
      <c r="C94" s="20">
        <v>9217</v>
      </c>
      <c r="D94" s="14" t="s">
        <v>1815</v>
      </c>
      <c r="E94" s="14" t="s">
        <v>416</v>
      </c>
      <c r="F94" s="14" t="s">
        <v>871</v>
      </c>
      <c r="G94" s="14" t="s">
        <v>1816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9" t="s">
        <v>1817</v>
      </c>
      <c r="S94" s="139"/>
      <c r="T94" s="139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946</v>
      </c>
      <c r="B95" s="14" t="s">
        <v>961</v>
      </c>
      <c r="C95" s="19">
        <v>9678</v>
      </c>
      <c r="D95" s="14" t="s">
        <v>1818</v>
      </c>
      <c r="E95" s="14" t="s">
        <v>416</v>
      </c>
      <c r="F95" s="14" t="s">
        <v>2008</v>
      </c>
      <c r="G95" s="14" t="s">
        <v>1819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9" t="s">
        <v>1820</v>
      </c>
      <c r="S95" s="139"/>
      <c r="T95" s="139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946</v>
      </c>
      <c r="B96" s="14" t="s">
        <v>961</v>
      </c>
      <c r="C96" s="19">
        <v>9678</v>
      </c>
      <c r="D96" s="14" t="s">
        <v>963</v>
      </c>
      <c r="E96" s="14" t="s">
        <v>420</v>
      </c>
      <c r="F96" s="14" t="s">
        <v>2009</v>
      </c>
      <c r="G96" s="14" t="s">
        <v>235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9" t="s">
        <v>1821</v>
      </c>
      <c r="S96" s="139"/>
      <c r="T96" s="139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407</v>
      </c>
      <c r="B97" s="30" t="s">
        <v>408</v>
      </c>
      <c r="C97" s="30" t="s">
        <v>409</v>
      </c>
      <c r="D97" s="30" t="s">
        <v>410</v>
      </c>
      <c r="E97" s="30" t="s">
        <v>411</v>
      </c>
      <c r="F97" s="30" t="s">
        <v>412</v>
      </c>
      <c r="G97" s="30" t="s">
        <v>0</v>
      </c>
      <c r="H97" s="33" t="s">
        <v>1822</v>
      </c>
      <c r="I97" s="33" t="s">
        <v>1823</v>
      </c>
      <c r="J97" s="30" t="s">
        <v>1824</v>
      </c>
      <c r="K97" s="33" t="s">
        <v>1825</v>
      </c>
      <c r="L97" s="30" t="s">
        <v>1826</v>
      </c>
      <c r="M97" s="33" t="s">
        <v>1827</v>
      </c>
      <c r="N97" s="30" t="s">
        <v>1828</v>
      </c>
      <c r="O97" s="33" t="s">
        <v>1829</v>
      </c>
      <c r="P97" s="30" t="s">
        <v>1830</v>
      </c>
      <c r="Q97" s="33" t="s">
        <v>1831</v>
      </c>
      <c r="R97" s="30" t="s">
        <v>1832</v>
      </c>
      <c r="S97" s="30" t="s">
        <v>398</v>
      </c>
      <c r="T97" s="30" t="s">
        <v>382</v>
      </c>
    </row>
    <row r="98" spans="1:86" s="7" customFormat="1" ht="16.5" customHeight="1" x14ac:dyDescent="0.25">
      <c r="A98" s="14" t="s">
        <v>1015</v>
      </c>
      <c r="B98" s="21" t="s">
        <v>1032</v>
      </c>
      <c r="C98" s="20">
        <v>9503</v>
      </c>
      <c r="D98" s="14" t="s">
        <v>1833</v>
      </c>
      <c r="E98" s="14" t="s">
        <v>416</v>
      </c>
      <c r="F98" s="14" t="s">
        <v>2010</v>
      </c>
      <c r="G98" s="14" t="s">
        <v>381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1834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407</v>
      </c>
      <c r="B99" s="30" t="s">
        <v>408</v>
      </c>
      <c r="C99" s="30" t="s">
        <v>409</v>
      </c>
      <c r="D99" s="30" t="s">
        <v>410</v>
      </c>
      <c r="E99" s="30" t="s">
        <v>411</v>
      </c>
      <c r="F99" s="30" t="s">
        <v>412</v>
      </c>
      <c r="G99" s="30" t="s">
        <v>0</v>
      </c>
      <c r="H99" s="41">
        <v>42886</v>
      </c>
      <c r="I99" s="33" t="s">
        <v>1835</v>
      </c>
      <c r="J99" s="30" t="s">
        <v>1836</v>
      </c>
      <c r="K99" s="33" t="s">
        <v>1837</v>
      </c>
      <c r="L99" s="30" t="s">
        <v>1838</v>
      </c>
      <c r="M99" s="33" t="s">
        <v>1839</v>
      </c>
      <c r="N99" s="30" t="s">
        <v>1840</v>
      </c>
      <c r="O99" s="33" t="s">
        <v>1841</v>
      </c>
      <c r="P99" s="30" t="s">
        <v>1842</v>
      </c>
      <c r="Q99" s="33" t="s">
        <v>1843</v>
      </c>
      <c r="R99" s="30" t="s">
        <v>1844</v>
      </c>
      <c r="S99" s="30" t="s">
        <v>398</v>
      </c>
      <c r="T99" s="30" t="s">
        <v>382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771</v>
      </c>
      <c r="B100" s="14" t="s">
        <v>819</v>
      </c>
      <c r="C100" s="20">
        <v>9288</v>
      </c>
      <c r="D100" s="14" t="s">
        <v>1845</v>
      </c>
      <c r="E100" s="14" t="s">
        <v>416</v>
      </c>
      <c r="F100" s="14" t="s">
        <v>2011</v>
      </c>
      <c r="G100" s="14" t="s">
        <v>1846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407</v>
      </c>
      <c r="B101" s="30" t="s">
        <v>408</v>
      </c>
      <c r="C101" s="30" t="s">
        <v>409</v>
      </c>
      <c r="D101" s="30" t="s">
        <v>410</v>
      </c>
      <c r="E101" s="30" t="s">
        <v>411</v>
      </c>
      <c r="F101" s="30" t="s">
        <v>412</v>
      </c>
      <c r="G101" s="30" t="s">
        <v>0</v>
      </c>
      <c r="H101" s="41" t="s">
        <v>1847</v>
      </c>
      <c r="I101" s="33" t="s">
        <v>1848</v>
      </c>
      <c r="J101" s="33" t="s">
        <v>1849</v>
      </c>
      <c r="K101" s="33" t="s">
        <v>1850</v>
      </c>
      <c r="L101" s="33" t="s">
        <v>1851</v>
      </c>
      <c r="M101" s="33" t="s">
        <v>1852</v>
      </c>
      <c r="N101" s="33" t="s">
        <v>1853</v>
      </c>
      <c r="O101" s="33" t="s">
        <v>1854</v>
      </c>
      <c r="P101" s="33" t="s">
        <v>1855</v>
      </c>
      <c r="Q101" s="33" t="s">
        <v>1856</v>
      </c>
      <c r="R101" s="33" t="s">
        <v>1857</v>
      </c>
      <c r="S101" s="30" t="s">
        <v>398</v>
      </c>
      <c r="T101" s="30" t="s">
        <v>382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771</v>
      </c>
      <c r="B102" s="14" t="s">
        <v>869</v>
      </c>
      <c r="C102" s="20">
        <v>9928</v>
      </c>
      <c r="D102" s="14" t="s">
        <v>870</v>
      </c>
      <c r="E102" s="14" t="s">
        <v>416</v>
      </c>
      <c r="F102" s="14" t="s">
        <v>2012</v>
      </c>
      <c r="G102" s="14" t="s">
        <v>1858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1859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1015</v>
      </c>
      <c r="B103" s="14" t="s">
        <v>1056</v>
      </c>
      <c r="C103" s="20">
        <v>9611</v>
      </c>
      <c r="D103" s="14" t="s">
        <v>1057</v>
      </c>
      <c r="E103" s="14" t="s">
        <v>420</v>
      </c>
      <c r="F103" s="14" t="s">
        <v>2013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2041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407</v>
      </c>
      <c r="B104" s="30" t="s">
        <v>408</v>
      </c>
      <c r="C104" s="30" t="s">
        <v>409</v>
      </c>
      <c r="D104" s="30" t="s">
        <v>410</v>
      </c>
      <c r="E104" s="30" t="s">
        <v>411</v>
      </c>
      <c r="F104" s="30" t="s">
        <v>412</v>
      </c>
      <c r="G104" s="30" t="s">
        <v>0</v>
      </c>
      <c r="H104" s="41" t="s">
        <v>1860</v>
      </c>
      <c r="I104" s="33" t="s">
        <v>1861</v>
      </c>
      <c r="J104" s="33" t="s">
        <v>1862</v>
      </c>
      <c r="K104" s="33" t="s">
        <v>1863</v>
      </c>
      <c r="L104" s="33" t="s">
        <v>1864</v>
      </c>
      <c r="M104" s="33" t="s">
        <v>1865</v>
      </c>
      <c r="N104" s="33" t="s">
        <v>1866</v>
      </c>
      <c r="O104" s="33" t="s">
        <v>1867</v>
      </c>
      <c r="P104" s="33" t="s">
        <v>1868</v>
      </c>
      <c r="Q104" s="33" t="s">
        <v>1869</v>
      </c>
      <c r="R104" s="33" t="s">
        <v>1870</v>
      </c>
      <c r="S104" s="30" t="s">
        <v>398</v>
      </c>
      <c r="T104" s="30" t="s">
        <v>382</v>
      </c>
    </row>
    <row r="105" spans="1:86" s="7" customFormat="1" ht="16.5" customHeight="1" x14ac:dyDescent="0.25">
      <c r="A105" s="14" t="s">
        <v>771</v>
      </c>
      <c r="B105" s="14" t="s">
        <v>856</v>
      </c>
      <c r="C105" s="20">
        <v>9289</v>
      </c>
      <c r="D105" s="14" t="s">
        <v>1871</v>
      </c>
      <c r="E105" s="14" t="s">
        <v>416</v>
      </c>
      <c r="F105" s="14" t="s">
        <v>2014</v>
      </c>
      <c r="G105" s="14" t="s">
        <v>1872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1873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771</v>
      </c>
      <c r="B106" s="14" t="s">
        <v>846</v>
      </c>
      <c r="C106" s="20">
        <v>9238</v>
      </c>
      <c r="D106" s="14" t="s">
        <v>847</v>
      </c>
      <c r="E106" s="14" t="s">
        <v>420</v>
      </c>
      <c r="F106" s="14" t="s">
        <v>2015</v>
      </c>
      <c r="G106" s="14" t="s">
        <v>149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1874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407</v>
      </c>
      <c r="B107" s="30" t="s">
        <v>408</v>
      </c>
      <c r="C107" s="30" t="s">
        <v>409</v>
      </c>
      <c r="D107" s="30" t="s">
        <v>410</v>
      </c>
      <c r="E107" s="30" t="s">
        <v>411</v>
      </c>
      <c r="F107" s="30" t="s">
        <v>412</v>
      </c>
      <c r="G107" s="30" t="s">
        <v>0</v>
      </c>
      <c r="H107" s="41" t="s">
        <v>1875</v>
      </c>
      <c r="I107" s="33" t="s">
        <v>1876</v>
      </c>
      <c r="J107" s="33" t="s">
        <v>1877</v>
      </c>
      <c r="K107" s="33" t="s">
        <v>1878</v>
      </c>
      <c r="L107" s="33" t="s">
        <v>1879</v>
      </c>
      <c r="M107" s="33" t="s">
        <v>1880</v>
      </c>
      <c r="N107" s="33" t="s">
        <v>1881</v>
      </c>
      <c r="O107" s="33" t="s">
        <v>1882</v>
      </c>
      <c r="P107" s="33" t="s">
        <v>1883</v>
      </c>
      <c r="Q107" s="33" t="s">
        <v>1884</v>
      </c>
      <c r="R107" s="33" t="s">
        <v>1487</v>
      </c>
      <c r="S107" s="30" t="s">
        <v>398</v>
      </c>
      <c r="T107" s="30" t="s">
        <v>382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462</v>
      </c>
      <c r="B108" s="14" t="s">
        <v>478</v>
      </c>
      <c r="C108" s="19">
        <v>9425</v>
      </c>
      <c r="D108" s="11" t="s">
        <v>1885</v>
      </c>
      <c r="E108" s="14" t="s">
        <v>416</v>
      </c>
      <c r="F108" s="14" t="s">
        <v>2016</v>
      </c>
      <c r="G108" s="14" t="s">
        <v>63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1886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1015</v>
      </c>
      <c r="B109" s="14" t="s">
        <v>1036</v>
      </c>
      <c r="C109" s="20">
        <v>9504</v>
      </c>
      <c r="D109" s="14" t="s">
        <v>1887</v>
      </c>
      <c r="E109" s="14" t="s">
        <v>416</v>
      </c>
      <c r="F109" s="15" t="s">
        <v>1888</v>
      </c>
      <c r="G109" s="14" t="s">
        <v>1889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1890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581</v>
      </c>
      <c r="B110" s="14" t="s">
        <v>608</v>
      </c>
      <c r="C110" s="19">
        <v>9839</v>
      </c>
      <c r="D110" s="14" t="s">
        <v>609</v>
      </c>
      <c r="E110" s="14" t="s">
        <v>420</v>
      </c>
      <c r="F110" s="14" t="s">
        <v>2017</v>
      </c>
      <c r="G110" s="14" t="s">
        <v>1891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1892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407</v>
      </c>
      <c r="B111" s="30" t="s">
        <v>408</v>
      </c>
      <c r="C111" s="30" t="s">
        <v>409</v>
      </c>
      <c r="D111" s="30" t="s">
        <v>410</v>
      </c>
      <c r="E111" s="30" t="s">
        <v>411</v>
      </c>
      <c r="F111" s="30" t="s">
        <v>412</v>
      </c>
      <c r="G111" s="30" t="s">
        <v>0</v>
      </c>
      <c r="H111" s="41">
        <v>43039</v>
      </c>
      <c r="I111" s="33" t="s">
        <v>1893</v>
      </c>
      <c r="J111" s="33" t="s">
        <v>1894</v>
      </c>
      <c r="K111" s="33" t="s">
        <v>1895</v>
      </c>
      <c r="L111" s="33" t="s">
        <v>1896</v>
      </c>
      <c r="M111" s="33" t="s">
        <v>1897</v>
      </c>
      <c r="N111" s="33" t="s">
        <v>1898</v>
      </c>
      <c r="O111" s="33" t="s">
        <v>1899</v>
      </c>
      <c r="P111" s="33" t="s">
        <v>1900</v>
      </c>
      <c r="Q111" s="33" t="s">
        <v>1901</v>
      </c>
      <c r="R111" s="33" t="s">
        <v>1632</v>
      </c>
      <c r="S111" s="30" t="s">
        <v>398</v>
      </c>
      <c r="T111" s="30" t="s">
        <v>382</v>
      </c>
    </row>
    <row r="112" spans="1:86" s="7" customFormat="1" ht="57.75" customHeight="1" x14ac:dyDescent="0.25">
      <c r="A112" s="14" t="s">
        <v>413</v>
      </c>
      <c r="B112" s="14" t="s">
        <v>414</v>
      </c>
      <c r="C112" s="19">
        <v>9875</v>
      </c>
      <c r="D112" s="14" t="s">
        <v>415</v>
      </c>
      <c r="E112" s="14" t="s">
        <v>416</v>
      </c>
      <c r="F112" s="14" t="s">
        <v>2018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1902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581</v>
      </c>
      <c r="B113" s="14" t="s">
        <v>608</v>
      </c>
      <c r="C113" s="19">
        <v>9839</v>
      </c>
      <c r="D113" s="14" t="s">
        <v>1903</v>
      </c>
      <c r="E113" s="14" t="s">
        <v>416</v>
      </c>
      <c r="F113" s="14" t="s">
        <v>2019</v>
      </c>
      <c r="G113" s="14" t="s">
        <v>1904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1905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581</v>
      </c>
      <c r="B114" s="11" t="s">
        <v>626</v>
      </c>
      <c r="C114" s="24">
        <v>9402</v>
      </c>
      <c r="D114" s="11" t="s">
        <v>627</v>
      </c>
      <c r="E114" s="11" t="s">
        <v>420</v>
      </c>
      <c r="F114" s="11" t="s">
        <v>2020</v>
      </c>
      <c r="G114" s="11" t="s">
        <v>94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1906</v>
      </c>
    </row>
    <row r="115" spans="1:110" s="7" customFormat="1" ht="43.5" customHeight="1" x14ac:dyDescent="0.25">
      <c r="A115" s="14" t="s">
        <v>581</v>
      </c>
      <c r="B115" s="14" t="s">
        <v>597</v>
      </c>
      <c r="C115" s="19">
        <v>9831</v>
      </c>
      <c r="D115" s="14" t="s">
        <v>598</v>
      </c>
      <c r="E115" s="14" t="s">
        <v>420</v>
      </c>
      <c r="F115" s="14" t="s">
        <v>2021</v>
      </c>
      <c r="G115" s="14" t="s">
        <v>168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1907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581</v>
      </c>
      <c r="B116" s="14" t="s">
        <v>623</v>
      </c>
      <c r="C116" s="20">
        <v>9832</v>
      </c>
      <c r="D116" s="14" t="s">
        <v>624</v>
      </c>
      <c r="E116" s="14" t="s">
        <v>416</v>
      </c>
      <c r="F116" s="14" t="s">
        <v>2022</v>
      </c>
      <c r="G116" s="14" t="s">
        <v>312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1908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581</v>
      </c>
      <c r="B117" s="14" t="s">
        <v>621</v>
      </c>
      <c r="C117" s="19">
        <v>9448</v>
      </c>
      <c r="D117" s="14" t="s">
        <v>622</v>
      </c>
      <c r="E117" s="14" t="s">
        <v>420</v>
      </c>
      <c r="F117" s="14" t="s">
        <v>2023</v>
      </c>
      <c r="G117" s="14" t="s">
        <v>196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1909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581</v>
      </c>
      <c r="B118" s="14" t="s">
        <v>603</v>
      </c>
      <c r="C118" s="19">
        <v>9833</v>
      </c>
      <c r="D118" s="14" t="s">
        <v>607</v>
      </c>
      <c r="E118" s="14" t="s">
        <v>420</v>
      </c>
      <c r="F118" s="14" t="s">
        <v>2024</v>
      </c>
      <c r="G118" s="14" t="s">
        <v>306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1910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581</v>
      </c>
      <c r="B119" s="11" t="s">
        <v>626</v>
      </c>
      <c r="C119" s="24">
        <v>9402</v>
      </c>
      <c r="D119" s="11" t="s">
        <v>627</v>
      </c>
      <c r="E119" s="11" t="s">
        <v>416</v>
      </c>
      <c r="F119" s="11" t="s">
        <v>1911</v>
      </c>
      <c r="G119" s="11" t="s">
        <v>94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1912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523</v>
      </c>
      <c r="B120" s="14" t="s">
        <v>524</v>
      </c>
      <c r="C120" s="23">
        <v>9393</v>
      </c>
      <c r="D120" s="11" t="s">
        <v>1913</v>
      </c>
      <c r="E120" s="11" t="s">
        <v>416</v>
      </c>
      <c r="F120" s="11" t="s">
        <v>2025</v>
      </c>
      <c r="G120" s="11" t="s">
        <v>1914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1915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642</v>
      </c>
      <c r="B121" s="21" t="s">
        <v>646</v>
      </c>
      <c r="C121" s="19">
        <v>9905</v>
      </c>
      <c r="D121" s="14" t="s">
        <v>1916</v>
      </c>
      <c r="E121" s="15" t="s">
        <v>416</v>
      </c>
      <c r="F121" s="14" t="s">
        <v>2026</v>
      </c>
      <c r="G121" s="15" t="s">
        <v>1917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1918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440</v>
      </c>
      <c r="B122" s="21" t="s">
        <v>457</v>
      </c>
      <c r="C122" s="20">
        <v>9873</v>
      </c>
      <c r="D122" s="14" t="s">
        <v>1919</v>
      </c>
      <c r="E122" s="14" t="s">
        <v>416</v>
      </c>
      <c r="F122" s="14" t="s">
        <v>2027</v>
      </c>
      <c r="G122" s="14" t="s">
        <v>1920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1921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407</v>
      </c>
      <c r="B123" s="30" t="s">
        <v>408</v>
      </c>
      <c r="C123" s="30" t="s">
        <v>409</v>
      </c>
      <c r="D123" s="30" t="s">
        <v>410</v>
      </c>
      <c r="E123" s="30" t="s">
        <v>411</v>
      </c>
      <c r="F123" s="30" t="s">
        <v>412</v>
      </c>
      <c r="G123" s="30" t="s">
        <v>0</v>
      </c>
      <c r="H123" s="41" t="s">
        <v>1922</v>
      </c>
      <c r="I123" s="44" t="s">
        <v>1923</v>
      </c>
      <c r="J123" s="44" t="s">
        <v>1924</v>
      </c>
      <c r="K123" s="45" t="s">
        <v>1925</v>
      </c>
      <c r="L123" s="45" t="s">
        <v>1926</v>
      </c>
      <c r="M123" s="46" t="s">
        <v>1927</v>
      </c>
      <c r="N123" s="46" t="s">
        <v>1928</v>
      </c>
      <c r="O123" s="47" t="s">
        <v>1929</v>
      </c>
      <c r="P123" s="47" t="s">
        <v>1930</v>
      </c>
      <c r="Q123" s="48" t="s">
        <v>1931</v>
      </c>
      <c r="R123" s="48" t="s">
        <v>1671</v>
      </c>
      <c r="S123" s="30" t="s">
        <v>398</v>
      </c>
      <c r="T123" s="33" t="s">
        <v>382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872</v>
      </c>
      <c r="B124" s="14" t="s">
        <v>899</v>
      </c>
      <c r="C124" s="20">
        <v>9854</v>
      </c>
      <c r="D124" s="14" t="s">
        <v>901</v>
      </c>
      <c r="E124" s="14" t="s">
        <v>416</v>
      </c>
      <c r="F124" s="14" t="s">
        <v>902</v>
      </c>
      <c r="G124" s="14" t="s">
        <v>265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1932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407</v>
      </c>
      <c r="B125" s="30" t="s">
        <v>408</v>
      </c>
      <c r="C125" s="30" t="s">
        <v>409</v>
      </c>
      <c r="D125" s="30" t="s">
        <v>410</v>
      </c>
      <c r="E125" s="30" t="s">
        <v>411</v>
      </c>
      <c r="F125" s="30" t="s">
        <v>412</v>
      </c>
      <c r="G125" s="30" t="s">
        <v>0</v>
      </c>
      <c r="H125" s="138" t="s">
        <v>1933</v>
      </c>
      <c r="I125" s="138"/>
      <c r="J125" s="138"/>
      <c r="K125" s="138"/>
      <c r="L125" s="138"/>
      <c r="M125" s="138"/>
    </row>
    <row r="126" spans="1:110" ht="16.5" customHeight="1" x14ac:dyDescent="0.25">
      <c r="A126" s="14" t="s">
        <v>462</v>
      </c>
      <c r="B126" s="14" t="s">
        <v>484</v>
      </c>
      <c r="C126" s="20">
        <v>9479</v>
      </c>
      <c r="D126" s="14" t="s">
        <v>485</v>
      </c>
      <c r="E126" s="14" t="s">
        <v>416</v>
      </c>
      <c r="F126" s="14" t="s">
        <v>1113</v>
      </c>
      <c r="G126" s="14" t="s">
        <v>139</v>
      </c>
      <c r="H126" s="50">
        <v>63259</v>
      </c>
      <c r="I126" s="137" t="s">
        <v>1478</v>
      </c>
      <c r="J126" s="137"/>
      <c r="K126" s="137"/>
      <c r="L126" s="137"/>
      <c r="M126" s="137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523</v>
      </c>
      <c r="B127" s="14" t="s">
        <v>560</v>
      </c>
      <c r="C127" s="24">
        <v>9382</v>
      </c>
      <c r="D127" s="11" t="s">
        <v>561</v>
      </c>
      <c r="E127" s="11" t="s">
        <v>416</v>
      </c>
      <c r="F127" s="11" t="s">
        <v>1166</v>
      </c>
      <c r="G127" s="11" t="s">
        <v>308</v>
      </c>
      <c r="H127" s="27">
        <v>66678</v>
      </c>
      <c r="I127" s="137" t="s">
        <v>1478</v>
      </c>
      <c r="J127" s="137"/>
      <c r="K127" s="137"/>
      <c r="L127" s="137"/>
      <c r="M127" s="13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523</v>
      </c>
      <c r="B128" s="14" t="s">
        <v>555</v>
      </c>
      <c r="C128" s="20">
        <v>9310</v>
      </c>
      <c r="D128" s="14" t="s">
        <v>556</v>
      </c>
      <c r="E128" s="14" t="s">
        <v>420</v>
      </c>
      <c r="F128" s="14" t="s">
        <v>1162</v>
      </c>
      <c r="G128" s="14" t="s">
        <v>123</v>
      </c>
      <c r="H128" s="27">
        <v>193229</v>
      </c>
      <c r="I128" s="137" t="s">
        <v>1934</v>
      </c>
      <c r="J128" s="137"/>
      <c r="K128" s="137"/>
      <c r="L128" s="137"/>
      <c r="M128" s="137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642</v>
      </c>
      <c r="B129" s="14" t="s">
        <v>687</v>
      </c>
      <c r="C129" s="20">
        <v>9235</v>
      </c>
      <c r="D129" s="11" t="s">
        <v>688</v>
      </c>
      <c r="E129" s="14" t="s">
        <v>420</v>
      </c>
      <c r="F129" s="14" t="s">
        <v>1232</v>
      </c>
      <c r="G129" s="14" t="s">
        <v>143</v>
      </c>
      <c r="H129" s="27">
        <v>324067</v>
      </c>
      <c r="I129" s="137" t="s">
        <v>1474</v>
      </c>
      <c r="J129" s="137"/>
      <c r="K129" s="137"/>
      <c r="L129" s="137"/>
      <c r="M129" s="13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642</v>
      </c>
      <c r="B130" s="14" t="s">
        <v>687</v>
      </c>
      <c r="C130" s="20">
        <v>9235</v>
      </c>
      <c r="D130" s="11" t="s">
        <v>689</v>
      </c>
      <c r="E130" s="14" t="s">
        <v>416</v>
      </c>
      <c r="F130" s="14" t="s">
        <v>1233</v>
      </c>
      <c r="G130" s="14" t="s">
        <v>247</v>
      </c>
      <c r="H130" s="27">
        <v>160394</v>
      </c>
      <c r="I130" s="137" t="s">
        <v>1474</v>
      </c>
      <c r="J130" s="137"/>
      <c r="K130" s="137"/>
      <c r="L130" s="137"/>
      <c r="M130" s="13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706</v>
      </c>
      <c r="B131" s="21" t="s">
        <v>707</v>
      </c>
      <c r="C131" s="19">
        <v>9342</v>
      </c>
      <c r="D131" s="14" t="s">
        <v>708</v>
      </c>
      <c r="E131" s="15" t="s">
        <v>416</v>
      </c>
      <c r="F131" s="14" t="s">
        <v>1243</v>
      </c>
      <c r="G131" s="15" t="s">
        <v>377</v>
      </c>
      <c r="H131" s="27">
        <v>130424</v>
      </c>
      <c r="I131" s="137" t="s">
        <v>1935</v>
      </c>
      <c r="J131" s="137"/>
      <c r="K131" s="137"/>
      <c r="L131" s="137"/>
      <c r="M131" s="137"/>
      <c r="N131" s="34"/>
      <c r="O131" s="34"/>
      <c r="P131" s="34"/>
      <c r="Q131" s="34"/>
      <c r="R131" s="34"/>
      <c r="S131" s="34"/>
      <c r="T131" s="34" t="s">
        <v>2078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706</v>
      </c>
      <c r="B132" s="14" t="s">
        <v>723</v>
      </c>
      <c r="C132" s="19">
        <v>9293</v>
      </c>
      <c r="D132" s="14" t="s">
        <v>724</v>
      </c>
      <c r="E132" s="14" t="s">
        <v>420</v>
      </c>
      <c r="F132" s="14" t="s">
        <v>1252</v>
      </c>
      <c r="G132" s="14" t="s">
        <v>87</v>
      </c>
      <c r="H132" s="27">
        <v>263606</v>
      </c>
      <c r="I132" s="137" t="s">
        <v>1068</v>
      </c>
      <c r="J132" s="137"/>
      <c r="K132" s="137"/>
      <c r="L132" s="137"/>
      <c r="M132" s="137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706</v>
      </c>
      <c r="B133" s="14" t="s">
        <v>723</v>
      </c>
      <c r="C133" s="19">
        <v>9293</v>
      </c>
      <c r="D133" s="14" t="s">
        <v>725</v>
      </c>
      <c r="E133" s="14" t="s">
        <v>416</v>
      </c>
      <c r="F133" s="14" t="s">
        <v>1253</v>
      </c>
      <c r="G133" s="14" t="s">
        <v>316</v>
      </c>
      <c r="H133" s="27">
        <v>69822</v>
      </c>
      <c r="I133" s="137" t="s">
        <v>1068</v>
      </c>
      <c r="J133" s="137"/>
      <c r="K133" s="137"/>
      <c r="L133" s="137"/>
      <c r="M133" s="137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872</v>
      </c>
      <c r="B134" s="14" t="s">
        <v>899</v>
      </c>
      <c r="C134" s="20">
        <v>9854</v>
      </c>
      <c r="D134" s="14" t="s">
        <v>901</v>
      </c>
      <c r="E134" s="14" t="s">
        <v>416</v>
      </c>
      <c r="F134" s="14" t="s">
        <v>902</v>
      </c>
      <c r="G134" s="14" t="s">
        <v>265</v>
      </c>
      <c r="H134" s="27">
        <v>15532</v>
      </c>
      <c r="I134" s="137" t="s">
        <v>1936</v>
      </c>
      <c r="J134" s="137"/>
      <c r="K134" s="137"/>
      <c r="L134" s="137"/>
      <c r="M134" s="13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872</v>
      </c>
      <c r="B135" s="14" t="s">
        <v>940</v>
      </c>
      <c r="C135" s="20">
        <v>9819</v>
      </c>
      <c r="D135" s="14" t="s">
        <v>941</v>
      </c>
      <c r="E135" s="14" t="s">
        <v>416</v>
      </c>
      <c r="F135" s="14" t="s">
        <v>1394</v>
      </c>
      <c r="G135" s="14" t="s">
        <v>232</v>
      </c>
      <c r="H135" s="27">
        <v>246453</v>
      </c>
      <c r="I135" s="137" t="s">
        <v>1477</v>
      </c>
      <c r="J135" s="137"/>
      <c r="K135" s="137"/>
      <c r="L135" s="137"/>
      <c r="M135" s="137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872</v>
      </c>
      <c r="B136" s="14" t="s">
        <v>940</v>
      </c>
      <c r="C136" s="20">
        <v>9819</v>
      </c>
      <c r="D136" s="14" t="s">
        <v>942</v>
      </c>
      <c r="E136" s="14" t="s">
        <v>420</v>
      </c>
      <c r="F136" s="14" t="s">
        <v>1395</v>
      </c>
      <c r="G136" s="14" t="s">
        <v>245</v>
      </c>
      <c r="H136" s="27">
        <v>329329</v>
      </c>
      <c r="I136" s="137" t="s">
        <v>1477</v>
      </c>
      <c r="J136" s="137"/>
      <c r="K136" s="137"/>
      <c r="L136" s="137"/>
      <c r="M136" s="137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946</v>
      </c>
      <c r="B137" s="14" t="s">
        <v>965</v>
      </c>
      <c r="C137" s="19">
        <v>9571</v>
      </c>
      <c r="D137" s="14" t="s">
        <v>966</v>
      </c>
      <c r="E137" s="14" t="s">
        <v>416</v>
      </c>
      <c r="F137" s="14" t="s">
        <v>1407</v>
      </c>
      <c r="G137" s="14" t="s">
        <v>18</v>
      </c>
      <c r="H137" s="27">
        <v>62495</v>
      </c>
      <c r="I137" s="137" t="s">
        <v>1938</v>
      </c>
      <c r="J137" s="137"/>
      <c r="K137" s="137"/>
      <c r="L137" s="137"/>
      <c r="M137" s="137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1015</v>
      </c>
      <c r="B138" s="21" t="s">
        <v>1021</v>
      </c>
      <c r="C138" s="19">
        <v>9651</v>
      </c>
      <c r="D138" s="14" t="s">
        <v>1022</v>
      </c>
      <c r="E138" s="15" t="s">
        <v>416</v>
      </c>
      <c r="F138" s="14" t="s">
        <v>1442</v>
      </c>
      <c r="G138" s="15" t="s">
        <v>355</v>
      </c>
      <c r="H138" s="55">
        <v>31915</v>
      </c>
      <c r="I138" s="134" t="s">
        <v>1478</v>
      </c>
      <c r="J138" s="135"/>
      <c r="K138" s="135"/>
      <c r="L138" s="135"/>
      <c r="M138" s="13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946</v>
      </c>
      <c r="B139" s="14" t="s">
        <v>999</v>
      </c>
      <c r="C139" s="19">
        <v>9610</v>
      </c>
      <c r="D139" s="14" t="s">
        <v>1002</v>
      </c>
      <c r="E139" s="14" t="s">
        <v>416</v>
      </c>
      <c r="F139" s="14" t="s">
        <v>1435</v>
      </c>
      <c r="G139" s="14" t="s">
        <v>18</v>
      </c>
      <c r="H139" s="55">
        <v>62495</v>
      </c>
      <c r="I139" s="134" t="s">
        <v>1939</v>
      </c>
      <c r="J139" s="135"/>
      <c r="K139" s="135"/>
      <c r="L139" s="135"/>
      <c r="M139" s="136"/>
    </row>
    <row r="140" spans="1:110" ht="16.5" customHeight="1" x14ac:dyDescent="0.25">
      <c r="A140" s="14" t="s">
        <v>642</v>
      </c>
      <c r="B140" s="14" t="s">
        <v>683</v>
      </c>
      <c r="C140" s="56">
        <v>9222</v>
      </c>
      <c r="D140" s="14" t="s">
        <v>686</v>
      </c>
      <c r="E140" s="14" t="s">
        <v>416</v>
      </c>
      <c r="F140" s="14" t="s">
        <v>1231</v>
      </c>
      <c r="G140" s="14" t="s">
        <v>311</v>
      </c>
      <c r="H140" s="55">
        <v>283122</v>
      </c>
      <c r="I140" s="134" t="s">
        <v>1940</v>
      </c>
      <c r="J140" s="135"/>
      <c r="K140" s="135"/>
      <c r="L140" s="135"/>
      <c r="M140" s="136"/>
    </row>
    <row r="141" spans="1:110" ht="16.5" customHeight="1" x14ac:dyDescent="0.25">
      <c r="A141" s="14" t="s">
        <v>2028</v>
      </c>
      <c r="B141" s="14" t="s">
        <v>2031</v>
      </c>
      <c r="C141" s="19" t="s">
        <v>2029</v>
      </c>
      <c r="D141" s="14" t="s">
        <v>2030</v>
      </c>
      <c r="E141" s="14" t="s">
        <v>2032</v>
      </c>
      <c r="F141" s="14" t="s">
        <v>2034</v>
      </c>
      <c r="G141" s="14" t="s">
        <v>2033</v>
      </c>
      <c r="H141" s="55">
        <v>1082107</v>
      </c>
      <c r="I141" s="134" t="s">
        <v>2035</v>
      </c>
      <c r="J141" s="135"/>
      <c r="K141" s="135"/>
      <c r="L141" s="135"/>
      <c r="M141" s="136"/>
    </row>
    <row r="142" spans="1:110" ht="16.5" customHeight="1" x14ac:dyDescent="0.25">
      <c r="A142" s="14" t="s">
        <v>2028</v>
      </c>
      <c r="B142" s="14" t="s">
        <v>2061</v>
      </c>
      <c r="C142" s="19" t="s">
        <v>2062</v>
      </c>
      <c r="D142" s="14" t="s">
        <v>2063</v>
      </c>
      <c r="E142" s="14" t="s">
        <v>2032</v>
      </c>
      <c r="F142" s="14" t="s">
        <v>2064</v>
      </c>
      <c r="G142" s="14" t="s">
        <v>2065</v>
      </c>
      <c r="H142" s="55">
        <v>519866</v>
      </c>
      <c r="I142" s="134" t="s">
        <v>2066</v>
      </c>
      <c r="J142" s="135"/>
      <c r="K142" s="135"/>
      <c r="L142" s="135"/>
      <c r="M142" s="136"/>
    </row>
    <row r="143" spans="1:110" ht="16.5" customHeight="1" x14ac:dyDescent="0.25">
      <c r="A143" s="14" t="s">
        <v>2028</v>
      </c>
      <c r="B143" s="14" t="s">
        <v>2067</v>
      </c>
      <c r="C143" s="19" t="s">
        <v>2068</v>
      </c>
      <c r="D143" s="14" t="s">
        <v>2069</v>
      </c>
      <c r="E143" s="14" t="s">
        <v>2032</v>
      </c>
      <c r="F143" s="14" t="s">
        <v>2070</v>
      </c>
      <c r="G143" s="14" t="s">
        <v>2071</v>
      </c>
      <c r="H143" s="55"/>
      <c r="I143" s="134" t="s">
        <v>2072</v>
      </c>
      <c r="J143" s="135" t="s">
        <v>2072</v>
      </c>
      <c r="K143" s="135"/>
      <c r="L143" s="135"/>
      <c r="M143" s="136"/>
    </row>
    <row r="144" spans="1:110" ht="16.5" customHeight="1" x14ac:dyDescent="0.25">
      <c r="A144" s="14" t="s">
        <v>523</v>
      </c>
      <c r="B144" s="14" t="s">
        <v>558</v>
      </c>
      <c r="C144" s="58">
        <v>9388</v>
      </c>
      <c r="D144" s="14" t="s">
        <v>559</v>
      </c>
      <c r="E144" s="14" t="s">
        <v>420</v>
      </c>
      <c r="F144" s="14" t="s">
        <v>1165</v>
      </c>
      <c r="G144" s="14" t="s">
        <v>6</v>
      </c>
      <c r="H144" s="55">
        <f>VLOOKUP(G144:G595,'[5]Dispositivos exportados de HP W'!$C$2:$D$592,2,FALSE)</f>
        <v>458544</v>
      </c>
      <c r="I144" s="137" t="s">
        <v>2060</v>
      </c>
      <c r="J144" s="137"/>
      <c r="K144" s="137"/>
      <c r="L144" s="137"/>
      <c r="M144" s="137"/>
    </row>
    <row r="167" spans="10:14" ht="16.5" customHeight="1" x14ac:dyDescent="0.25">
      <c r="J167" s="134"/>
      <c r="K167" s="135"/>
      <c r="L167" s="135"/>
      <c r="M167" s="135"/>
      <c r="N167" s="136"/>
    </row>
  </sheetData>
  <autoFilter ref="A1:DF144"/>
  <mergeCells count="26">
    <mergeCell ref="J167:N167"/>
    <mergeCell ref="I142:M142"/>
    <mergeCell ref="I143:M143"/>
    <mergeCell ref="I141:M141"/>
    <mergeCell ref="I144:M144"/>
    <mergeCell ref="I131:M131"/>
    <mergeCell ref="I132:M132"/>
    <mergeCell ref="I133:M133"/>
    <mergeCell ref="I134:M134"/>
    <mergeCell ref="I135:M135"/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</mergeCells>
  <conditionalFormatting sqref="F100:G100">
    <cfRule type="duplicateValues" dxfId="649" priority="320"/>
    <cfRule type="duplicateValues" dxfId="648" priority="321"/>
  </conditionalFormatting>
  <conditionalFormatting sqref="F102:G102">
    <cfRule type="duplicateValues" dxfId="647" priority="317"/>
    <cfRule type="duplicateValues" dxfId="646" priority="318"/>
  </conditionalFormatting>
  <conditionalFormatting sqref="F102">
    <cfRule type="duplicateValues" dxfId="645" priority="319"/>
  </conditionalFormatting>
  <conditionalFormatting sqref="F103:G103">
    <cfRule type="duplicateValues" dxfId="644" priority="314"/>
    <cfRule type="duplicateValues" dxfId="643" priority="315"/>
  </conditionalFormatting>
  <conditionalFormatting sqref="F103">
    <cfRule type="duplicateValues" dxfId="642" priority="316"/>
  </conditionalFormatting>
  <conditionalFormatting sqref="F105:G105">
    <cfRule type="duplicateValues" dxfId="641" priority="311"/>
    <cfRule type="duplicateValues" dxfId="640" priority="312"/>
  </conditionalFormatting>
  <conditionalFormatting sqref="F105">
    <cfRule type="duplicateValues" dxfId="639" priority="313"/>
  </conditionalFormatting>
  <conditionalFormatting sqref="F106:G106">
    <cfRule type="duplicateValues" dxfId="638" priority="308"/>
    <cfRule type="duplicateValues" dxfId="637" priority="309"/>
  </conditionalFormatting>
  <conditionalFormatting sqref="F106">
    <cfRule type="duplicateValues" dxfId="636" priority="310"/>
  </conditionalFormatting>
  <conditionalFormatting sqref="F108:G108">
    <cfRule type="duplicateValues" dxfId="635" priority="305"/>
    <cfRule type="duplicateValues" dxfId="634" priority="306"/>
  </conditionalFormatting>
  <conditionalFormatting sqref="F108">
    <cfRule type="duplicateValues" dxfId="633" priority="307"/>
  </conditionalFormatting>
  <conditionalFormatting sqref="F109:G109">
    <cfRule type="duplicateValues" dxfId="632" priority="302"/>
    <cfRule type="duplicateValues" dxfId="631" priority="303"/>
  </conditionalFormatting>
  <conditionalFormatting sqref="F109">
    <cfRule type="duplicateValues" dxfId="630" priority="304"/>
  </conditionalFormatting>
  <conditionalFormatting sqref="F110:G110">
    <cfRule type="duplicateValues" dxfId="629" priority="299"/>
    <cfRule type="duplicateValues" dxfId="628" priority="300"/>
  </conditionalFormatting>
  <conditionalFormatting sqref="F110">
    <cfRule type="duplicateValues" dxfId="627" priority="301"/>
  </conditionalFormatting>
  <conditionalFormatting sqref="F112:G112">
    <cfRule type="duplicateValues" dxfId="626" priority="296"/>
    <cfRule type="duplicateValues" dxfId="625" priority="297"/>
  </conditionalFormatting>
  <conditionalFormatting sqref="F112">
    <cfRule type="duplicateValues" dxfId="624" priority="298"/>
  </conditionalFormatting>
  <conditionalFormatting sqref="F113:G113">
    <cfRule type="duplicateValues" dxfId="623" priority="293"/>
    <cfRule type="duplicateValues" dxfId="622" priority="294"/>
  </conditionalFormatting>
  <conditionalFormatting sqref="F113">
    <cfRule type="duplicateValues" dxfId="621" priority="295"/>
  </conditionalFormatting>
  <conditionalFormatting sqref="F114:G114">
    <cfRule type="duplicateValues" dxfId="620" priority="290"/>
    <cfRule type="duplicateValues" dxfId="619" priority="291"/>
  </conditionalFormatting>
  <conditionalFormatting sqref="F114">
    <cfRule type="duplicateValues" dxfId="618" priority="292"/>
  </conditionalFormatting>
  <conditionalFormatting sqref="F115:G115">
    <cfRule type="duplicateValues" dxfId="617" priority="287"/>
    <cfRule type="duplicateValues" dxfId="616" priority="288"/>
  </conditionalFormatting>
  <conditionalFormatting sqref="F115">
    <cfRule type="duplicateValues" dxfId="615" priority="289"/>
  </conditionalFormatting>
  <conditionalFormatting sqref="F116:G116">
    <cfRule type="duplicateValues" dxfId="614" priority="284"/>
    <cfRule type="duplicateValues" dxfId="613" priority="285"/>
  </conditionalFormatting>
  <conditionalFormatting sqref="F116">
    <cfRule type="duplicateValues" dxfId="612" priority="286"/>
  </conditionalFormatting>
  <conditionalFormatting sqref="F117:G117">
    <cfRule type="duplicateValues" dxfId="611" priority="281"/>
    <cfRule type="duplicateValues" dxfId="610" priority="282"/>
  </conditionalFormatting>
  <conditionalFormatting sqref="F117">
    <cfRule type="duplicateValues" dxfId="609" priority="283"/>
  </conditionalFormatting>
  <conditionalFormatting sqref="F118:G118">
    <cfRule type="duplicateValues" dxfId="608" priority="278"/>
    <cfRule type="duplicateValues" dxfId="607" priority="279"/>
  </conditionalFormatting>
  <conditionalFormatting sqref="F118">
    <cfRule type="duplicateValues" dxfId="606" priority="280"/>
  </conditionalFormatting>
  <conditionalFormatting sqref="F119:G119">
    <cfRule type="duplicateValues" dxfId="605" priority="275"/>
    <cfRule type="duplicateValues" dxfId="604" priority="276"/>
  </conditionalFormatting>
  <conditionalFormatting sqref="F119">
    <cfRule type="duplicateValues" dxfId="603" priority="277"/>
  </conditionalFormatting>
  <conditionalFormatting sqref="F120:G120">
    <cfRule type="duplicateValues" dxfId="602" priority="272"/>
    <cfRule type="duplicateValues" dxfId="601" priority="273"/>
  </conditionalFormatting>
  <conditionalFormatting sqref="F120">
    <cfRule type="duplicateValues" dxfId="600" priority="274"/>
  </conditionalFormatting>
  <conditionalFormatting sqref="F121:G121">
    <cfRule type="duplicateValues" dxfId="599" priority="269"/>
    <cfRule type="duplicateValues" dxfId="598" priority="270"/>
  </conditionalFormatting>
  <conditionalFormatting sqref="F121">
    <cfRule type="duplicateValues" dxfId="597" priority="271"/>
  </conditionalFormatting>
  <conditionalFormatting sqref="F122:G122">
    <cfRule type="duplicateValues" dxfId="596" priority="266"/>
    <cfRule type="duplicateValues" dxfId="595" priority="267"/>
  </conditionalFormatting>
  <conditionalFormatting sqref="F122">
    <cfRule type="duplicateValues" dxfId="594" priority="268"/>
  </conditionalFormatting>
  <conditionalFormatting sqref="F124:G124">
    <cfRule type="duplicateValues" dxfId="593" priority="263"/>
    <cfRule type="duplicateValues" dxfId="592" priority="264"/>
  </conditionalFormatting>
  <conditionalFormatting sqref="F124">
    <cfRule type="duplicateValues" dxfId="591" priority="265"/>
  </conditionalFormatting>
  <conditionalFormatting sqref="H126 H144">
    <cfRule type="cellIs" dxfId="590" priority="257" operator="equal">
      <formula>0</formula>
    </cfRule>
  </conditionalFormatting>
  <conditionalFormatting sqref="G126">
    <cfRule type="duplicateValues" dxfId="589" priority="258"/>
    <cfRule type="duplicateValues" dxfId="588" priority="259"/>
  </conditionalFormatting>
  <conditionalFormatting sqref="F126">
    <cfRule type="duplicateValues" dxfId="587" priority="260"/>
    <cfRule type="duplicateValues" dxfId="586" priority="261"/>
  </conditionalFormatting>
  <conditionalFormatting sqref="F126">
    <cfRule type="duplicateValues" dxfId="585" priority="262"/>
  </conditionalFormatting>
  <conditionalFormatting sqref="H128">
    <cfRule type="cellIs" dxfId="584" priority="247" operator="equal">
      <formula>0</formula>
    </cfRule>
  </conditionalFormatting>
  <conditionalFormatting sqref="G128">
    <cfRule type="duplicateValues" dxfId="583" priority="248"/>
    <cfRule type="duplicateValues" dxfId="582" priority="249"/>
  </conditionalFormatting>
  <conditionalFormatting sqref="F128">
    <cfRule type="duplicateValues" dxfId="581" priority="250"/>
    <cfRule type="duplicateValues" dxfId="580" priority="251"/>
  </conditionalFormatting>
  <conditionalFormatting sqref="F128">
    <cfRule type="duplicateValues" dxfId="579" priority="252"/>
  </conditionalFormatting>
  <conditionalFormatting sqref="H129:H130">
    <cfRule type="cellIs" dxfId="578" priority="237" operator="equal">
      <formula>0</formula>
    </cfRule>
  </conditionalFormatting>
  <conditionalFormatting sqref="G129:G130">
    <cfRule type="duplicateValues" dxfId="577" priority="238"/>
    <cfRule type="duplicateValues" dxfId="576" priority="239"/>
  </conditionalFormatting>
  <conditionalFormatting sqref="F129:F130">
    <cfRule type="duplicateValues" dxfId="575" priority="240"/>
    <cfRule type="duplicateValues" dxfId="574" priority="241"/>
  </conditionalFormatting>
  <conditionalFormatting sqref="F129:F130">
    <cfRule type="duplicateValues" dxfId="573" priority="242"/>
  </conditionalFormatting>
  <conditionalFormatting sqref="H131">
    <cfRule type="cellIs" dxfId="572" priority="227" operator="equal">
      <formula>0</formula>
    </cfRule>
  </conditionalFormatting>
  <conditionalFormatting sqref="G131">
    <cfRule type="duplicateValues" dxfId="571" priority="228"/>
    <cfRule type="duplicateValues" dxfId="570" priority="229"/>
  </conditionalFormatting>
  <conditionalFormatting sqref="F131">
    <cfRule type="duplicateValues" dxfId="569" priority="230"/>
    <cfRule type="duplicateValues" dxfId="568" priority="231"/>
  </conditionalFormatting>
  <conditionalFormatting sqref="F131">
    <cfRule type="duplicateValues" dxfId="567" priority="232"/>
  </conditionalFormatting>
  <conditionalFormatting sqref="H132:H133">
    <cfRule type="cellIs" dxfId="566" priority="217" operator="equal">
      <formula>0</formula>
    </cfRule>
  </conditionalFormatting>
  <conditionalFormatting sqref="G132:G133">
    <cfRule type="duplicateValues" dxfId="565" priority="218"/>
    <cfRule type="duplicateValues" dxfId="564" priority="219"/>
  </conditionalFormatting>
  <conditionalFormatting sqref="F132:F133">
    <cfRule type="duplicateValues" dxfId="563" priority="220"/>
    <cfRule type="duplicateValues" dxfId="562" priority="221"/>
  </conditionalFormatting>
  <conditionalFormatting sqref="F132:F133">
    <cfRule type="duplicateValues" dxfId="561" priority="222"/>
  </conditionalFormatting>
  <conditionalFormatting sqref="H134">
    <cfRule type="cellIs" dxfId="560" priority="207" operator="equal">
      <formula>0</formula>
    </cfRule>
  </conditionalFormatting>
  <conditionalFormatting sqref="G134">
    <cfRule type="duplicateValues" dxfId="559" priority="208"/>
    <cfRule type="duplicateValues" dxfId="558" priority="209"/>
  </conditionalFormatting>
  <conditionalFormatting sqref="F134">
    <cfRule type="duplicateValues" dxfId="557" priority="210"/>
    <cfRule type="duplicateValues" dxfId="556" priority="211"/>
  </conditionalFormatting>
  <conditionalFormatting sqref="F134">
    <cfRule type="duplicateValues" dxfId="555" priority="212"/>
  </conditionalFormatting>
  <conditionalFormatting sqref="H135:H136">
    <cfRule type="cellIs" dxfId="554" priority="197" operator="equal">
      <formula>0</formula>
    </cfRule>
  </conditionalFormatting>
  <conditionalFormatting sqref="G135:G136">
    <cfRule type="duplicateValues" dxfId="553" priority="198"/>
    <cfRule type="duplicateValues" dxfId="552" priority="199"/>
  </conditionalFormatting>
  <conditionalFormatting sqref="F135:F136">
    <cfRule type="duplicateValues" dxfId="551" priority="200"/>
    <cfRule type="duplicateValues" dxfId="550" priority="201"/>
  </conditionalFormatting>
  <conditionalFormatting sqref="F135:F136">
    <cfRule type="duplicateValues" dxfId="549" priority="202"/>
  </conditionalFormatting>
  <conditionalFormatting sqref="H137">
    <cfRule type="cellIs" dxfId="548" priority="187" operator="equal">
      <formula>0</formula>
    </cfRule>
  </conditionalFormatting>
  <conditionalFormatting sqref="H138">
    <cfRule type="cellIs" dxfId="547" priority="177" operator="equal">
      <formula>0</formula>
    </cfRule>
  </conditionalFormatting>
  <conditionalFormatting sqref="G138">
    <cfRule type="duplicateValues" dxfId="546" priority="178"/>
    <cfRule type="duplicateValues" dxfId="545" priority="179"/>
  </conditionalFormatting>
  <conditionalFormatting sqref="F138">
    <cfRule type="duplicateValues" dxfId="544" priority="180"/>
    <cfRule type="duplicateValues" dxfId="543" priority="181"/>
  </conditionalFormatting>
  <conditionalFormatting sqref="F138">
    <cfRule type="duplicateValues" dxfId="542" priority="182"/>
  </conditionalFormatting>
  <conditionalFormatting sqref="H127">
    <cfRule type="cellIs" dxfId="541" priority="167" operator="equal">
      <formula>0</formula>
    </cfRule>
  </conditionalFormatting>
  <conditionalFormatting sqref="G127">
    <cfRule type="duplicateValues" dxfId="540" priority="168"/>
    <cfRule type="duplicateValues" dxfId="539" priority="169"/>
  </conditionalFormatting>
  <conditionalFormatting sqref="F127">
    <cfRule type="duplicateValues" dxfId="538" priority="170"/>
    <cfRule type="duplicateValues" dxfId="537" priority="171"/>
  </conditionalFormatting>
  <conditionalFormatting sqref="F127">
    <cfRule type="duplicateValues" dxfId="536" priority="172"/>
  </conditionalFormatting>
  <conditionalFormatting sqref="H139">
    <cfRule type="cellIs" dxfId="535" priority="157" operator="equal">
      <formula>0</formula>
    </cfRule>
  </conditionalFormatting>
  <conditionalFormatting sqref="G139">
    <cfRule type="duplicateValues" dxfId="534" priority="158"/>
    <cfRule type="duplicateValues" dxfId="533" priority="159"/>
  </conditionalFormatting>
  <conditionalFormatting sqref="F139">
    <cfRule type="duplicateValues" dxfId="532" priority="160"/>
    <cfRule type="duplicateValues" dxfId="531" priority="161"/>
  </conditionalFormatting>
  <conditionalFormatting sqref="F139">
    <cfRule type="duplicateValues" dxfId="530" priority="162"/>
  </conditionalFormatting>
  <conditionalFormatting sqref="G140">
    <cfRule type="duplicateValues" dxfId="529" priority="152"/>
    <cfRule type="duplicateValues" dxfId="528" priority="153"/>
  </conditionalFormatting>
  <conditionalFormatting sqref="F140">
    <cfRule type="duplicateValues" dxfId="527" priority="154"/>
    <cfRule type="duplicateValues" dxfId="526" priority="155"/>
  </conditionalFormatting>
  <conditionalFormatting sqref="F140">
    <cfRule type="duplicateValues" dxfId="525" priority="156"/>
  </conditionalFormatting>
  <conditionalFormatting sqref="G140">
    <cfRule type="duplicateValues" dxfId="524" priority="150"/>
  </conditionalFormatting>
  <conditionalFormatting sqref="H140">
    <cfRule type="cellIs" dxfId="523" priority="149" operator="equal">
      <formula>0</formula>
    </cfRule>
  </conditionalFormatting>
  <conditionalFormatting sqref="H142">
    <cfRule type="cellIs" dxfId="522" priority="125" operator="equal">
      <formula>0</formula>
    </cfRule>
  </conditionalFormatting>
  <conditionalFormatting sqref="H141">
    <cfRule type="cellIs" dxfId="521" priority="131" operator="equal">
      <formula>0</formula>
    </cfRule>
  </conditionalFormatting>
  <conditionalFormatting sqref="G141">
    <cfRule type="duplicateValues" dxfId="520" priority="132"/>
    <cfRule type="duplicateValues" dxfId="519" priority="133"/>
  </conditionalFormatting>
  <conditionalFormatting sqref="F141">
    <cfRule type="duplicateValues" dxfId="518" priority="134"/>
    <cfRule type="duplicateValues" dxfId="517" priority="135"/>
  </conditionalFormatting>
  <conditionalFormatting sqref="F141">
    <cfRule type="duplicateValues" dxfId="516" priority="136"/>
  </conditionalFormatting>
  <conditionalFormatting sqref="G142">
    <cfRule type="duplicateValues" dxfId="515" priority="126"/>
    <cfRule type="duplicateValues" dxfId="514" priority="127"/>
  </conditionalFormatting>
  <conditionalFormatting sqref="F142">
    <cfRule type="duplicateValues" dxfId="513" priority="128"/>
    <cfRule type="duplicateValues" dxfId="512" priority="129"/>
  </conditionalFormatting>
  <conditionalFormatting sqref="F142">
    <cfRule type="duplicateValues" dxfId="511" priority="130"/>
  </conditionalFormatting>
  <conditionalFormatting sqref="H143">
    <cfRule type="cellIs" dxfId="510" priority="119" operator="equal">
      <formula>0</formula>
    </cfRule>
  </conditionalFormatting>
  <conditionalFormatting sqref="G143">
    <cfRule type="duplicateValues" dxfId="509" priority="120"/>
    <cfRule type="duplicateValues" dxfId="508" priority="121"/>
  </conditionalFormatting>
  <conditionalFormatting sqref="F143">
    <cfRule type="duplicateValues" dxfId="507" priority="122"/>
    <cfRule type="duplicateValues" dxfId="506" priority="123"/>
  </conditionalFormatting>
  <conditionalFormatting sqref="F143">
    <cfRule type="duplicateValues" dxfId="505" priority="124"/>
  </conditionalFormatting>
  <conditionalFormatting sqref="G144">
    <cfRule type="duplicateValues" dxfId="504" priority="386"/>
    <cfRule type="duplicateValues" dxfId="503" priority="387"/>
  </conditionalFormatting>
  <conditionalFormatting sqref="F144">
    <cfRule type="duplicateValues" dxfId="502" priority="388"/>
    <cfRule type="duplicateValues" dxfId="501" priority="389"/>
  </conditionalFormatting>
  <conditionalFormatting sqref="F144">
    <cfRule type="duplicateValues" dxfId="500" priority="390"/>
  </conditionalFormatting>
  <conditionalFormatting sqref="G137">
    <cfRule type="duplicateValues" dxfId="499" priority="391"/>
    <cfRule type="duplicateValues" dxfId="498" priority="392"/>
  </conditionalFormatting>
  <conditionalFormatting sqref="F137">
    <cfRule type="duplicateValues" dxfId="497" priority="393"/>
    <cfRule type="duplicateValues" dxfId="496" priority="394"/>
  </conditionalFormatting>
  <conditionalFormatting sqref="F137">
    <cfRule type="duplicateValues" dxfId="495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407</v>
      </c>
      <c r="E4" s="18" t="s">
        <v>408</v>
      </c>
    </row>
    <row r="5" spans="4:6" x14ac:dyDescent="0.25">
      <c r="D5" s="14" t="s">
        <v>462</v>
      </c>
      <c r="E5" s="14" t="s">
        <v>476</v>
      </c>
    </row>
    <row r="6" spans="4:6" x14ac:dyDescent="0.25">
      <c r="D6" s="14" t="s">
        <v>523</v>
      </c>
      <c r="E6" s="14" t="s">
        <v>536</v>
      </c>
    </row>
    <row r="7" spans="4:6" x14ac:dyDescent="0.25">
      <c r="D7" s="14" t="s">
        <v>872</v>
      </c>
      <c r="E7" s="14" t="s">
        <v>940</v>
      </c>
    </row>
    <row r="8" spans="4:6" x14ac:dyDescent="0.25">
      <c r="D8" s="14" t="s">
        <v>872</v>
      </c>
      <c r="E8" s="14" t="s">
        <v>940</v>
      </c>
    </row>
    <row r="9" spans="4:6" x14ac:dyDescent="0.25">
      <c r="D9" s="14" t="s">
        <v>872</v>
      </c>
      <c r="E9" s="14" t="s">
        <v>878</v>
      </c>
    </row>
    <row r="11" spans="4:6" ht="15" customHeight="1" x14ac:dyDescent="0.25">
      <c r="D11" s="18" t="s">
        <v>407</v>
      </c>
      <c r="E11" s="18" t="s">
        <v>408</v>
      </c>
      <c r="F11" s="18" t="s">
        <v>1470</v>
      </c>
    </row>
    <row r="12" spans="4:6" x14ac:dyDescent="0.25">
      <c r="D12" s="14" t="s">
        <v>462</v>
      </c>
      <c r="E12" s="14" t="s">
        <v>476</v>
      </c>
      <c r="F12" s="28" t="s">
        <v>1471</v>
      </c>
    </row>
    <row r="13" spans="4:6" x14ac:dyDescent="0.25">
      <c r="D13" s="14" t="s">
        <v>872</v>
      </c>
      <c r="E13" s="14" t="s">
        <v>878</v>
      </c>
      <c r="F13" s="28" t="s">
        <v>1472</v>
      </c>
    </row>
    <row r="14" spans="4:6" x14ac:dyDescent="0.25">
      <c r="D14" s="14" t="s">
        <v>872</v>
      </c>
      <c r="E14" s="14" t="s">
        <v>916</v>
      </c>
      <c r="F14" s="28" t="s">
        <v>1471</v>
      </c>
    </row>
    <row r="15" spans="4:6" x14ac:dyDescent="0.25">
      <c r="D15" s="14" t="s">
        <v>872</v>
      </c>
      <c r="E15" s="14" t="s">
        <v>916</v>
      </c>
      <c r="F15" s="28" t="s">
        <v>1472</v>
      </c>
    </row>
    <row r="16" spans="4:6" x14ac:dyDescent="0.25">
      <c r="D16" s="14" t="s">
        <v>872</v>
      </c>
      <c r="E16" s="14" t="s">
        <v>940</v>
      </c>
      <c r="F16" s="28" t="s">
        <v>1471</v>
      </c>
    </row>
    <row r="17" spans="4:6" x14ac:dyDescent="0.25">
      <c r="D17" s="14" t="s">
        <v>872</v>
      </c>
      <c r="E17" s="14" t="s">
        <v>940</v>
      </c>
      <c r="F17" s="28" t="s">
        <v>1472</v>
      </c>
    </row>
    <row r="18" spans="4:6" x14ac:dyDescent="0.25">
      <c r="D18" s="15" t="s">
        <v>872</v>
      </c>
      <c r="E18" s="21" t="s">
        <v>943</v>
      </c>
      <c r="F18" s="28" t="s">
        <v>1471</v>
      </c>
    </row>
    <row r="19" spans="4:6" x14ac:dyDescent="0.25">
      <c r="D19" s="15" t="s">
        <v>872</v>
      </c>
      <c r="E19" s="21" t="s">
        <v>943</v>
      </c>
      <c r="F19" s="28" t="s">
        <v>1472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7"/>
  <sheetViews>
    <sheetView topLeftCell="A115" workbookViewId="0">
      <selection activeCell="B143" sqref="B143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2109</v>
      </c>
    </row>
    <row r="2" spans="1:72" s="7" customFormat="1" ht="16.5" customHeight="1" x14ac:dyDescent="0.25">
      <c r="A2" s="14" t="s">
        <v>946</v>
      </c>
      <c r="B2" s="14" t="s">
        <v>979</v>
      </c>
      <c r="C2" s="20" t="s">
        <v>980</v>
      </c>
      <c r="D2" s="14" t="s">
        <v>982</v>
      </c>
      <c r="E2" s="14" t="s">
        <v>420</v>
      </c>
      <c r="F2" s="14" t="s">
        <v>1420</v>
      </c>
      <c r="G2" s="14" t="s">
        <v>233</v>
      </c>
      <c r="H2" s="14"/>
      <c r="I2" s="69" t="s">
        <v>2046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706</v>
      </c>
      <c r="B3" s="14" t="s">
        <v>819</v>
      </c>
      <c r="C3" s="56">
        <v>9288</v>
      </c>
      <c r="D3" s="14" t="s">
        <v>820</v>
      </c>
      <c r="E3" s="14" t="s">
        <v>420</v>
      </c>
      <c r="F3" s="14" t="s">
        <v>1314</v>
      </c>
      <c r="G3" s="14" t="s">
        <v>37</v>
      </c>
      <c r="H3" s="14"/>
      <c r="I3" s="14" t="s">
        <v>2043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581</v>
      </c>
      <c r="B4" s="21" t="s">
        <v>628</v>
      </c>
      <c r="C4" s="22">
        <v>9442</v>
      </c>
      <c r="D4" s="14" t="s">
        <v>629</v>
      </c>
      <c r="E4" s="15" t="s">
        <v>420</v>
      </c>
      <c r="F4" s="14" t="s">
        <v>1196</v>
      </c>
      <c r="G4" s="15" t="s">
        <v>348</v>
      </c>
      <c r="H4" s="15"/>
      <c r="I4" s="14" t="s">
        <v>2051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581</v>
      </c>
      <c r="B5" s="14" t="s">
        <v>608</v>
      </c>
      <c r="C5" s="19">
        <v>9839</v>
      </c>
      <c r="D5" s="14" t="s">
        <v>609</v>
      </c>
      <c r="E5" s="14" t="s">
        <v>420</v>
      </c>
      <c r="F5" s="14" t="s">
        <v>610</v>
      </c>
      <c r="G5" s="14" t="s">
        <v>1064</v>
      </c>
      <c r="H5" s="14"/>
      <c r="I5" s="8" t="s">
        <v>2052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872</v>
      </c>
      <c r="B6" s="14" t="s">
        <v>897</v>
      </c>
      <c r="C6" s="56">
        <v>9883</v>
      </c>
      <c r="D6" s="14" t="s">
        <v>898</v>
      </c>
      <c r="E6" s="14" t="s">
        <v>420</v>
      </c>
      <c r="F6" s="14" t="s">
        <v>1362</v>
      </c>
      <c r="G6" s="14" t="s">
        <v>83</v>
      </c>
      <c r="H6" s="14"/>
      <c r="I6" s="14" t="s">
        <v>2050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2089</v>
      </c>
      <c r="B7" s="14" t="s">
        <v>471</v>
      </c>
      <c r="C7" s="19">
        <v>9481</v>
      </c>
      <c r="D7" s="14" t="s">
        <v>472</v>
      </c>
      <c r="E7" s="14" t="s">
        <v>420</v>
      </c>
      <c r="F7" s="14" t="s">
        <v>1104</v>
      </c>
      <c r="G7" s="14" t="s">
        <v>27</v>
      </c>
      <c r="H7" s="14"/>
      <c r="I7" s="14" t="s">
        <v>2075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642</v>
      </c>
      <c r="B8" s="21" t="s">
        <v>663</v>
      </c>
      <c r="C8" s="19">
        <v>9924</v>
      </c>
      <c r="D8" s="14" t="s">
        <v>664</v>
      </c>
      <c r="E8" s="15" t="s">
        <v>420</v>
      </c>
      <c r="F8" s="14" t="s">
        <v>1217</v>
      </c>
      <c r="G8" s="15" t="s">
        <v>375</v>
      </c>
      <c r="H8" s="15"/>
      <c r="I8" s="14" t="s">
        <v>2086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642</v>
      </c>
      <c r="B9" s="14" t="s">
        <v>683</v>
      </c>
      <c r="C9" s="75">
        <v>9222</v>
      </c>
      <c r="D9" s="54" t="s">
        <v>684</v>
      </c>
      <c r="E9" s="14" t="s">
        <v>420</v>
      </c>
      <c r="F9" s="14" t="s">
        <v>1229</v>
      </c>
      <c r="G9" s="14" t="s">
        <v>200</v>
      </c>
      <c r="H9" s="14"/>
      <c r="I9" s="14" t="s">
        <v>2048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946</v>
      </c>
      <c r="B10" s="21" t="s">
        <v>979</v>
      </c>
      <c r="C10" s="22" t="s">
        <v>980</v>
      </c>
      <c r="D10" s="14" t="s">
        <v>981</v>
      </c>
      <c r="E10" s="15" t="s">
        <v>416</v>
      </c>
      <c r="F10" s="14" t="s">
        <v>1419</v>
      </c>
      <c r="G10" s="15" t="s">
        <v>365</v>
      </c>
      <c r="H10" s="15"/>
      <c r="I10" s="69" t="s">
        <v>2046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946</v>
      </c>
      <c r="B11" s="14" t="s">
        <v>971</v>
      </c>
      <c r="C11" s="19">
        <v>9583</v>
      </c>
      <c r="D11" s="14" t="s">
        <v>972</v>
      </c>
      <c r="E11" s="14" t="s">
        <v>416</v>
      </c>
      <c r="F11" s="14" t="s">
        <v>1413</v>
      </c>
      <c r="G11" s="14" t="s">
        <v>205</v>
      </c>
      <c r="H11" s="14"/>
      <c r="I11" s="14" t="s">
        <v>2047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946</v>
      </c>
      <c r="B12" s="21" t="s">
        <v>1021</v>
      </c>
      <c r="C12" s="19">
        <v>9651</v>
      </c>
      <c r="D12" s="14" t="s">
        <v>1022</v>
      </c>
      <c r="E12" s="15" t="s">
        <v>416</v>
      </c>
      <c r="F12" s="14" t="s">
        <v>1442</v>
      </c>
      <c r="G12" s="76" t="s">
        <v>355</v>
      </c>
      <c r="H12" s="76"/>
      <c r="I12" s="69" t="s">
        <v>2087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642</v>
      </c>
      <c r="B13" s="8" t="s">
        <v>692</v>
      </c>
      <c r="C13" s="20">
        <v>9217</v>
      </c>
      <c r="D13" s="8" t="s">
        <v>2058</v>
      </c>
      <c r="E13" s="14" t="s">
        <v>416</v>
      </c>
      <c r="F13" s="14" t="s">
        <v>2059</v>
      </c>
      <c r="G13" s="14" t="s">
        <v>2074</v>
      </c>
      <c r="H13" s="14"/>
      <c r="I13" s="8" t="s">
        <v>2088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706</v>
      </c>
      <c r="B14" s="14" t="s">
        <v>761</v>
      </c>
      <c r="C14" s="75">
        <v>9211</v>
      </c>
      <c r="D14" s="14" t="s">
        <v>764</v>
      </c>
      <c r="E14" s="14" t="s">
        <v>416</v>
      </c>
      <c r="F14" s="14" t="s">
        <v>1277</v>
      </c>
      <c r="G14" s="14" t="s">
        <v>326</v>
      </c>
      <c r="H14" s="14"/>
      <c r="I14" s="14" t="s">
        <v>2108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872</v>
      </c>
      <c r="B15" s="14" t="s">
        <v>909</v>
      </c>
      <c r="C15" s="56">
        <v>9860</v>
      </c>
      <c r="D15" s="14" t="s">
        <v>910</v>
      </c>
      <c r="E15" s="14" t="s">
        <v>416</v>
      </c>
      <c r="F15" s="14" t="s">
        <v>1368</v>
      </c>
      <c r="G15" s="14" t="s">
        <v>97</v>
      </c>
      <c r="H15" s="14"/>
      <c r="I15" s="14" t="s">
        <v>2057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771</v>
      </c>
      <c r="B16" s="14" t="s">
        <v>852</v>
      </c>
      <c r="C16" s="75">
        <v>9275</v>
      </c>
      <c r="D16" s="14" t="s">
        <v>853</v>
      </c>
      <c r="E16" s="14" t="s">
        <v>416</v>
      </c>
      <c r="F16" s="12" t="s">
        <v>1476</v>
      </c>
      <c r="G16" s="14" t="s">
        <v>137</v>
      </c>
      <c r="H16" s="14"/>
      <c r="I16" s="14" t="s">
        <v>2079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2089</v>
      </c>
      <c r="B17" s="14" t="s">
        <v>476</v>
      </c>
      <c r="C17" s="19">
        <v>9473</v>
      </c>
      <c r="D17" s="14" t="s">
        <v>477</v>
      </c>
      <c r="E17" s="14" t="s">
        <v>416</v>
      </c>
      <c r="F17" s="12" t="s">
        <v>1107</v>
      </c>
      <c r="G17" s="14" t="s">
        <v>144</v>
      </c>
      <c r="H17" s="14"/>
      <c r="I17" s="14" t="s">
        <v>2039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2089</v>
      </c>
      <c r="B18" s="14" t="s">
        <v>504</v>
      </c>
      <c r="C18" s="19">
        <v>9461</v>
      </c>
      <c r="D18" s="14" t="s">
        <v>506</v>
      </c>
      <c r="E18" s="14" t="s">
        <v>416</v>
      </c>
      <c r="F18" s="12" t="s">
        <v>1131</v>
      </c>
      <c r="G18" s="14" t="s">
        <v>253</v>
      </c>
      <c r="H18" s="14"/>
      <c r="I18" s="14" t="s">
        <v>2049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581</v>
      </c>
      <c r="B19" s="21" t="s">
        <v>617</v>
      </c>
      <c r="C19" s="75">
        <v>9859</v>
      </c>
      <c r="D19" s="14" t="s">
        <v>2055</v>
      </c>
      <c r="E19" s="14" t="s">
        <v>416</v>
      </c>
      <c r="F19" s="14" t="s">
        <v>1203</v>
      </c>
      <c r="G19" s="14" t="s">
        <v>383</v>
      </c>
      <c r="H19" s="14"/>
      <c r="I19" s="14" t="s">
        <v>2054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523</v>
      </c>
      <c r="B20" s="14" t="s">
        <v>553</v>
      </c>
      <c r="C20" s="24">
        <v>9381</v>
      </c>
      <c r="D20" s="54" t="s">
        <v>554</v>
      </c>
      <c r="E20" s="54" t="s">
        <v>416</v>
      </c>
      <c r="F20" s="54" t="s">
        <v>1161</v>
      </c>
      <c r="G20" s="54" t="s">
        <v>339</v>
      </c>
      <c r="H20" s="54"/>
      <c r="I20" s="14" t="s">
        <v>2080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462</v>
      </c>
      <c r="B21" s="14" t="s">
        <v>484</v>
      </c>
      <c r="C21" s="75">
        <v>9479</v>
      </c>
      <c r="D21" s="14" t="s">
        <v>485</v>
      </c>
      <c r="E21" s="14" t="s">
        <v>416</v>
      </c>
      <c r="F21" s="14" t="s">
        <v>1113</v>
      </c>
      <c r="G21" s="14" t="s">
        <v>139</v>
      </c>
      <c r="H21" s="14"/>
      <c r="I21" s="14" t="s">
        <v>2053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642</v>
      </c>
      <c r="B22" s="14" t="s">
        <v>683</v>
      </c>
      <c r="C22" s="75">
        <v>9222</v>
      </c>
      <c r="D22" s="54" t="s">
        <v>685</v>
      </c>
      <c r="E22" s="14" t="s">
        <v>416</v>
      </c>
      <c r="F22" s="14" t="s">
        <v>1230</v>
      </c>
      <c r="G22" s="14" t="s">
        <v>290</v>
      </c>
      <c r="H22" s="14"/>
      <c r="I22" s="14" t="s">
        <v>2048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642</v>
      </c>
      <c r="B23" s="14" t="s">
        <v>683</v>
      </c>
      <c r="C23" s="65">
        <v>9222</v>
      </c>
      <c r="D23" s="14" t="s">
        <v>686</v>
      </c>
      <c r="E23" s="14" t="s">
        <v>416</v>
      </c>
      <c r="F23" s="14" t="s">
        <v>1231</v>
      </c>
      <c r="G23" s="14" t="s">
        <v>311</v>
      </c>
      <c r="H23" s="14"/>
      <c r="I23" s="14" t="s">
        <v>2042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642</v>
      </c>
      <c r="B24" s="14" t="s">
        <v>661</v>
      </c>
      <c r="C24" s="19">
        <v>9914</v>
      </c>
      <c r="D24" s="14" t="s">
        <v>662</v>
      </c>
      <c r="E24" s="14" t="s">
        <v>416</v>
      </c>
      <c r="F24" s="14" t="s">
        <v>1216</v>
      </c>
      <c r="G24" s="14" t="s">
        <v>255</v>
      </c>
      <c r="H24" s="14"/>
      <c r="I24" s="14" t="s">
        <v>2081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946</v>
      </c>
      <c r="B26" s="53" t="s">
        <v>1050</v>
      </c>
      <c r="C26" s="19">
        <v>9650</v>
      </c>
      <c r="D26" s="53" t="s">
        <v>1051</v>
      </c>
      <c r="E26" s="53" t="s">
        <v>420</v>
      </c>
      <c r="F26" s="53" t="s">
        <v>1464</v>
      </c>
      <c r="G26" s="53" t="s">
        <v>121</v>
      </c>
      <c r="H26" s="53"/>
      <c r="I26" s="71" t="s">
        <v>2107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706</v>
      </c>
      <c r="B27" s="14" t="s">
        <v>856</v>
      </c>
      <c r="C27" s="73">
        <v>9289</v>
      </c>
      <c r="D27" s="14" t="s">
        <v>858</v>
      </c>
      <c r="E27" s="14" t="s">
        <v>416</v>
      </c>
      <c r="F27" s="14" t="s">
        <v>1336</v>
      </c>
      <c r="G27" s="14"/>
      <c r="H27" s="14"/>
      <c r="I27" s="14" t="s">
        <v>2113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706</v>
      </c>
      <c r="B28" s="14" t="s">
        <v>807</v>
      </c>
      <c r="C28" s="19">
        <v>9395</v>
      </c>
      <c r="D28" s="14" t="s">
        <v>808</v>
      </c>
      <c r="E28" s="14" t="s">
        <v>416</v>
      </c>
      <c r="F28" s="14" t="s">
        <v>1306</v>
      </c>
      <c r="G28" s="14" t="s">
        <v>341</v>
      </c>
      <c r="H28" s="14"/>
      <c r="I28" s="69" t="s">
        <v>2119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706</v>
      </c>
      <c r="B29" s="53" t="s">
        <v>654</v>
      </c>
      <c r="C29" s="19">
        <v>9970</v>
      </c>
      <c r="D29" s="53" t="s">
        <v>656</v>
      </c>
      <c r="E29" s="53" t="s">
        <v>416</v>
      </c>
      <c r="F29" s="53" t="s">
        <v>1214</v>
      </c>
      <c r="G29" s="53" t="s">
        <v>197</v>
      </c>
      <c r="H29" s="53"/>
      <c r="I29" s="74" t="s">
        <v>2121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706</v>
      </c>
      <c r="B30" s="14" t="s">
        <v>654</v>
      </c>
      <c r="C30" s="19">
        <v>9970</v>
      </c>
      <c r="D30" s="14" t="s">
        <v>655</v>
      </c>
      <c r="E30" s="14" t="s">
        <v>420</v>
      </c>
      <c r="F30" s="14" t="s">
        <v>1213</v>
      </c>
      <c r="G30" s="14" t="s">
        <v>76</v>
      </c>
      <c r="H30" s="14"/>
      <c r="I30" s="74" t="s">
        <v>2122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706</v>
      </c>
      <c r="B31" s="14" t="s">
        <v>840</v>
      </c>
      <c r="C31" s="73">
        <v>9225</v>
      </c>
      <c r="D31" s="14" t="s">
        <v>842</v>
      </c>
      <c r="E31" s="14" t="s">
        <v>416</v>
      </c>
      <c r="F31" s="14" t="s">
        <v>1328</v>
      </c>
      <c r="G31" s="14" t="s">
        <v>145</v>
      </c>
      <c r="H31" s="14"/>
      <c r="I31" s="14" t="s">
        <v>2111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2089</v>
      </c>
      <c r="B32" s="21" t="s">
        <v>571</v>
      </c>
      <c r="C32" s="25">
        <v>9390</v>
      </c>
      <c r="D32" s="54" t="s">
        <v>572</v>
      </c>
      <c r="E32" s="16" t="s">
        <v>416</v>
      </c>
      <c r="F32" s="54" t="s">
        <v>1173</v>
      </c>
      <c r="G32" s="16" t="s">
        <v>346</v>
      </c>
      <c r="H32" s="16"/>
      <c r="I32" s="69" t="s">
        <v>2087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2089</v>
      </c>
      <c r="B33" s="14" t="s">
        <v>571</v>
      </c>
      <c r="C33" s="24">
        <v>9390</v>
      </c>
      <c r="D33" s="54" t="s">
        <v>577</v>
      </c>
      <c r="E33" s="54" t="s">
        <v>420</v>
      </c>
      <c r="F33" s="54" t="s">
        <v>1176</v>
      </c>
      <c r="G33" s="54" t="s">
        <v>24</v>
      </c>
      <c r="H33" s="54"/>
      <c r="I33" s="69" t="s">
        <v>2087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642</v>
      </c>
      <c r="B34" s="14" t="s">
        <v>697</v>
      </c>
      <c r="C34" s="68">
        <v>9216</v>
      </c>
      <c r="D34" s="14" t="s">
        <v>698</v>
      </c>
      <c r="E34" s="14" t="s">
        <v>416</v>
      </c>
      <c r="F34" s="14" t="s">
        <v>1237</v>
      </c>
      <c r="G34" s="14" t="s">
        <v>78</v>
      </c>
      <c r="H34" s="14"/>
      <c r="I34" s="49" t="s">
        <v>2128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642</v>
      </c>
      <c r="B35" s="14" t="s">
        <v>697</v>
      </c>
      <c r="C35" s="73">
        <v>9216</v>
      </c>
      <c r="D35" s="14" t="s">
        <v>699</v>
      </c>
      <c r="E35" s="14" t="s">
        <v>420</v>
      </c>
      <c r="F35" s="14" t="s">
        <v>1238</v>
      </c>
      <c r="G35" s="14" t="s">
        <v>156</v>
      </c>
      <c r="H35" s="14"/>
      <c r="I35" s="49" t="s">
        <v>2128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706</v>
      </c>
      <c r="B36" s="14" t="s">
        <v>801</v>
      </c>
      <c r="C36" s="19">
        <v>9271</v>
      </c>
      <c r="D36" s="14" t="s">
        <v>2100</v>
      </c>
      <c r="E36" s="14" t="s">
        <v>416</v>
      </c>
      <c r="F36" s="14" t="s">
        <v>806</v>
      </c>
      <c r="G36" s="14"/>
      <c r="H36" s="14"/>
      <c r="I36" s="14" t="s">
        <v>2131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946</v>
      </c>
      <c r="B37" s="14" t="s">
        <v>1042</v>
      </c>
      <c r="C37" s="73">
        <v>9510</v>
      </c>
      <c r="D37" s="14" t="s">
        <v>1043</v>
      </c>
      <c r="E37" s="14" t="s">
        <v>416</v>
      </c>
      <c r="F37" s="14" t="s">
        <v>1456</v>
      </c>
      <c r="G37" s="14" t="s">
        <v>43</v>
      </c>
      <c r="H37" s="14"/>
      <c r="I37" s="57" t="s">
        <v>2106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706</v>
      </c>
      <c r="B38" s="14" t="s">
        <v>779</v>
      </c>
      <c r="C38" s="19">
        <v>9908</v>
      </c>
      <c r="D38" s="14" t="s">
        <v>780</v>
      </c>
      <c r="E38" s="14" t="s">
        <v>416</v>
      </c>
      <c r="F38" s="14" t="s">
        <v>1287</v>
      </c>
      <c r="G38" s="14" t="s">
        <v>321</v>
      </c>
      <c r="H38" s="14"/>
      <c r="I38" s="14" t="s">
        <v>2138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2089</v>
      </c>
      <c r="B39" s="14" t="s">
        <v>639</v>
      </c>
      <c r="C39" s="78">
        <v>9858</v>
      </c>
      <c r="D39" s="14" t="s">
        <v>640</v>
      </c>
      <c r="E39" s="14" t="s">
        <v>416</v>
      </c>
      <c r="F39" s="14" t="s">
        <v>1205</v>
      </c>
      <c r="G39" s="14" t="s">
        <v>334</v>
      </c>
      <c r="H39" s="14"/>
      <c r="I39" s="14" t="s">
        <v>2141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872</v>
      </c>
      <c r="B41" s="14" t="s">
        <v>920</v>
      </c>
      <c r="C41" s="73">
        <v>9817</v>
      </c>
      <c r="D41" s="14" t="s">
        <v>923</v>
      </c>
      <c r="E41" s="14" t="s">
        <v>416</v>
      </c>
      <c r="F41" s="14" t="s">
        <v>1381</v>
      </c>
      <c r="G41" s="14" t="s">
        <v>222</v>
      </c>
      <c r="H41" s="14"/>
      <c r="I41" s="14" t="s">
        <v>2142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2089</v>
      </c>
      <c r="B42" s="14" t="s">
        <v>501</v>
      </c>
      <c r="C42" s="79">
        <v>9470</v>
      </c>
      <c r="D42" s="14" t="s">
        <v>502</v>
      </c>
      <c r="E42" s="14" t="s">
        <v>416</v>
      </c>
      <c r="F42" s="14" t="s">
        <v>1126</v>
      </c>
      <c r="G42" s="14" t="s">
        <v>47</v>
      </c>
      <c r="H42" s="14"/>
      <c r="I42" s="57" t="s">
        <v>2143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872</v>
      </c>
      <c r="B43" s="14" t="s">
        <v>924</v>
      </c>
      <c r="C43" s="81">
        <v>9878</v>
      </c>
      <c r="D43" s="14" t="s">
        <v>926</v>
      </c>
      <c r="E43" s="14" t="s">
        <v>416</v>
      </c>
      <c r="F43" s="14" t="s">
        <v>1383</v>
      </c>
      <c r="G43" s="14" t="s">
        <v>159</v>
      </c>
      <c r="H43" s="14"/>
      <c r="I43" s="57" t="s">
        <v>2144</v>
      </c>
    </row>
    <row r="44" spans="1:72" s="7" customFormat="1" ht="13.5" customHeight="1" x14ac:dyDescent="0.25">
      <c r="A44" s="14" t="s">
        <v>872</v>
      </c>
      <c r="B44" s="14" t="s">
        <v>918</v>
      </c>
      <c r="C44" s="81">
        <v>9813</v>
      </c>
      <c r="D44" s="14" t="s">
        <v>2117</v>
      </c>
      <c r="E44" s="14" t="s">
        <v>416</v>
      </c>
      <c r="F44" s="14" t="s">
        <v>1374</v>
      </c>
      <c r="G44" s="14"/>
      <c r="H44" s="14"/>
      <c r="I44" s="14" t="s">
        <v>2145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872</v>
      </c>
      <c r="B45" s="14" t="s">
        <v>876</v>
      </c>
      <c r="C45" s="19">
        <v>9857</v>
      </c>
      <c r="D45" s="14" t="s">
        <v>877</v>
      </c>
      <c r="E45" s="14" t="s">
        <v>416</v>
      </c>
      <c r="F45" s="14" t="s">
        <v>1347</v>
      </c>
      <c r="G45" s="14" t="s">
        <v>171</v>
      </c>
      <c r="H45" s="14"/>
      <c r="I45" s="14" t="s">
        <v>2146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872</v>
      </c>
      <c r="B46" s="21" t="s">
        <v>885</v>
      </c>
      <c r="C46" s="19">
        <v>9815</v>
      </c>
      <c r="D46" s="14" t="s">
        <v>888</v>
      </c>
      <c r="E46" s="15" t="s">
        <v>416</v>
      </c>
      <c r="F46" s="14" t="s">
        <v>1355</v>
      </c>
      <c r="G46" s="1" t="s">
        <v>347</v>
      </c>
      <c r="H46" s="1"/>
      <c r="I46" s="57" t="s">
        <v>2147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2089</v>
      </c>
      <c r="B47" s="14" t="s">
        <v>597</v>
      </c>
      <c r="C47" s="19">
        <v>9831</v>
      </c>
      <c r="D47" s="14" t="s">
        <v>599</v>
      </c>
      <c r="E47" s="14" t="s">
        <v>416</v>
      </c>
      <c r="F47" s="14" t="s">
        <v>1184</v>
      </c>
      <c r="G47" s="14" t="s">
        <v>2097</v>
      </c>
      <c r="H47" s="14"/>
      <c r="I47" s="15" t="s">
        <v>2148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642</v>
      </c>
      <c r="B48" s="14" t="s">
        <v>746</v>
      </c>
      <c r="C48" s="82" t="s">
        <v>748</v>
      </c>
      <c r="D48" s="14" t="s">
        <v>749</v>
      </c>
      <c r="E48" s="14" t="s">
        <v>416</v>
      </c>
      <c r="F48" s="14" t="s">
        <v>1269</v>
      </c>
      <c r="G48" s="14" t="s">
        <v>332</v>
      </c>
      <c r="H48" s="14"/>
      <c r="I48" s="14" t="s">
        <v>2149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946</v>
      </c>
      <c r="B49" s="14" t="s">
        <v>956</v>
      </c>
      <c r="C49" s="19">
        <v>9560</v>
      </c>
      <c r="D49" s="10" t="s">
        <v>957</v>
      </c>
      <c r="E49" s="14" t="s">
        <v>416</v>
      </c>
      <c r="F49" s="14" t="s">
        <v>958</v>
      </c>
      <c r="G49" s="15" t="s">
        <v>19</v>
      </c>
      <c r="H49" s="15"/>
      <c r="I49" s="14" t="s">
        <v>2150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946</v>
      </c>
      <c r="B50" s="14" t="s">
        <v>956</v>
      </c>
      <c r="C50" s="19">
        <v>9560</v>
      </c>
      <c r="D50" s="14" t="s">
        <v>960</v>
      </c>
      <c r="E50" s="14" t="s">
        <v>420</v>
      </c>
      <c r="F50" s="14" t="s">
        <v>1405</v>
      </c>
      <c r="G50" s="14"/>
      <c r="H50" s="14"/>
      <c r="I50" s="14" t="s">
        <v>2151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946</v>
      </c>
      <c r="B51" s="14" t="s">
        <v>999</v>
      </c>
      <c r="C51" s="73">
        <v>9610</v>
      </c>
      <c r="D51" s="14" t="s">
        <v>1002</v>
      </c>
      <c r="E51" s="14" t="s">
        <v>416</v>
      </c>
      <c r="F51" s="14" t="s">
        <v>1407</v>
      </c>
      <c r="G51" s="14" t="s">
        <v>243</v>
      </c>
      <c r="H51" s="14"/>
      <c r="I51" s="14" t="s">
        <v>2152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872</v>
      </c>
      <c r="B52" s="53" t="s">
        <v>429</v>
      </c>
      <c r="C52" s="19">
        <v>9836</v>
      </c>
      <c r="D52" s="53" t="s">
        <v>451</v>
      </c>
      <c r="E52" s="53" t="s">
        <v>416</v>
      </c>
      <c r="F52" s="53" t="s">
        <v>1092</v>
      </c>
      <c r="G52" s="53" t="s">
        <v>378</v>
      </c>
      <c r="H52" s="53"/>
      <c r="I52" s="57" t="s">
        <v>2153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872</v>
      </c>
      <c r="B53" s="21" t="s">
        <v>431</v>
      </c>
      <c r="C53" s="78">
        <v>9837</v>
      </c>
      <c r="D53" s="14" t="s">
        <v>454</v>
      </c>
      <c r="E53" s="14" t="s">
        <v>416</v>
      </c>
      <c r="F53" s="14" t="s">
        <v>1093</v>
      </c>
      <c r="G53" s="14" t="s">
        <v>389</v>
      </c>
      <c r="H53" s="14"/>
      <c r="I53" s="15" t="s">
        <v>2154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706</v>
      </c>
      <c r="B54" s="21" t="s">
        <v>668</v>
      </c>
      <c r="C54" s="19">
        <v>9941</v>
      </c>
      <c r="D54" s="54" t="s">
        <v>669</v>
      </c>
      <c r="E54" s="15" t="s">
        <v>670</v>
      </c>
      <c r="F54" s="14" t="s">
        <v>1220</v>
      </c>
      <c r="G54" s="15" t="s">
        <v>372</v>
      </c>
      <c r="H54" s="15"/>
      <c r="I54" s="49" t="s">
        <v>2120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706</v>
      </c>
      <c r="B55" s="84" t="s">
        <v>859</v>
      </c>
      <c r="C55" s="85">
        <v>9933</v>
      </c>
      <c r="D55" s="84" t="s">
        <v>860</v>
      </c>
      <c r="E55" s="84" t="s">
        <v>416</v>
      </c>
      <c r="F55" s="84" t="s">
        <v>1337</v>
      </c>
      <c r="G55" s="84" t="s">
        <v>251</v>
      </c>
      <c r="H55" s="84"/>
      <c r="I55" s="86" t="s">
        <v>2120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462</v>
      </c>
      <c r="B56" s="70" t="s">
        <v>491</v>
      </c>
      <c r="C56" s="70">
        <v>9420</v>
      </c>
      <c r="D56" s="70" t="s">
        <v>1640</v>
      </c>
      <c r="E56" s="70" t="s">
        <v>420</v>
      </c>
      <c r="F56" s="70" t="s">
        <v>1971</v>
      </c>
      <c r="G56" s="70" t="s">
        <v>1641</v>
      </c>
      <c r="H56" s="70"/>
      <c r="I56" s="70" t="s">
        <v>1642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642</v>
      </c>
      <c r="B57" s="14" t="s">
        <v>692</v>
      </c>
      <c r="C57" s="83">
        <v>9217</v>
      </c>
      <c r="D57" s="14" t="s">
        <v>694</v>
      </c>
      <c r="E57" s="14" t="s">
        <v>2135</v>
      </c>
      <c r="F57" s="14" t="s">
        <v>2136</v>
      </c>
      <c r="G57" s="14" t="s">
        <v>101</v>
      </c>
      <c r="H57" s="14"/>
      <c r="I57" s="14" t="s">
        <v>2160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642</v>
      </c>
      <c r="B58" s="14" t="s">
        <v>692</v>
      </c>
      <c r="C58" s="83">
        <v>9217</v>
      </c>
      <c r="D58" s="14" t="s">
        <v>693</v>
      </c>
      <c r="E58" s="14" t="s">
        <v>420</v>
      </c>
      <c r="F58" s="14" t="s">
        <v>1235</v>
      </c>
      <c r="G58" s="14" t="s">
        <v>58</v>
      </c>
      <c r="H58" s="14"/>
      <c r="I58" s="14" t="s">
        <v>2181</v>
      </c>
    </row>
    <row r="59" spans="1:72" s="6" customFormat="1" ht="13.5" customHeight="1" x14ac:dyDescent="0.25">
      <c r="A59" s="14" t="s">
        <v>642</v>
      </c>
      <c r="B59" s="14" t="s">
        <v>692</v>
      </c>
      <c r="C59" s="83">
        <v>9217</v>
      </c>
      <c r="D59" s="8" t="s">
        <v>2085</v>
      </c>
      <c r="E59" s="14" t="s">
        <v>416</v>
      </c>
      <c r="F59" s="14" t="s">
        <v>2076</v>
      </c>
      <c r="G59" s="14" t="s">
        <v>2077</v>
      </c>
      <c r="H59" s="14"/>
      <c r="I59" s="93" t="s">
        <v>2182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2089</v>
      </c>
      <c r="B62" s="14" t="s">
        <v>536</v>
      </c>
      <c r="C62" s="23">
        <v>9374</v>
      </c>
      <c r="D62" s="54" t="s">
        <v>537</v>
      </c>
      <c r="E62" s="54" t="s">
        <v>416</v>
      </c>
      <c r="F62" s="54" t="s">
        <v>538</v>
      </c>
      <c r="G62" s="54" t="s">
        <v>208</v>
      </c>
      <c r="H62" s="54"/>
      <c r="I62" s="8" t="s">
        <v>2183</v>
      </c>
    </row>
    <row r="63" spans="1:72" s="6" customFormat="1" ht="13.5" customHeight="1" x14ac:dyDescent="0.25">
      <c r="A63" s="14" t="s">
        <v>706</v>
      </c>
      <c r="B63" s="14" t="s">
        <v>817</v>
      </c>
      <c r="C63" s="83">
        <v>9233</v>
      </c>
      <c r="D63" s="14" t="s">
        <v>818</v>
      </c>
      <c r="E63" s="14" t="s">
        <v>420</v>
      </c>
      <c r="F63" s="14" t="s">
        <v>1313</v>
      </c>
      <c r="G63" s="14" t="s">
        <v>95</v>
      </c>
      <c r="H63" s="14"/>
      <c r="I63" s="14" t="s">
        <v>2184</v>
      </c>
    </row>
    <row r="64" spans="1:72" s="60" customFormat="1" ht="13.5" customHeight="1" x14ac:dyDescent="0.25">
      <c r="A64" s="14" t="s">
        <v>2089</v>
      </c>
      <c r="B64" s="14" t="s">
        <v>465</v>
      </c>
      <c r="C64" s="19">
        <v>9471</v>
      </c>
      <c r="D64" s="14" t="s">
        <v>467</v>
      </c>
      <c r="E64" s="14" t="s">
        <v>416</v>
      </c>
      <c r="F64" s="14" t="s">
        <v>1100</v>
      </c>
      <c r="G64" s="14" t="s">
        <v>184</v>
      </c>
      <c r="H64" s="14"/>
      <c r="I64" s="57" t="s">
        <v>2185</v>
      </c>
    </row>
    <row r="65" spans="1:9" s="6" customFormat="1" ht="13.5" customHeight="1" x14ac:dyDescent="0.25">
      <c r="A65" s="14" t="s">
        <v>2089</v>
      </c>
      <c r="B65" s="14" t="s">
        <v>488</v>
      </c>
      <c r="C65" s="91">
        <v>9420</v>
      </c>
      <c r="D65" s="14" t="s">
        <v>489</v>
      </c>
      <c r="E65" s="14" t="s">
        <v>416</v>
      </c>
      <c r="F65" s="14" t="s">
        <v>1115</v>
      </c>
      <c r="G65" s="14" t="s">
        <v>100</v>
      </c>
      <c r="H65" s="14"/>
      <c r="I65" s="14" t="s">
        <v>2186</v>
      </c>
    </row>
    <row r="66" spans="1:9" s="6" customFormat="1" ht="13.5" customHeight="1" x14ac:dyDescent="0.25">
      <c r="A66" s="53" t="s">
        <v>872</v>
      </c>
      <c r="B66" s="14" t="s">
        <v>426</v>
      </c>
      <c r="C66" s="19">
        <v>9855</v>
      </c>
      <c r="D66" s="14" t="s">
        <v>427</v>
      </c>
      <c r="E66" s="14" t="s">
        <v>416</v>
      </c>
      <c r="F66" s="14" t="s">
        <v>1076</v>
      </c>
      <c r="G66" s="14" t="s">
        <v>142</v>
      </c>
      <c r="H66" s="14"/>
      <c r="I66" s="14" t="s">
        <v>2187</v>
      </c>
    </row>
    <row r="67" spans="1:9" s="6" customFormat="1" ht="13.5" customHeight="1" x14ac:dyDescent="0.25">
      <c r="A67" s="14" t="s">
        <v>2089</v>
      </c>
      <c r="B67" s="14" t="s">
        <v>468</v>
      </c>
      <c r="C67" s="19">
        <v>9440</v>
      </c>
      <c r="D67" s="54" t="s">
        <v>470</v>
      </c>
      <c r="E67" s="14" t="s">
        <v>416</v>
      </c>
      <c r="F67" s="14" t="s">
        <v>1103</v>
      </c>
      <c r="G67" s="14" t="s">
        <v>133</v>
      </c>
      <c r="H67" s="14"/>
      <c r="I67" s="14" t="s">
        <v>2188</v>
      </c>
    </row>
    <row r="68" spans="1:9" s="6" customFormat="1" ht="13.5" customHeight="1" x14ac:dyDescent="0.25">
      <c r="A68" s="14" t="s">
        <v>2089</v>
      </c>
      <c r="B68" s="14" t="s">
        <v>509</v>
      </c>
      <c r="C68" s="91">
        <v>9472</v>
      </c>
      <c r="D68" s="14" t="s">
        <v>510</v>
      </c>
      <c r="E68" s="14" t="s">
        <v>416</v>
      </c>
      <c r="F68" s="14" t="s">
        <v>1134</v>
      </c>
      <c r="G68" s="10" t="s">
        <v>126</v>
      </c>
      <c r="H68" s="10"/>
      <c r="I68" s="14" t="s">
        <v>2189</v>
      </c>
    </row>
    <row r="69" spans="1:9" s="6" customFormat="1" ht="13.5" customHeight="1" x14ac:dyDescent="0.25">
      <c r="A69" s="14" t="s">
        <v>2089</v>
      </c>
      <c r="B69" s="21" t="s">
        <v>611</v>
      </c>
      <c r="C69" s="19">
        <v>9408</v>
      </c>
      <c r="D69" s="14" t="s">
        <v>613</v>
      </c>
      <c r="E69" s="15" t="s">
        <v>416</v>
      </c>
      <c r="F69" s="14" t="s">
        <v>1189</v>
      </c>
      <c r="G69" s="15" t="s">
        <v>373</v>
      </c>
      <c r="H69" s="15"/>
      <c r="I69" s="14" t="s">
        <v>2190</v>
      </c>
    </row>
    <row r="70" spans="1:9" s="6" customFormat="1" ht="13.5" customHeight="1" x14ac:dyDescent="0.25">
      <c r="A70" s="14" t="s">
        <v>2089</v>
      </c>
      <c r="B70" s="14" t="s">
        <v>611</v>
      </c>
      <c r="C70" s="19">
        <v>9408</v>
      </c>
      <c r="D70" s="14" t="s">
        <v>612</v>
      </c>
      <c r="E70" s="14" t="s">
        <v>416</v>
      </c>
      <c r="F70" s="14" t="s">
        <v>1188</v>
      </c>
      <c r="G70" s="14" t="s">
        <v>337</v>
      </c>
      <c r="H70" s="14"/>
      <c r="I70" s="14" t="s">
        <v>2188</v>
      </c>
    </row>
    <row r="71" spans="1:9" s="6" customFormat="1" ht="13.5" customHeight="1" x14ac:dyDescent="0.25">
      <c r="A71" s="14" t="s">
        <v>2089</v>
      </c>
      <c r="B71" s="14" t="s">
        <v>603</v>
      </c>
      <c r="C71" s="19">
        <v>9833</v>
      </c>
      <c r="D71" s="14" t="s">
        <v>606</v>
      </c>
      <c r="E71" s="14" t="s">
        <v>420</v>
      </c>
      <c r="F71" s="14" t="s">
        <v>1187</v>
      </c>
      <c r="G71" s="14"/>
      <c r="H71" s="14"/>
      <c r="I71" s="14" t="s">
        <v>2191</v>
      </c>
    </row>
    <row r="72" spans="1:9" s="6" customFormat="1" ht="13.5" customHeight="1" x14ac:dyDescent="0.25">
      <c r="A72" s="15" t="s">
        <v>872</v>
      </c>
      <c r="B72" s="21" t="s">
        <v>932</v>
      </c>
      <c r="C72" s="22">
        <v>9824</v>
      </c>
      <c r="D72" s="14" t="s">
        <v>934</v>
      </c>
      <c r="E72" s="15" t="s">
        <v>416</v>
      </c>
      <c r="F72" s="14" t="s">
        <v>1389</v>
      </c>
      <c r="G72" s="15" t="s">
        <v>362</v>
      </c>
      <c r="H72" s="15"/>
      <c r="I72" s="14" t="s">
        <v>2192</v>
      </c>
    </row>
    <row r="73" spans="1:9" s="6" customFormat="1" ht="13.5" customHeight="1" x14ac:dyDescent="0.25">
      <c r="A73" s="14" t="s">
        <v>946</v>
      </c>
      <c r="B73" s="14" t="s">
        <v>1003</v>
      </c>
      <c r="C73" s="83">
        <v>9599</v>
      </c>
      <c r="D73" s="14" t="s">
        <v>1004</v>
      </c>
      <c r="E73" s="14" t="s">
        <v>416</v>
      </c>
      <c r="F73" s="14" t="s">
        <v>1436</v>
      </c>
      <c r="G73" s="14" t="s">
        <v>72</v>
      </c>
      <c r="H73" s="14"/>
      <c r="I73" s="69" t="s">
        <v>2193</v>
      </c>
    </row>
    <row r="74" spans="1:9" s="6" customFormat="1" ht="13.5" customHeight="1" x14ac:dyDescent="0.25">
      <c r="A74" s="14" t="s">
        <v>642</v>
      </c>
      <c r="B74" s="14" t="s">
        <v>737</v>
      </c>
      <c r="C74" s="83">
        <v>9297</v>
      </c>
      <c r="D74" s="14" t="s">
        <v>739</v>
      </c>
      <c r="E74" s="14" t="s">
        <v>416</v>
      </c>
      <c r="F74" s="14" t="s">
        <v>1262</v>
      </c>
      <c r="G74" s="14" t="s">
        <v>301</v>
      </c>
      <c r="H74" s="14"/>
      <c r="I74" s="57" t="s">
        <v>2194</v>
      </c>
    </row>
    <row r="75" spans="1:9" s="6" customFormat="1" ht="13.5" customHeight="1" x14ac:dyDescent="0.25">
      <c r="A75" s="14" t="s">
        <v>946</v>
      </c>
      <c r="B75" s="14" t="s">
        <v>987</v>
      </c>
      <c r="C75" s="68">
        <v>9655</v>
      </c>
      <c r="D75" s="54" t="s">
        <v>991</v>
      </c>
      <c r="E75" s="54" t="s">
        <v>416</v>
      </c>
      <c r="F75" s="54" t="s">
        <v>1428</v>
      </c>
      <c r="G75" s="54" t="s">
        <v>286</v>
      </c>
      <c r="H75" s="54"/>
      <c r="I75" s="14" t="s">
        <v>2200</v>
      </c>
    </row>
    <row r="76" spans="1:9" s="6" customFormat="1" ht="13.5" customHeight="1" x14ac:dyDescent="0.25">
      <c r="A76" s="16" t="s">
        <v>946</v>
      </c>
      <c r="B76" s="21" t="s">
        <v>976</v>
      </c>
      <c r="C76" s="24" t="s">
        <v>618</v>
      </c>
      <c r="D76" s="54" t="s">
        <v>977</v>
      </c>
      <c r="E76" s="16" t="s">
        <v>416</v>
      </c>
      <c r="F76" s="54" t="s">
        <v>1417</v>
      </c>
      <c r="G76" s="16" t="s">
        <v>357</v>
      </c>
      <c r="H76" s="16"/>
      <c r="I76" s="14" t="s">
        <v>2201</v>
      </c>
    </row>
    <row r="77" spans="1:9" s="6" customFormat="1" ht="13.5" customHeight="1" x14ac:dyDescent="0.25">
      <c r="A77" s="14" t="s">
        <v>946</v>
      </c>
      <c r="B77" s="53" t="s">
        <v>1050</v>
      </c>
      <c r="C77" s="19">
        <v>9650</v>
      </c>
      <c r="D77" s="53" t="s">
        <v>1052</v>
      </c>
      <c r="E77" s="53" t="s">
        <v>416</v>
      </c>
      <c r="F77" s="53" t="s">
        <v>1465</v>
      </c>
      <c r="G77" s="53" t="s">
        <v>237</v>
      </c>
      <c r="H77" s="53"/>
      <c r="I77" s="57" t="s">
        <v>2202</v>
      </c>
    </row>
    <row r="78" spans="1:9" s="6" customFormat="1" ht="13.5" customHeight="1" x14ac:dyDescent="0.25">
      <c r="A78" s="14" t="s">
        <v>946</v>
      </c>
      <c r="B78" s="21" t="s">
        <v>1042</v>
      </c>
      <c r="C78" s="73">
        <v>9510</v>
      </c>
      <c r="D78" s="14" t="s">
        <v>1045</v>
      </c>
      <c r="E78" s="14" t="s">
        <v>416</v>
      </c>
      <c r="F78" s="14" t="s">
        <v>1458</v>
      </c>
      <c r="G78" s="14" t="s">
        <v>391</v>
      </c>
      <c r="H78" s="53"/>
      <c r="I78" s="14" t="s">
        <v>2203</v>
      </c>
    </row>
    <row r="79" spans="1:9" s="6" customFormat="1" ht="13.5" customHeight="1" x14ac:dyDescent="0.25">
      <c r="A79" s="14" t="s">
        <v>706</v>
      </c>
      <c r="B79" s="21" t="s">
        <v>772</v>
      </c>
      <c r="C79" s="19">
        <v>9221</v>
      </c>
      <c r="D79" s="14" t="s">
        <v>774</v>
      </c>
      <c r="E79" s="14" t="s">
        <v>420</v>
      </c>
      <c r="F79" s="14" t="s">
        <v>1282</v>
      </c>
      <c r="G79" s="14" t="s">
        <v>130</v>
      </c>
      <c r="H79" s="53"/>
      <c r="I79" s="14" t="s">
        <v>2204</v>
      </c>
    </row>
    <row r="80" spans="1:9" s="6" customFormat="1" ht="13.5" customHeight="1" x14ac:dyDescent="0.25">
      <c r="A80" s="14" t="s">
        <v>642</v>
      </c>
      <c r="B80" s="14" t="s">
        <v>2140</v>
      </c>
      <c r="C80" s="94">
        <v>9292</v>
      </c>
      <c r="D80" s="14" t="s">
        <v>740</v>
      </c>
      <c r="E80" s="14" t="s">
        <v>420</v>
      </c>
      <c r="F80" s="14" t="s">
        <v>1263</v>
      </c>
      <c r="G80" s="14" t="s">
        <v>218</v>
      </c>
      <c r="H80" s="53"/>
      <c r="I80" s="14" t="s">
        <v>2205</v>
      </c>
    </row>
    <row r="81" spans="1:21" s="6" customFormat="1" ht="13.5" customHeight="1" x14ac:dyDescent="0.25">
      <c r="A81" s="15" t="s">
        <v>706</v>
      </c>
      <c r="B81" s="14" t="s">
        <v>791</v>
      </c>
      <c r="C81" s="19">
        <v>9441</v>
      </c>
      <c r="D81" s="14" t="s">
        <v>792</v>
      </c>
      <c r="E81" s="14" t="s">
        <v>420</v>
      </c>
      <c r="F81" s="14" t="s">
        <v>1294</v>
      </c>
      <c r="G81" s="14" t="s">
        <v>46</v>
      </c>
      <c r="H81" s="53"/>
      <c r="I81" s="14" t="s">
        <v>2206</v>
      </c>
    </row>
    <row r="82" spans="1:21" s="6" customFormat="1" ht="13.5" customHeight="1" x14ac:dyDescent="0.25">
      <c r="A82" s="14" t="s">
        <v>706</v>
      </c>
      <c r="B82" s="14" t="s">
        <v>801</v>
      </c>
      <c r="C82" s="19">
        <v>9271</v>
      </c>
      <c r="D82" s="14" t="s">
        <v>802</v>
      </c>
      <c r="E82" s="14" t="s">
        <v>420</v>
      </c>
      <c r="F82" s="14" t="s">
        <v>1301</v>
      </c>
      <c r="G82" s="14" t="s">
        <v>203</v>
      </c>
      <c r="H82" s="53"/>
      <c r="I82" s="14" t="s">
        <v>2207</v>
      </c>
    </row>
    <row r="83" spans="1:21" s="6" customFormat="1" ht="13.5" customHeight="1" x14ac:dyDescent="0.25">
      <c r="A83" s="14" t="s">
        <v>706</v>
      </c>
      <c r="B83" s="14" t="s">
        <v>801</v>
      </c>
      <c r="C83" s="19">
        <v>9271</v>
      </c>
      <c r="D83" s="14" t="s">
        <v>2100</v>
      </c>
      <c r="E83" s="14" t="s">
        <v>416</v>
      </c>
      <c r="F83" s="80" t="s">
        <v>2130</v>
      </c>
      <c r="G83" s="14" t="s">
        <v>309</v>
      </c>
      <c r="H83" s="53"/>
      <c r="I83" s="80" t="s">
        <v>2208</v>
      </c>
    </row>
    <row r="84" spans="1:21" s="6" customFormat="1" ht="13.5" customHeight="1" x14ac:dyDescent="0.25">
      <c r="A84" s="14" t="s">
        <v>706</v>
      </c>
      <c r="B84" s="14" t="s">
        <v>801</v>
      </c>
      <c r="C84" s="19">
        <v>9271</v>
      </c>
      <c r="D84" s="14" t="s">
        <v>804</v>
      </c>
      <c r="E84" s="14" t="s">
        <v>416</v>
      </c>
      <c r="F84" s="14" t="s">
        <v>1303</v>
      </c>
      <c r="G84" s="14" t="s">
        <v>402</v>
      </c>
      <c r="H84" s="53"/>
      <c r="I84" s="14" t="s">
        <v>2209</v>
      </c>
    </row>
    <row r="85" spans="1:21" s="6" customFormat="1" ht="13.5" customHeight="1" x14ac:dyDescent="0.25">
      <c r="A85" s="14" t="s">
        <v>706</v>
      </c>
      <c r="B85" s="14" t="s">
        <v>811</v>
      </c>
      <c r="C85" s="19">
        <v>9231</v>
      </c>
      <c r="D85" s="14" t="s">
        <v>813</v>
      </c>
      <c r="E85" s="14" t="s">
        <v>420</v>
      </c>
      <c r="F85" s="14" t="s">
        <v>1309</v>
      </c>
      <c r="G85" s="14" t="s">
        <v>242</v>
      </c>
      <c r="H85" s="53"/>
      <c r="I85" s="14" t="s">
        <v>2210</v>
      </c>
    </row>
    <row r="86" spans="1:21" s="6" customFormat="1" ht="13.5" customHeight="1" x14ac:dyDescent="0.25">
      <c r="A86" s="14" t="s">
        <v>706</v>
      </c>
      <c r="B86" s="14" t="s">
        <v>836</v>
      </c>
      <c r="C86" s="83">
        <v>9284</v>
      </c>
      <c r="D86" s="14" t="s">
        <v>839</v>
      </c>
      <c r="E86" s="14" t="s">
        <v>420</v>
      </c>
      <c r="F86" s="14" t="s">
        <v>1326</v>
      </c>
      <c r="G86" s="14" t="s">
        <v>238</v>
      </c>
      <c r="H86" s="14"/>
      <c r="I86" s="14" t="s">
        <v>2215</v>
      </c>
    </row>
    <row r="87" spans="1:21" s="6" customFormat="1" ht="13.5" customHeight="1" x14ac:dyDescent="0.25">
      <c r="A87" s="54" t="s">
        <v>706</v>
      </c>
      <c r="B87" s="14" t="s">
        <v>821</v>
      </c>
      <c r="C87" s="24">
        <v>9291</v>
      </c>
      <c r="D87" s="54" t="s">
        <v>2101</v>
      </c>
      <c r="E87" s="14" t="s">
        <v>420</v>
      </c>
      <c r="F87" s="14" t="s">
        <v>1316</v>
      </c>
      <c r="G87" s="14" t="s">
        <v>276</v>
      </c>
      <c r="H87" s="14"/>
      <c r="I87" s="14" t="s">
        <v>2216</v>
      </c>
    </row>
    <row r="88" spans="1:21" s="6" customFormat="1" ht="13.5" customHeight="1" x14ac:dyDescent="0.25">
      <c r="A88" s="14" t="s">
        <v>706</v>
      </c>
      <c r="B88" s="14" t="s">
        <v>821</v>
      </c>
      <c r="C88" s="24">
        <v>9291</v>
      </c>
      <c r="D88" s="72" t="s">
        <v>821</v>
      </c>
      <c r="E88" s="14" t="s">
        <v>416</v>
      </c>
      <c r="F88" s="67" t="s">
        <v>1987</v>
      </c>
      <c r="G88" s="14" t="s">
        <v>2094</v>
      </c>
      <c r="H88" s="14"/>
      <c r="I88" s="8" t="s">
        <v>2222</v>
      </c>
    </row>
    <row r="89" spans="1:21" s="6" customFormat="1" ht="13.5" customHeight="1" x14ac:dyDescent="0.25">
      <c r="A89" s="14" t="s">
        <v>706</v>
      </c>
      <c r="B89" s="14" t="s">
        <v>825</v>
      </c>
      <c r="C89" s="94">
        <v>9227</v>
      </c>
      <c r="D89" s="14" t="s">
        <v>826</v>
      </c>
      <c r="E89" s="14" t="s">
        <v>416</v>
      </c>
      <c r="F89" s="14" t="s">
        <v>1317</v>
      </c>
      <c r="G89" s="14" t="s">
        <v>23</v>
      </c>
      <c r="H89" s="14"/>
      <c r="I89" s="13" t="s">
        <v>2223</v>
      </c>
    </row>
    <row r="90" spans="1:21" s="6" customFormat="1" ht="13.5" customHeight="1" x14ac:dyDescent="0.25">
      <c r="A90" s="14" t="s">
        <v>2089</v>
      </c>
      <c r="B90" s="14" t="s">
        <v>594</v>
      </c>
      <c r="C90" s="19">
        <v>9838</v>
      </c>
      <c r="D90" s="14" t="s">
        <v>596</v>
      </c>
      <c r="E90" s="14" t="s">
        <v>416</v>
      </c>
      <c r="F90" s="14" t="s">
        <v>1183</v>
      </c>
      <c r="G90" s="14" t="s">
        <v>343</v>
      </c>
      <c r="H90" s="14"/>
      <c r="I90" s="14" t="s">
        <v>2224</v>
      </c>
    </row>
    <row r="91" spans="1:21" s="6" customFormat="1" ht="13.5" customHeight="1" x14ac:dyDescent="0.25">
      <c r="A91" s="14" t="s">
        <v>872</v>
      </c>
      <c r="B91" s="13" t="s">
        <v>911</v>
      </c>
      <c r="C91" s="94">
        <v>9820</v>
      </c>
      <c r="D91" s="14" t="s">
        <v>913</v>
      </c>
      <c r="E91" s="14" t="s">
        <v>416</v>
      </c>
      <c r="F91" s="14" t="s">
        <v>1369</v>
      </c>
      <c r="G91" s="14" t="s">
        <v>15</v>
      </c>
      <c r="H91" s="14"/>
      <c r="I91" s="14" t="s">
        <v>2225</v>
      </c>
    </row>
    <row r="92" spans="1:21" s="6" customFormat="1" ht="13.5" customHeight="1" x14ac:dyDescent="0.25">
      <c r="A92" s="14" t="s">
        <v>706</v>
      </c>
      <c r="B92" s="14" t="s">
        <v>831</v>
      </c>
      <c r="C92" s="94">
        <v>9249</v>
      </c>
      <c r="D92" s="14" t="s">
        <v>832</v>
      </c>
      <c r="E92" s="14" t="s">
        <v>416</v>
      </c>
      <c r="F92" s="14" t="s">
        <v>1321</v>
      </c>
      <c r="G92" s="14" t="s">
        <v>42</v>
      </c>
      <c r="H92" s="70"/>
      <c r="I92" s="12" t="s">
        <v>2227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706</v>
      </c>
      <c r="B93" s="14" t="s">
        <v>831</v>
      </c>
      <c r="C93" s="94">
        <v>9249</v>
      </c>
      <c r="D93" s="14" t="s">
        <v>833</v>
      </c>
      <c r="E93" s="14" t="s">
        <v>420</v>
      </c>
      <c r="F93" s="14" t="s">
        <v>1322</v>
      </c>
      <c r="G93" s="14" t="s">
        <v>146</v>
      </c>
      <c r="H93" s="3"/>
      <c r="I93" s="12" t="s">
        <v>2227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706</v>
      </c>
      <c r="B94" s="21" t="s">
        <v>864</v>
      </c>
      <c r="C94" s="22">
        <v>9964</v>
      </c>
      <c r="D94" s="14" t="s">
        <v>2102</v>
      </c>
      <c r="E94" s="15" t="s">
        <v>416</v>
      </c>
      <c r="F94" s="14" t="s">
        <v>1340</v>
      </c>
      <c r="G94" s="1" t="s">
        <v>354</v>
      </c>
      <c r="H94" s="1"/>
      <c r="I94" s="14" t="s">
        <v>2228</v>
      </c>
    </row>
    <row r="95" spans="1:21" s="6" customFormat="1" ht="13.5" customHeight="1" x14ac:dyDescent="0.25">
      <c r="A95" s="14" t="s">
        <v>642</v>
      </c>
      <c r="B95" s="14" t="s">
        <v>759</v>
      </c>
      <c r="C95" s="96">
        <v>9937</v>
      </c>
      <c r="D95" s="14" t="s">
        <v>760</v>
      </c>
      <c r="E95" s="14" t="s">
        <v>416</v>
      </c>
      <c r="F95" s="14" t="s">
        <v>1275</v>
      </c>
      <c r="G95" s="14" t="s">
        <v>302</v>
      </c>
      <c r="H95" s="1"/>
      <c r="I95" s="14" t="s">
        <v>2229</v>
      </c>
    </row>
    <row r="96" spans="1:21" s="6" customFormat="1" ht="13.5" customHeight="1" x14ac:dyDescent="0.25">
      <c r="A96" s="14" t="s">
        <v>946</v>
      </c>
      <c r="B96" s="14" t="s">
        <v>987</v>
      </c>
      <c r="C96" s="97">
        <v>9655</v>
      </c>
      <c r="D96" s="109" t="s">
        <v>994</v>
      </c>
      <c r="E96" s="54" t="s">
        <v>416</v>
      </c>
      <c r="F96" s="54" t="s">
        <v>995</v>
      </c>
      <c r="G96" s="54" t="s">
        <v>2045</v>
      </c>
      <c r="H96" s="1"/>
      <c r="I96" s="14" t="s">
        <v>2391</v>
      </c>
      <c r="J96" s="105"/>
      <c r="K96" s="105"/>
    </row>
    <row r="97" spans="1:12" s="6" customFormat="1" ht="13.5" customHeight="1" x14ac:dyDescent="0.25">
      <c r="A97" s="14" t="s">
        <v>946</v>
      </c>
      <c r="B97" s="14" t="s">
        <v>987</v>
      </c>
      <c r="C97" s="97">
        <v>9655</v>
      </c>
      <c r="D97" s="14" t="s">
        <v>988</v>
      </c>
      <c r="E97" s="14" t="s">
        <v>416</v>
      </c>
      <c r="F97" s="14" t="s">
        <v>1425</v>
      </c>
      <c r="G97" s="14" t="s">
        <v>51</v>
      </c>
      <c r="H97" s="1"/>
      <c r="I97" s="14" t="s">
        <v>2392</v>
      </c>
      <c r="J97" s="105"/>
      <c r="K97" s="105"/>
    </row>
    <row r="98" spans="1:12" s="6" customFormat="1" ht="13.5" customHeight="1" x14ac:dyDescent="0.25">
      <c r="A98" s="14" t="s">
        <v>642</v>
      </c>
      <c r="B98" s="14" t="s">
        <v>692</v>
      </c>
      <c r="C98" s="97">
        <v>9217</v>
      </c>
      <c r="D98" s="8" t="s">
        <v>2082</v>
      </c>
      <c r="E98" s="63" t="s">
        <v>416</v>
      </c>
      <c r="F98" s="64" t="s">
        <v>2084</v>
      </c>
      <c r="G98" s="64" t="s">
        <v>2083</v>
      </c>
      <c r="H98" s="1"/>
      <c r="I98" s="8" t="s">
        <v>2393</v>
      </c>
      <c r="J98" s="105"/>
      <c r="K98" s="105"/>
    </row>
    <row r="99" spans="1:12" s="6" customFormat="1" ht="13.5" customHeight="1" x14ac:dyDescent="0.25">
      <c r="A99" s="14" t="s">
        <v>706</v>
      </c>
      <c r="B99" s="14" t="s">
        <v>671</v>
      </c>
      <c r="C99" s="19">
        <v>9224</v>
      </c>
      <c r="D99" s="14" t="s">
        <v>674</v>
      </c>
      <c r="E99" s="14" t="s">
        <v>416</v>
      </c>
      <c r="F99" s="14" t="s">
        <v>1223</v>
      </c>
      <c r="G99" s="14"/>
      <c r="H99" s="1"/>
      <c r="I99" s="14" t="s">
        <v>2394</v>
      </c>
      <c r="J99" s="105"/>
      <c r="K99" s="105"/>
    </row>
    <row r="100" spans="1:12" s="6" customFormat="1" ht="13.5" customHeight="1" x14ac:dyDescent="0.25">
      <c r="A100" s="14" t="s">
        <v>706</v>
      </c>
      <c r="B100" s="14" t="s">
        <v>843</v>
      </c>
      <c r="C100" s="111">
        <v>9229</v>
      </c>
      <c r="D100" s="14" t="s">
        <v>845</v>
      </c>
      <c r="E100" s="14" t="s">
        <v>420</v>
      </c>
      <c r="F100" s="14" t="s">
        <v>1330</v>
      </c>
      <c r="G100" s="14" t="s">
        <v>173</v>
      </c>
      <c r="H100" s="1"/>
      <c r="I100" s="13" t="s">
        <v>2395</v>
      </c>
      <c r="J100" s="107"/>
      <c r="K100" s="105"/>
    </row>
    <row r="101" spans="1:12" s="6" customFormat="1" ht="13.5" customHeight="1" x14ac:dyDescent="0.25">
      <c r="A101" s="14" t="s">
        <v>706</v>
      </c>
      <c r="B101" s="14" t="s">
        <v>834</v>
      </c>
      <c r="C101" s="97">
        <v>9228</v>
      </c>
      <c r="D101" s="14" t="s">
        <v>835</v>
      </c>
      <c r="E101" s="14" t="s">
        <v>2218</v>
      </c>
      <c r="F101" s="14" t="s">
        <v>2219</v>
      </c>
      <c r="G101" s="14" t="s">
        <v>161</v>
      </c>
      <c r="H101" s="1"/>
      <c r="I101" s="84" t="s">
        <v>2396</v>
      </c>
      <c r="J101" s="115"/>
      <c r="K101" s="115"/>
    </row>
    <row r="102" spans="1:12" s="6" customFormat="1" ht="13.5" customHeight="1" x14ac:dyDescent="0.25">
      <c r="A102" s="53" t="s">
        <v>2089</v>
      </c>
      <c r="B102" s="53" t="s">
        <v>579</v>
      </c>
      <c r="C102" s="19">
        <v>9389</v>
      </c>
      <c r="D102" s="53" t="s">
        <v>580</v>
      </c>
      <c r="E102" s="53" t="s">
        <v>420</v>
      </c>
      <c r="F102" s="53" t="s">
        <v>1178</v>
      </c>
      <c r="G102" s="53" t="s">
        <v>124</v>
      </c>
      <c r="H102" s="1"/>
      <c r="I102" s="10" t="s">
        <v>2407</v>
      </c>
      <c r="J102" s="114"/>
      <c r="K102" s="114"/>
      <c r="L102" s="109"/>
    </row>
    <row r="103" spans="1:12" s="6" customFormat="1" ht="13.5" customHeight="1" x14ac:dyDescent="0.25">
      <c r="A103" s="14" t="s">
        <v>946</v>
      </c>
      <c r="B103" s="14" t="s">
        <v>1019</v>
      </c>
      <c r="C103" s="19">
        <v>9520</v>
      </c>
      <c r="D103" s="14" t="s">
        <v>1020</v>
      </c>
      <c r="E103" s="14" t="s">
        <v>420</v>
      </c>
      <c r="F103" s="14" t="s">
        <v>1440</v>
      </c>
      <c r="G103" s="14" t="s">
        <v>388</v>
      </c>
      <c r="H103" s="1"/>
      <c r="I103" s="14" t="s">
        <v>2408</v>
      </c>
      <c r="J103" s="105"/>
      <c r="K103" s="105"/>
    </row>
    <row r="104" spans="1:12" s="6" customFormat="1" ht="13.5" customHeight="1" x14ac:dyDescent="0.25">
      <c r="A104" s="14" t="s">
        <v>2089</v>
      </c>
      <c r="B104" s="14" t="s">
        <v>555</v>
      </c>
      <c r="C104" s="24">
        <v>9310</v>
      </c>
      <c r="D104" s="54" t="s">
        <v>556</v>
      </c>
      <c r="E104" s="54" t="s">
        <v>420</v>
      </c>
      <c r="F104" s="54" t="s">
        <v>1162</v>
      </c>
      <c r="G104" s="54" t="s">
        <v>123</v>
      </c>
      <c r="H104" s="54"/>
      <c r="I104" s="14" t="s">
        <v>2155</v>
      </c>
      <c r="J104" s="105"/>
      <c r="K104" s="105"/>
    </row>
    <row r="106" spans="1:12" s="6" customFormat="1" ht="13.5" customHeight="1" x14ac:dyDescent="0.25">
      <c r="A106" s="53" t="s">
        <v>2089</v>
      </c>
      <c r="B106" s="53" t="s">
        <v>555</v>
      </c>
      <c r="C106" s="61">
        <v>9310</v>
      </c>
      <c r="D106" s="62" t="s">
        <v>557</v>
      </c>
      <c r="E106" s="62" t="s">
        <v>416</v>
      </c>
      <c r="F106" s="62" t="s">
        <v>1163</v>
      </c>
      <c r="G106" s="62" t="s">
        <v>330</v>
      </c>
      <c r="H106" s="62"/>
      <c r="I106" s="14" t="s">
        <v>2137</v>
      </c>
      <c r="J106" s="105"/>
      <c r="K106" s="105"/>
    </row>
    <row r="107" spans="1:12" s="6" customFormat="1" ht="13.5" customHeight="1" x14ac:dyDescent="0.25">
      <c r="A107" s="14" t="s">
        <v>2089</v>
      </c>
      <c r="B107" s="14" t="s">
        <v>473</v>
      </c>
      <c r="C107" s="19">
        <v>9484</v>
      </c>
      <c r="D107" s="14" t="s">
        <v>474</v>
      </c>
      <c r="E107" s="14" t="s">
        <v>420</v>
      </c>
      <c r="F107" s="14" t="s">
        <v>1105</v>
      </c>
      <c r="G107" s="14" t="s">
        <v>70</v>
      </c>
      <c r="H107" s="62"/>
      <c r="I107" s="116" t="s">
        <v>2414</v>
      </c>
      <c r="J107" s="105"/>
    </row>
    <row r="108" spans="1:12" s="6" customFormat="1" ht="13.5" customHeight="1" x14ac:dyDescent="0.25">
      <c r="A108" s="14" t="s">
        <v>2089</v>
      </c>
      <c r="B108" s="14" t="s">
        <v>473</v>
      </c>
      <c r="C108" s="19">
        <v>9484</v>
      </c>
      <c r="D108" s="14" t="s">
        <v>475</v>
      </c>
      <c r="E108" s="14" t="s">
        <v>416</v>
      </c>
      <c r="F108" s="14" t="s">
        <v>1106</v>
      </c>
      <c r="G108" s="14" t="s">
        <v>288</v>
      </c>
      <c r="H108" s="62"/>
      <c r="I108" s="116" t="s">
        <v>2414</v>
      </c>
      <c r="J108" s="105"/>
    </row>
    <row r="109" spans="1:12" s="6" customFormat="1" ht="13.5" customHeight="1" x14ac:dyDescent="0.25">
      <c r="A109" s="14" t="s">
        <v>2089</v>
      </c>
      <c r="B109" s="14" t="s">
        <v>499</v>
      </c>
      <c r="C109" s="97">
        <v>9417</v>
      </c>
      <c r="D109" s="14" t="s">
        <v>500</v>
      </c>
      <c r="E109" s="14" t="s">
        <v>416</v>
      </c>
      <c r="F109" s="14" t="s">
        <v>1125</v>
      </c>
      <c r="G109" s="14" t="s">
        <v>7</v>
      </c>
      <c r="H109" s="62"/>
      <c r="I109" s="116" t="s">
        <v>2414</v>
      </c>
    </row>
    <row r="110" spans="1:12" s="6" customFormat="1" ht="13.5" customHeight="1" x14ac:dyDescent="0.25">
      <c r="A110" s="14" t="s">
        <v>2089</v>
      </c>
      <c r="B110" s="14" t="s">
        <v>532</v>
      </c>
      <c r="C110" s="23">
        <v>9399</v>
      </c>
      <c r="D110" s="54" t="s">
        <v>533</v>
      </c>
      <c r="E110" s="54" t="s">
        <v>416</v>
      </c>
      <c r="F110" s="54" t="s">
        <v>1149</v>
      </c>
      <c r="G110" s="54" t="s">
        <v>271</v>
      </c>
      <c r="H110" s="62"/>
      <c r="I110" s="14" t="s">
        <v>2415</v>
      </c>
      <c r="J110" s="105" t="s">
        <v>2246</v>
      </c>
    </row>
    <row r="111" spans="1:12" s="6" customFormat="1" ht="13.5" customHeight="1" x14ac:dyDescent="0.25">
      <c r="A111" s="14" t="s">
        <v>642</v>
      </c>
      <c r="B111" s="14" t="s">
        <v>767</v>
      </c>
      <c r="C111" s="97">
        <v>9253</v>
      </c>
      <c r="D111" s="14" t="s">
        <v>768</v>
      </c>
      <c r="E111" s="14" t="s">
        <v>420</v>
      </c>
      <c r="F111" s="14" t="s">
        <v>1279</v>
      </c>
      <c r="G111" s="14" t="s">
        <v>56</v>
      </c>
      <c r="H111" s="62"/>
      <c r="I111" s="116" t="s">
        <v>2416</v>
      </c>
    </row>
    <row r="112" spans="1:12" s="6" customFormat="1" ht="13.5" customHeight="1" x14ac:dyDescent="0.25">
      <c r="A112" s="15" t="s">
        <v>642</v>
      </c>
      <c r="B112" s="15" t="s">
        <v>652</v>
      </c>
      <c r="C112" s="19">
        <v>9955</v>
      </c>
      <c r="D112" s="14" t="s">
        <v>653</v>
      </c>
      <c r="E112" s="15" t="s">
        <v>420</v>
      </c>
      <c r="F112" s="14" t="s">
        <v>1212</v>
      </c>
      <c r="G112" s="15" t="s">
        <v>353</v>
      </c>
      <c r="H112" s="62"/>
      <c r="I112" s="14" t="s">
        <v>2431</v>
      </c>
      <c r="J112" s="105" t="s">
        <v>2246</v>
      </c>
      <c r="K112" s="105" t="str">
        <f>VLOOKUP(C112,'Status oficina'!$A$2:$C$208,3,FALSE)</f>
        <v>Cierre definitivo</v>
      </c>
    </row>
    <row r="113" spans="1:9" x14ac:dyDescent="0.25">
      <c r="A113" s="15" t="s">
        <v>642</v>
      </c>
      <c r="B113" s="15" t="s">
        <v>690</v>
      </c>
      <c r="C113" s="19">
        <v>9304</v>
      </c>
      <c r="D113" s="14" t="s">
        <v>691</v>
      </c>
      <c r="E113" s="15" t="s">
        <v>416</v>
      </c>
      <c r="F113" s="14" t="s">
        <v>1234</v>
      </c>
      <c r="G113" s="15" t="s">
        <v>135</v>
      </c>
      <c r="H113" s="62"/>
      <c r="I113" s="14" t="s">
        <v>2430</v>
      </c>
    </row>
    <row r="114" spans="1:9" x14ac:dyDescent="0.25">
      <c r="A114" s="14" t="s">
        <v>642</v>
      </c>
      <c r="B114" s="14" t="s">
        <v>731</v>
      </c>
      <c r="C114" s="119">
        <v>9246</v>
      </c>
      <c r="D114" s="14" t="s">
        <v>733</v>
      </c>
      <c r="E114" s="14" t="s">
        <v>416</v>
      </c>
      <c r="F114" s="14" t="s">
        <v>1258</v>
      </c>
      <c r="G114" s="14" t="s">
        <v>294</v>
      </c>
      <c r="H114" s="70"/>
      <c r="I114" s="70" t="s">
        <v>2432</v>
      </c>
    </row>
    <row r="115" spans="1:9" x14ac:dyDescent="0.25">
      <c r="A115" s="14" t="s">
        <v>642</v>
      </c>
      <c r="B115" s="14" t="s">
        <v>726</v>
      </c>
      <c r="C115" s="19">
        <v>9298</v>
      </c>
      <c r="D115" s="14" t="s">
        <v>727</v>
      </c>
      <c r="E115" s="14" t="s">
        <v>420</v>
      </c>
      <c r="F115" s="14" t="s">
        <v>1254</v>
      </c>
      <c r="G115" s="14" t="s">
        <v>153</v>
      </c>
      <c r="H115" s="70"/>
      <c r="I115" s="70" t="s">
        <v>2433</v>
      </c>
    </row>
    <row r="116" spans="1:9" x14ac:dyDescent="0.25">
      <c r="A116" s="14" t="s">
        <v>642</v>
      </c>
      <c r="B116" s="14" t="s">
        <v>726</v>
      </c>
      <c r="C116" s="19">
        <v>9298</v>
      </c>
      <c r="D116" s="14" t="s">
        <v>728</v>
      </c>
      <c r="E116" s="14" t="s">
        <v>416</v>
      </c>
      <c r="F116" s="14" t="s">
        <v>1255</v>
      </c>
      <c r="G116" s="14" t="s">
        <v>331</v>
      </c>
      <c r="H116" s="70"/>
      <c r="I116" s="70" t="s">
        <v>2433</v>
      </c>
    </row>
    <row r="117" spans="1:9" x14ac:dyDescent="0.25">
      <c r="A117" s="14" t="s">
        <v>2089</v>
      </c>
      <c r="B117" s="14" t="s">
        <v>582</v>
      </c>
      <c r="C117" s="19">
        <v>9845</v>
      </c>
      <c r="D117" s="14" t="s">
        <v>585</v>
      </c>
      <c r="E117" s="15" t="s">
        <v>416</v>
      </c>
      <c r="F117" s="14" t="s">
        <v>1179</v>
      </c>
      <c r="G117" s="15" t="s">
        <v>366</v>
      </c>
      <c r="H117" s="70"/>
      <c r="I117" s="70" t="s">
        <v>2434</v>
      </c>
    </row>
    <row r="118" spans="1:9" x14ac:dyDescent="0.25">
      <c r="A118" s="14" t="s">
        <v>706</v>
      </c>
      <c r="B118" s="14" t="s">
        <v>801</v>
      </c>
      <c r="C118" s="19">
        <v>9271</v>
      </c>
      <c r="D118" s="14" t="s">
        <v>2112</v>
      </c>
      <c r="E118" s="14" t="s">
        <v>420</v>
      </c>
      <c r="F118" s="14" t="s">
        <v>1300</v>
      </c>
      <c r="G118" s="14" t="s">
        <v>148</v>
      </c>
      <c r="H118" s="70"/>
      <c r="I118" s="70" t="s">
        <v>2434</v>
      </c>
    </row>
    <row r="119" spans="1:9" x14ac:dyDescent="0.25">
      <c r="A119" s="53" t="s">
        <v>872</v>
      </c>
      <c r="B119" s="53" t="s">
        <v>449</v>
      </c>
      <c r="C119" s="22">
        <v>9821</v>
      </c>
      <c r="D119" s="14" t="s">
        <v>459</v>
      </c>
      <c r="E119" s="15" t="s">
        <v>416</v>
      </c>
      <c r="F119" s="14" t="s">
        <v>460</v>
      </c>
      <c r="G119" s="15" t="s">
        <v>380</v>
      </c>
      <c r="H119" s="70"/>
      <c r="I119" s="70" t="s">
        <v>2434</v>
      </c>
    </row>
    <row r="120" spans="1:9" x14ac:dyDescent="0.25">
      <c r="A120" s="14" t="s">
        <v>706</v>
      </c>
      <c r="B120" s="14" t="s">
        <v>843</v>
      </c>
      <c r="C120" s="119">
        <v>9229</v>
      </c>
      <c r="D120" s="14" t="s">
        <v>844</v>
      </c>
      <c r="E120" s="14" t="s">
        <v>420</v>
      </c>
      <c r="F120" s="14" t="s">
        <v>1329</v>
      </c>
      <c r="G120" s="14" t="s">
        <v>38</v>
      </c>
      <c r="H120" s="70"/>
      <c r="I120" s="70" t="s">
        <v>2434</v>
      </c>
    </row>
    <row r="121" spans="1:9" x14ac:dyDescent="0.25">
      <c r="A121" s="14" t="s">
        <v>946</v>
      </c>
      <c r="B121" s="14" t="s">
        <v>1047</v>
      </c>
      <c r="C121" s="119">
        <v>9647</v>
      </c>
      <c r="D121" s="14" t="s">
        <v>1049</v>
      </c>
      <c r="E121" s="14" t="s">
        <v>416</v>
      </c>
      <c r="F121" s="14" t="s">
        <v>1463</v>
      </c>
      <c r="G121" s="14" t="s">
        <v>202</v>
      </c>
      <c r="H121" s="70"/>
      <c r="I121" s="70" t="s">
        <v>2434</v>
      </c>
    </row>
    <row r="122" spans="1:9" x14ac:dyDescent="0.25">
      <c r="A122" s="53" t="s">
        <v>872</v>
      </c>
      <c r="B122" s="53" t="s">
        <v>449</v>
      </c>
      <c r="C122" s="119">
        <v>9821</v>
      </c>
      <c r="D122" s="14" t="s">
        <v>450</v>
      </c>
      <c r="E122" s="14" t="s">
        <v>420</v>
      </c>
      <c r="F122" s="14" t="s">
        <v>1091</v>
      </c>
      <c r="G122" s="14" t="s">
        <v>2</v>
      </c>
      <c r="H122" s="70"/>
      <c r="I122" s="70" t="s">
        <v>2434</v>
      </c>
    </row>
    <row r="123" spans="1:9" x14ac:dyDescent="0.25">
      <c r="A123" s="53" t="s">
        <v>872</v>
      </c>
      <c r="B123" s="53" t="s">
        <v>444</v>
      </c>
      <c r="C123" s="119">
        <v>9869</v>
      </c>
      <c r="D123" s="14" t="s">
        <v>445</v>
      </c>
      <c r="E123" s="14" t="s">
        <v>416</v>
      </c>
      <c r="F123" s="14" t="s">
        <v>1088</v>
      </c>
      <c r="G123" s="14" t="s">
        <v>287</v>
      </c>
      <c r="H123" s="70"/>
      <c r="I123" s="70" t="s">
        <v>2434</v>
      </c>
    </row>
    <row r="124" spans="1:9" x14ac:dyDescent="0.25">
      <c r="A124" s="15" t="s">
        <v>706</v>
      </c>
      <c r="B124" s="15" t="s">
        <v>794</v>
      </c>
      <c r="C124" s="19">
        <v>9270</v>
      </c>
      <c r="D124" s="14" t="s">
        <v>796</v>
      </c>
      <c r="E124" s="15" t="s">
        <v>416</v>
      </c>
      <c r="F124" s="14" t="s">
        <v>1297</v>
      </c>
      <c r="G124" s="70"/>
      <c r="H124" s="70"/>
      <c r="I124" s="70" t="s">
        <v>2435</v>
      </c>
    </row>
    <row r="125" spans="1:9" x14ac:dyDescent="0.25">
      <c r="A125" s="14" t="s">
        <v>2089</v>
      </c>
      <c r="B125" s="14" t="s">
        <v>566</v>
      </c>
      <c r="C125" s="24">
        <v>9341</v>
      </c>
      <c r="D125" s="54" t="s">
        <v>567</v>
      </c>
      <c r="E125" s="54" t="s">
        <v>416</v>
      </c>
      <c r="F125" s="54" t="s">
        <v>1170</v>
      </c>
      <c r="G125" s="54" t="s">
        <v>322</v>
      </c>
      <c r="H125" s="70"/>
      <c r="I125" s="70" t="s">
        <v>2457</v>
      </c>
    </row>
    <row r="126" spans="1:9" x14ac:dyDescent="0.25">
      <c r="A126" s="53" t="s">
        <v>872</v>
      </c>
      <c r="B126" s="53" t="s">
        <v>457</v>
      </c>
      <c r="C126" s="120">
        <v>9873</v>
      </c>
      <c r="D126" s="14" t="s">
        <v>458</v>
      </c>
      <c r="E126" s="14" t="s">
        <v>420</v>
      </c>
      <c r="F126" s="14" t="s">
        <v>1095</v>
      </c>
      <c r="G126" s="14" t="s">
        <v>162</v>
      </c>
      <c r="H126" s="70"/>
      <c r="I126" s="70" t="s">
        <v>2459</v>
      </c>
    </row>
    <row r="127" spans="1:9" x14ac:dyDescent="0.25">
      <c r="A127" s="14" t="s">
        <v>2451</v>
      </c>
      <c r="B127" s="14" t="s">
        <v>840</v>
      </c>
      <c r="C127" s="121">
        <v>9225</v>
      </c>
      <c r="D127" s="14" t="s">
        <v>841</v>
      </c>
      <c r="E127" s="14" t="s">
        <v>420</v>
      </c>
      <c r="F127" s="14" t="s">
        <v>1327</v>
      </c>
      <c r="G127" s="14" t="s">
        <v>65</v>
      </c>
      <c r="H127" s="70"/>
      <c r="I127" s="70" t="s">
        <v>2459</v>
      </c>
    </row>
    <row r="128" spans="1:9" x14ac:dyDescent="0.25">
      <c r="A128" s="14" t="s">
        <v>2451</v>
      </c>
      <c r="B128" s="15" t="s">
        <v>794</v>
      </c>
      <c r="C128" s="19">
        <v>9270</v>
      </c>
      <c r="D128" s="14" t="s">
        <v>795</v>
      </c>
      <c r="E128" s="15" t="s">
        <v>416</v>
      </c>
      <c r="F128" s="14" t="s">
        <v>1275</v>
      </c>
      <c r="G128" s="70"/>
      <c r="H128" s="70"/>
      <c r="I128" s="70" t="s">
        <v>2459</v>
      </c>
    </row>
    <row r="129" spans="1:23" x14ac:dyDescent="0.25">
      <c r="A129" s="53" t="s">
        <v>2450</v>
      </c>
      <c r="B129" s="14" t="s">
        <v>751</v>
      </c>
      <c r="C129" s="124">
        <v>9212</v>
      </c>
      <c r="D129" s="14" t="s">
        <v>752</v>
      </c>
      <c r="E129" s="14" t="s">
        <v>420</v>
      </c>
      <c r="F129" s="14" t="s">
        <v>1271</v>
      </c>
      <c r="G129" s="14"/>
      <c r="H129" s="70"/>
      <c r="I129" s="70" t="s">
        <v>2459</v>
      </c>
    </row>
    <row r="130" spans="1:23" x14ac:dyDescent="0.25">
      <c r="A130" s="53" t="s">
        <v>2450</v>
      </c>
      <c r="B130" s="14" t="s">
        <v>751</v>
      </c>
      <c r="C130" s="124">
        <v>9212</v>
      </c>
      <c r="D130" s="14" t="s">
        <v>753</v>
      </c>
      <c r="E130" s="14" t="s">
        <v>416</v>
      </c>
      <c r="F130" s="14" t="s">
        <v>1272</v>
      </c>
      <c r="G130" s="70"/>
      <c r="H130" s="70"/>
      <c r="I130" s="70" t="s">
        <v>2459</v>
      </c>
    </row>
    <row r="131" spans="1:23" x14ac:dyDescent="0.25">
      <c r="A131" s="14" t="s">
        <v>2089</v>
      </c>
      <c r="B131" s="14" t="s">
        <v>2092</v>
      </c>
      <c r="C131" s="22">
        <v>9414</v>
      </c>
      <c r="D131" s="14" t="s">
        <v>494</v>
      </c>
      <c r="E131" s="14" t="s">
        <v>420</v>
      </c>
      <c r="F131" s="14" t="s">
        <v>1119</v>
      </c>
      <c r="G131" s="14" t="s">
        <v>157</v>
      </c>
      <c r="H131" s="70"/>
      <c r="I131" s="70" t="s">
        <v>2481</v>
      </c>
    </row>
    <row r="132" spans="1:23" x14ac:dyDescent="0.25">
      <c r="A132" s="14" t="s">
        <v>2089</v>
      </c>
      <c r="B132" s="14" t="s">
        <v>2092</v>
      </c>
      <c r="C132" s="22">
        <v>9414</v>
      </c>
      <c r="D132" s="14" t="s">
        <v>2212</v>
      </c>
      <c r="E132" s="14" t="s">
        <v>416</v>
      </c>
      <c r="F132" s="14" t="s">
        <v>1120</v>
      </c>
      <c r="G132" s="14" t="s">
        <v>221</v>
      </c>
      <c r="H132" s="70"/>
      <c r="I132" s="70" t="s">
        <v>2481</v>
      </c>
    </row>
    <row r="133" spans="1:23" s="7" customFormat="1" ht="13.5" customHeight="1" x14ac:dyDescent="0.25">
      <c r="A133" s="53" t="s">
        <v>2450</v>
      </c>
      <c r="B133" s="14" t="s">
        <v>2402</v>
      </c>
      <c r="C133" s="126">
        <v>9217</v>
      </c>
      <c r="D133" s="14" t="s">
        <v>2082</v>
      </c>
      <c r="E133" s="14" t="s">
        <v>416</v>
      </c>
      <c r="F133" s="14" t="s">
        <v>1347</v>
      </c>
      <c r="G133" s="14" t="s">
        <v>2180</v>
      </c>
      <c r="H133" s="70"/>
      <c r="I133" s="130" t="s">
        <v>2488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2403</v>
      </c>
      <c r="V133" s="105" t="s">
        <v>2382</v>
      </c>
      <c r="W133" s="105" t="str">
        <f>VLOOKUP(C133,'Status oficina'!$A$2:$C$208,3,FALSE)</f>
        <v>Activa</v>
      </c>
    </row>
    <row r="134" spans="1:23" x14ac:dyDescent="0.25">
      <c r="A134" s="70" t="s">
        <v>2089</v>
      </c>
      <c r="B134" s="70" t="s">
        <v>594</v>
      </c>
      <c r="C134" s="131">
        <v>9838</v>
      </c>
      <c r="D134" s="70" t="s">
        <v>595</v>
      </c>
      <c r="E134" s="70" t="s">
        <v>420</v>
      </c>
      <c r="F134" s="70" t="s">
        <v>1182</v>
      </c>
      <c r="G134" s="70" t="s">
        <v>67</v>
      </c>
      <c r="H134" s="70"/>
      <c r="I134" s="70" t="s">
        <v>2489</v>
      </c>
    </row>
    <row r="135" spans="1:23" x14ac:dyDescent="0.25">
      <c r="A135" s="70" t="s">
        <v>2089</v>
      </c>
      <c r="B135" s="70" t="s">
        <v>520</v>
      </c>
      <c r="C135" s="131">
        <v>9415</v>
      </c>
      <c r="D135" s="70" t="s">
        <v>521</v>
      </c>
      <c r="E135" s="70" t="s">
        <v>416</v>
      </c>
      <c r="F135" s="70" t="s">
        <v>1143</v>
      </c>
      <c r="G135" s="70" t="s">
        <v>158</v>
      </c>
      <c r="H135" s="70"/>
      <c r="I135" s="70" t="s">
        <v>2490</v>
      </c>
    </row>
    <row r="136" spans="1:23" x14ac:dyDescent="0.25">
      <c r="A136" s="70" t="s">
        <v>2089</v>
      </c>
      <c r="B136" s="70" t="s">
        <v>520</v>
      </c>
      <c r="C136" s="131">
        <v>9415</v>
      </c>
      <c r="D136" s="70" t="s">
        <v>522</v>
      </c>
      <c r="E136" s="70" t="s">
        <v>420</v>
      </c>
      <c r="F136" s="70" t="s">
        <v>1144</v>
      </c>
      <c r="G136" s="70" t="s">
        <v>191</v>
      </c>
      <c r="H136" s="70"/>
      <c r="I136" s="70" t="s">
        <v>2490</v>
      </c>
    </row>
    <row r="137" spans="1:23" x14ac:dyDescent="0.25">
      <c r="A137" s="14" t="s">
        <v>2451</v>
      </c>
      <c r="B137" s="14" t="s">
        <v>801</v>
      </c>
      <c r="C137" s="19">
        <v>9271</v>
      </c>
      <c r="D137" s="14" t="s">
        <v>803</v>
      </c>
      <c r="E137" s="14" t="s">
        <v>420</v>
      </c>
      <c r="F137" s="14" t="s">
        <v>1302</v>
      </c>
      <c r="G137" s="14" t="s">
        <v>230</v>
      </c>
      <c r="H137" s="70"/>
      <c r="I137" s="70" t="s">
        <v>2494</v>
      </c>
    </row>
  </sheetData>
  <autoFilter ref="A1:CG24"/>
  <conditionalFormatting sqref="F2">
    <cfRule type="duplicateValues" dxfId="494" priority="757"/>
  </conditionalFormatting>
  <conditionalFormatting sqref="F2">
    <cfRule type="duplicateValues" dxfId="493" priority="758"/>
    <cfRule type="duplicateValues" dxfId="492" priority="759"/>
  </conditionalFormatting>
  <conditionalFormatting sqref="F2">
    <cfRule type="duplicateValues" dxfId="491" priority="760"/>
  </conditionalFormatting>
  <conditionalFormatting sqref="F3">
    <cfRule type="duplicateValues" dxfId="490" priority="749"/>
  </conditionalFormatting>
  <conditionalFormatting sqref="F3">
    <cfRule type="duplicateValues" dxfId="489" priority="750"/>
    <cfRule type="duplicateValues" dxfId="488" priority="751"/>
  </conditionalFormatting>
  <conditionalFormatting sqref="F3">
    <cfRule type="duplicateValues" dxfId="487" priority="752"/>
  </conditionalFormatting>
  <conditionalFormatting sqref="F4:F6">
    <cfRule type="duplicateValues" dxfId="486" priority="741"/>
  </conditionalFormatting>
  <conditionalFormatting sqref="F4:F6">
    <cfRule type="duplicateValues" dxfId="485" priority="742"/>
    <cfRule type="duplicateValues" dxfId="484" priority="743"/>
  </conditionalFormatting>
  <conditionalFormatting sqref="F4:F6">
    <cfRule type="duplicateValues" dxfId="483" priority="744"/>
  </conditionalFormatting>
  <conditionalFormatting sqref="F7">
    <cfRule type="duplicateValues" dxfId="482" priority="733"/>
  </conditionalFormatting>
  <conditionalFormatting sqref="F7">
    <cfRule type="duplicateValues" dxfId="481" priority="734"/>
    <cfRule type="duplicateValues" dxfId="480" priority="735"/>
  </conditionalFormatting>
  <conditionalFormatting sqref="F7">
    <cfRule type="duplicateValues" dxfId="479" priority="736"/>
  </conditionalFormatting>
  <conditionalFormatting sqref="F8">
    <cfRule type="duplicateValues" dxfId="478" priority="725"/>
  </conditionalFormatting>
  <conditionalFormatting sqref="F8">
    <cfRule type="duplicateValues" dxfId="477" priority="726"/>
    <cfRule type="duplicateValues" dxfId="476" priority="727"/>
  </conditionalFormatting>
  <conditionalFormatting sqref="F8">
    <cfRule type="duplicateValues" dxfId="475" priority="728"/>
  </conditionalFormatting>
  <conditionalFormatting sqref="F9">
    <cfRule type="duplicateValues" dxfId="474" priority="717"/>
  </conditionalFormatting>
  <conditionalFormatting sqref="F9">
    <cfRule type="duplicateValues" dxfId="473" priority="718"/>
    <cfRule type="duplicateValues" dxfId="472" priority="719"/>
  </conditionalFormatting>
  <conditionalFormatting sqref="F9">
    <cfRule type="duplicateValues" dxfId="471" priority="720"/>
  </conditionalFormatting>
  <conditionalFormatting sqref="F10">
    <cfRule type="duplicateValues" dxfId="470" priority="709"/>
  </conditionalFormatting>
  <conditionalFormatting sqref="F10">
    <cfRule type="duplicateValues" dxfId="469" priority="710"/>
    <cfRule type="duplicateValues" dxfId="468" priority="711"/>
  </conditionalFormatting>
  <conditionalFormatting sqref="F10">
    <cfRule type="duplicateValues" dxfId="467" priority="712"/>
  </conditionalFormatting>
  <conditionalFormatting sqref="F11">
    <cfRule type="duplicateValues" dxfId="466" priority="701"/>
  </conditionalFormatting>
  <conditionalFormatting sqref="F11">
    <cfRule type="duplicateValues" dxfId="465" priority="702"/>
    <cfRule type="duplicateValues" dxfId="464" priority="703"/>
  </conditionalFormatting>
  <conditionalFormatting sqref="F11">
    <cfRule type="duplicateValues" dxfId="463" priority="704"/>
  </conditionalFormatting>
  <conditionalFormatting sqref="F12">
    <cfRule type="duplicateValues" dxfId="462" priority="693"/>
  </conditionalFormatting>
  <conditionalFormatting sqref="F12">
    <cfRule type="duplicateValues" dxfId="461" priority="694"/>
    <cfRule type="duplicateValues" dxfId="460" priority="695"/>
  </conditionalFormatting>
  <conditionalFormatting sqref="F12">
    <cfRule type="duplicateValues" dxfId="459" priority="696"/>
  </conditionalFormatting>
  <conditionalFormatting sqref="F13">
    <cfRule type="duplicateValues" dxfId="458" priority="685"/>
  </conditionalFormatting>
  <conditionalFormatting sqref="F13">
    <cfRule type="duplicateValues" dxfId="457" priority="686"/>
    <cfRule type="duplicateValues" dxfId="456" priority="687"/>
  </conditionalFormatting>
  <conditionalFormatting sqref="F13">
    <cfRule type="duplicateValues" dxfId="455" priority="688"/>
  </conditionalFormatting>
  <conditionalFormatting sqref="F14">
    <cfRule type="duplicateValues" dxfId="454" priority="677"/>
  </conditionalFormatting>
  <conditionalFormatting sqref="F14">
    <cfRule type="duplicateValues" dxfId="453" priority="678"/>
    <cfRule type="duplicateValues" dxfId="452" priority="679"/>
  </conditionalFormatting>
  <conditionalFormatting sqref="F14">
    <cfRule type="duplicateValues" dxfId="451" priority="680"/>
  </conditionalFormatting>
  <conditionalFormatting sqref="F15">
    <cfRule type="duplicateValues" dxfId="450" priority="669"/>
  </conditionalFormatting>
  <conditionalFormatting sqref="F15">
    <cfRule type="duplicateValues" dxfId="449" priority="670"/>
    <cfRule type="duplicateValues" dxfId="448" priority="671"/>
  </conditionalFormatting>
  <conditionalFormatting sqref="F15">
    <cfRule type="duplicateValues" dxfId="447" priority="672"/>
  </conditionalFormatting>
  <conditionalFormatting sqref="F16">
    <cfRule type="duplicateValues" dxfId="446" priority="661"/>
  </conditionalFormatting>
  <conditionalFormatting sqref="F16">
    <cfRule type="duplicateValues" dxfId="445" priority="662"/>
    <cfRule type="duplicateValues" dxfId="444" priority="663"/>
  </conditionalFormatting>
  <conditionalFormatting sqref="F16">
    <cfRule type="duplicateValues" dxfId="443" priority="664"/>
  </conditionalFormatting>
  <conditionalFormatting sqref="F17">
    <cfRule type="duplicateValues" dxfId="442" priority="653"/>
  </conditionalFormatting>
  <conditionalFormatting sqref="F17">
    <cfRule type="duplicateValues" dxfId="441" priority="654"/>
    <cfRule type="duplicateValues" dxfId="440" priority="655"/>
  </conditionalFormatting>
  <conditionalFormatting sqref="F17">
    <cfRule type="duplicateValues" dxfId="439" priority="656"/>
  </conditionalFormatting>
  <conditionalFormatting sqref="F18">
    <cfRule type="duplicateValues" dxfId="438" priority="645"/>
  </conditionalFormatting>
  <conditionalFormatting sqref="F18">
    <cfRule type="duplicateValues" dxfId="437" priority="646"/>
    <cfRule type="duplicateValues" dxfId="436" priority="647"/>
  </conditionalFormatting>
  <conditionalFormatting sqref="F18">
    <cfRule type="duplicateValues" dxfId="435" priority="648"/>
  </conditionalFormatting>
  <conditionalFormatting sqref="F19">
    <cfRule type="duplicateValues" dxfId="434" priority="637"/>
  </conditionalFormatting>
  <conditionalFormatting sqref="F19">
    <cfRule type="duplicateValues" dxfId="433" priority="638"/>
    <cfRule type="duplicateValues" dxfId="432" priority="639"/>
  </conditionalFormatting>
  <conditionalFormatting sqref="F19">
    <cfRule type="duplicateValues" dxfId="431" priority="640"/>
  </conditionalFormatting>
  <conditionalFormatting sqref="F20">
    <cfRule type="duplicateValues" dxfId="430" priority="629"/>
  </conditionalFormatting>
  <conditionalFormatting sqref="F20">
    <cfRule type="duplicateValues" dxfId="429" priority="630"/>
    <cfRule type="duplicateValues" dxfId="428" priority="631"/>
  </conditionalFormatting>
  <conditionalFormatting sqref="F20">
    <cfRule type="duplicateValues" dxfId="427" priority="632"/>
  </conditionalFormatting>
  <conditionalFormatting sqref="F21">
    <cfRule type="duplicateValues" dxfId="426" priority="621"/>
  </conditionalFormatting>
  <conditionalFormatting sqref="F21">
    <cfRule type="duplicateValues" dxfId="425" priority="622"/>
    <cfRule type="duplicateValues" dxfId="424" priority="623"/>
  </conditionalFormatting>
  <conditionalFormatting sqref="F21">
    <cfRule type="duplicateValues" dxfId="423" priority="624"/>
  </conditionalFormatting>
  <conditionalFormatting sqref="F22:F23">
    <cfRule type="duplicateValues" dxfId="422" priority="613"/>
  </conditionalFormatting>
  <conditionalFormatting sqref="F22:F23">
    <cfRule type="duplicateValues" dxfId="421" priority="614"/>
    <cfRule type="duplicateValues" dxfId="420" priority="615"/>
  </conditionalFormatting>
  <conditionalFormatting sqref="F22:F23">
    <cfRule type="duplicateValues" dxfId="419" priority="616"/>
  </conditionalFormatting>
  <conditionalFormatting sqref="F24">
    <cfRule type="duplicateValues" dxfId="418" priority="605"/>
  </conditionalFormatting>
  <conditionalFormatting sqref="F24">
    <cfRule type="duplicateValues" dxfId="417" priority="606"/>
    <cfRule type="duplicateValues" dxfId="416" priority="607"/>
  </conditionalFormatting>
  <conditionalFormatting sqref="F24">
    <cfRule type="duplicateValues" dxfId="415" priority="608"/>
  </conditionalFormatting>
  <conditionalFormatting sqref="F26">
    <cfRule type="duplicateValues" dxfId="414" priority="597"/>
  </conditionalFormatting>
  <conditionalFormatting sqref="F26">
    <cfRule type="duplicateValues" dxfId="413" priority="598"/>
    <cfRule type="duplicateValues" dxfId="412" priority="599"/>
  </conditionalFormatting>
  <conditionalFormatting sqref="F26">
    <cfRule type="duplicateValues" dxfId="411" priority="600"/>
  </conditionalFormatting>
  <conditionalFormatting sqref="F27">
    <cfRule type="duplicateValues" dxfId="410" priority="592"/>
  </conditionalFormatting>
  <conditionalFormatting sqref="F27">
    <cfRule type="duplicateValues" dxfId="409" priority="593"/>
    <cfRule type="duplicateValues" dxfId="408" priority="594"/>
  </conditionalFormatting>
  <conditionalFormatting sqref="F27">
    <cfRule type="duplicateValues" dxfId="407" priority="595"/>
  </conditionalFormatting>
  <conditionalFormatting sqref="F28">
    <cfRule type="duplicateValues" dxfId="406" priority="586"/>
  </conditionalFormatting>
  <conditionalFormatting sqref="F28">
    <cfRule type="duplicateValues" dxfId="405" priority="587"/>
    <cfRule type="duplicateValues" dxfId="404" priority="588"/>
  </conditionalFormatting>
  <conditionalFormatting sqref="F28">
    <cfRule type="duplicateValues" dxfId="403" priority="589"/>
  </conditionalFormatting>
  <conditionalFormatting sqref="F29:F30">
    <cfRule type="duplicateValues" dxfId="402" priority="580"/>
  </conditionalFormatting>
  <conditionalFormatting sqref="F29:F30">
    <cfRule type="duplicateValues" dxfId="401" priority="581"/>
    <cfRule type="duplicateValues" dxfId="400" priority="582"/>
  </conditionalFormatting>
  <conditionalFormatting sqref="F29:F30">
    <cfRule type="duplicateValues" dxfId="399" priority="583"/>
  </conditionalFormatting>
  <conditionalFormatting sqref="F31">
    <cfRule type="duplicateValues" dxfId="398" priority="574"/>
  </conditionalFormatting>
  <conditionalFormatting sqref="F31">
    <cfRule type="duplicateValues" dxfId="397" priority="575"/>
    <cfRule type="duplicateValues" dxfId="396" priority="576"/>
  </conditionalFormatting>
  <conditionalFormatting sqref="F31">
    <cfRule type="duplicateValues" dxfId="395" priority="577"/>
  </conditionalFormatting>
  <conditionalFormatting sqref="F32:F33">
    <cfRule type="duplicateValues" dxfId="394" priority="568"/>
  </conditionalFormatting>
  <conditionalFormatting sqref="F32:F33">
    <cfRule type="duplicateValues" dxfId="393" priority="569"/>
    <cfRule type="duplicateValues" dxfId="392" priority="570"/>
  </conditionalFormatting>
  <conditionalFormatting sqref="F32:F33">
    <cfRule type="duplicateValues" dxfId="391" priority="571"/>
  </conditionalFormatting>
  <conditionalFormatting sqref="F34">
    <cfRule type="duplicateValues" dxfId="390" priority="562"/>
  </conditionalFormatting>
  <conditionalFormatting sqref="F34">
    <cfRule type="duplicateValues" dxfId="389" priority="563"/>
    <cfRule type="duplicateValues" dxfId="388" priority="564"/>
  </conditionalFormatting>
  <conditionalFormatting sqref="F34">
    <cfRule type="duplicateValues" dxfId="387" priority="565"/>
  </conditionalFormatting>
  <conditionalFormatting sqref="F35">
    <cfRule type="duplicateValues" dxfId="386" priority="556"/>
  </conditionalFormatting>
  <conditionalFormatting sqref="F35">
    <cfRule type="duplicateValues" dxfId="385" priority="557"/>
    <cfRule type="duplicateValues" dxfId="384" priority="558"/>
  </conditionalFormatting>
  <conditionalFormatting sqref="F35">
    <cfRule type="duplicateValues" dxfId="383" priority="559"/>
  </conditionalFormatting>
  <conditionalFormatting sqref="F36">
    <cfRule type="duplicateValues" dxfId="382" priority="550"/>
  </conditionalFormatting>
  <conditionalFormatting sqref="F36">
    <cfRule type="duplicateValues" dxfId="381" priority="551"/>
    <cfRule type="duplicateValues" dxfId="380" priority="552"/>
  </conditionalFormatting>
  <conditionalFormatting sqref="F36">
    <cfRule type="duplicateValues" dxfId="379" priority="553"/>
  </conditionalFormatting>
  <conditionalFormatting sqref="F37">
    <cfRule type="duplicateValues" dxfId="378" priority="543"/>
  </conditionalFormatting>
  <conditionalFormatting sqref="F37">
    <cfRule type="duplicateValues" dxfId="377" priority="544"/>
    <cfRule type="duplicateValues" dxfId="376" priority="545"/>
  </conditionalFormatting>
  <conditionalFormatting sqref="F37">
    <cfRule type="duplicateValues" dxfId="375" priority="546"/>
  </conditionalFormatting>
  <conditionalFormatting sqref="F38">
    <cfRule type="duplicateValues" dxfId="374" priority="537"/>
  </conditionalFormatting>
  <conditionalFormatting sqref="F38">
    <cfRule type="duplicateValues" dxfId="373" priority="538"/>
    <cfRule type="duplicateValues" dxfId="372" priority="539"/>
  </conditionalFormatting>
  <conditionalFormatting sqref="F38">
    <cfRule type="duplicateValues" dxfId="371" priority="540"/>
  </conditionalFormatting>
  <conditionalFormatting sqref="F39">
    <cfRule type="duplicateValues" dxfId="370" priority="531"/>
  </conditionalFormatting>
  <conditionalFormatting sqref="F39">
    <cfRule type="duplicateValues" dxfId="369" priority="532"/>
    <cfRule type="duplicateValues" dxfId="368" priority="533"/>
  </conditionalFormatting>
  <conditionalFormatting sqref="F39">
    <cfRule type="duplicateValues" dxfId="367" priority="534"/>
  </conditionalFormatting>
  <conditionalFormatting sqref="F41">
    <cfRule type="duplicateValues" dxfId="366" priority="525"/>
  </conditionalFormatting>
  <conditionalFormatting sqref="F41">
    <cfRule type="duplicateValues" dxfId="365" priority="526"/>
    <cfRule type="duplicateValues" dxfId="364" priority="527"/>
  </conditionalFormatting>
  <conditionalFormatting sqref="F41">
    <cfRule type="duplicateValues" dxfId="363" priority="528"/>
  </conditionalFormatting>
  <conditionalFormatting sqref="F42">
    <cfRule type="duplicateValues" dxfId="362" priority="519"/>
  </conditionalFormatting>
  <conditionalFormatting sqref="F42">
    <cfRule type="duplicateValues" dxfId="361" priority="520"/>
    <cfRule type="duplicateValues" dxfId="360" priority="521"/>
  </conditionalFormatting>
  <conditionalFormatting sqref="F42">
    <cfRule type="duplicateValues" dxfId="359" priority="522"/>
  </conditionalFormatting>
  <conditionalFormatting sqref="F43">
    <cfRule type="duplicateValues" dxfId="358" priority="513"/>
  </conditionalFormatting>
  <conditionalFormatting sqref="F43">
    <cfRule type="duplicateValues" dxfId="357" priority="514"/>
    <cfRule type="duplicateValues" dxfId="356" priority="515"/>
  </conditionalFormatting>
  <conditionalFormatting sqref="F43">
    <cfRule type="duplicateValues" dxfId="355" priority="516"/>
  </conditionalFormatting>
  <conditionalFormatting sqref="F44">
    <cfRule type="duplicateValues" dxfId="354" priority="507"/>
  </conditionalFormatting>
  <conditionalFormatting sqref="F44">
    <cfRule type="duplicateValues" dxfId="353" priority="508"/>
    <cfRule type="duplicateValues" dxfId="352" priority="509"/>
  </conditionalFormatting>
  <conditionalFormatting sqref="F44">
    <cfRule type="duplicateValues" dxfId="351" priority="510"/>
  </conditionalFormatting>
  <conditionalFormatting sqref="F45">
    <cfRule type="duplicateValues" dxfId="350" priority="499"/>
  </conditionalFormatting>
  <conditionalFormatting sqref="F45">
    <cfRule type="duplicateValues" dxfId="349" priority="500"/>
    <cfRule type="duplicateValues" dxfId="348" priority="501"/>
  </conditionalFormatting>
  <conditionalFormatting sqref="F45">
    <cfRule type="duplicateValues" dxfId="347" priority="502"/>
  </conditionalFormatting>
  <conditionalFormatting sqref="F46">
    <cfRule type="duplicateValues" dxfId="346" priority="493"/>
  </conditionalFormatting>
  <conditionalFormatting sqref="F46">
    <cfRule type="duplicateValues" dxfId="345" priority="494"/>
    <cfRule type="duplicateValues" dxfId="344" priority="495"/>
  </conditionalFormatting>
  <conditionalFormatting sqref="F46">
    <cfRule type="duplicateValues" dxfId="343" priority="496"/>
  </conditionalFormatting>
  <conditionalFormatting sqref="F47">
    <cfRule type="duplicateValues" dxfId="342" priority="487"/>
  </conditionalFormatting>
  <conditionalFormatting sqref="F47">
    <cfRule type="duplicateValues" dxfId="341" priority="488"/>
    <cfRule type="duplicateValues" dxfId="340" priority="489"/>
  </conditionalFormatting>
  <conditionalFormatting sqref="F47">
    <cfRule type="duplicateValues" dxfId="339" priority="490"/>
  </conditionalFormatting>
  <conditionalFormatting sqref="F48">
    <cfRule type="duplicateValues" dxfId="338" priority="481"/>
  </conditionalFormatting>
  <conditionalFormatting sqref="F48">
    <cfRule type="duplicateValues" dxfId="337" priority="482"/>
    <cfRule type="duplicateValues" dxfId="336" priority="483"/>
  </conditionalFormatting>
  <conditionalFormatting sqref="F48">
    <cfRule type="duplicateValues" dxfId="335" priority="484"/>
  </conditionalFormatting>
  <conditionalFormatting sqref="F49">
    <cfRule type="duplicateValues" dxfId="334" priority="475"/>
  </conditionalFormatting>
  <conditionalFormatting sqref="F49">
    <cfRule type="duplicateValues" dxfId="333" priority="476"/>
    <cfRule type="duplicateValues" dxfId="332" priority="477"/>
  </conditionalFormatting>
  <conditionalFormatting sqref="F49">
    <cfRule type="duplicateValues" dxfId="331" priority="478"/>
  </conditionalFormatting>
  <conditionalFormatting sqref="F50">
    <cfRule type="duplicateValues" dxfId="330" priority="469"/>
  </conditionalFormatting>
  <conditionalFormatting sqref="F50">
    <cfRule type="duplicateValues" dxfId="329" priority="470"/>
    <cfRule type="duplicateValues" dxfId="328" priority="471"/>
  </conditionalFormatting>
  <conditionalFormatting sqref="F50">
    <cfRule type="duplicateValues" dxfId="327" priority="472"/>
  </conditionalFormatting>
  <conditionalFormatting sqref="F51">
    <cfRule type="duplicateValues" dxfId="326" priority="461"/>
  </conditionalFormatting>
  <conditionalFormatting sqref="F51">
    <cfRule type="duplicateValues" dxfId="325" priority="462"/>
    <cfRule type="duplicateValues" dxfId="324" priority="463"/>
  </conditionalFormatting>
  <conditionalFormatting sqref="F51">
    <cfRule type="duplicateValues" dxfId="323" priority="464"/>
  </conditionalFormatting>
  <conditionalFormatting sqref="F52">
    <cfRule type="duplicateValues" dxfId="322" priority="455"/>
  </conditionalFormatting>
  <conditionalFormatting sqref="F52">
    <cfRule type="duplicateValues" dxfId="321" priority="456"/>
    <cfRule type="duplicateValues" dxfId="320" priority="457"/>
  </conditionalFormatting>
  <conditionalFormatting sqref="F52">
    <cfRule type="duplicateValues" dxfId="319" priority="458"/>
  </conditionalFormatting>
  <conditionalFormatting sqref="F53">
    <cfRule type="duplicateValues" dxfId="318" priority="449"/>
  </conditionalFormatting>
  <conditionalFormatting sqref="F53">
    <cfRule type="duplicateValues" dxfId="317" priority="450"/>
    <cfRule type="duplicateValues" dxfId="316" priority="451"/>
  </conditionalFormatting>
  <conditionalFormatting sqref="F53">
    <cfRule type="duplicateValues" dxfId="315" priority="452"/>
  </conditionalFormatting>
  <conditionalFormatting sqref="F54">
    <cfRule type="duplicateValues" dxfId="314" priority="443"/>
  </conditionalFormatting>
  <conditionalFormatting sqref="F54">
    <cfRule type="duplicateValues" dxfId="313" priority="444"/>
    <cfRule type="duplicateValues" dxfId="312" priority="445"/>
  </conditionalFormatting>
  <conditionalFormatting sqref="F55">
    <cfRule type="duplicateValues" dxfId="311" priority="438"/>
  </conditionalFormatting>
  <conditionalFormatting sqref="F55">
    <cfRule type="duplicateValues" dxfId="310" priority="439"/>
    <cfRule type="duplicateValues" dxfId="309" priority="440"/>
  </conditionalFormatting>
  <conditionalFormatting sqref="F55">
    <cfRule type="duplicateValues" dxfId="308" priority="441"/>
  </conditionalFormatting>
  <conditionalFormatting sqref="F57">
    <cfRule type="duplicateValues" dxfId="307" priority="432"/>
  </conditionalFormatting>
  <conditionalFormatting sqref="F57">
    <cfRule type="duplicateValues" dxfId="306" priority="433"/>
    <cfRule type="duplicateValues" dxfId="305" priority="434"/>
  </conditionalFormatting>
  <conditionalFormatting sqref="F57">
    <cfRule type="duplicateValues" dxfId="304" priority="435"/>
  </conditionalFormatting>
  <conditionalFormatting sqref="F58">
    <cfRule type="duplicateValues" dxfId="303" priority="426"/>
  </conditionalFormatting>
  <conditionalFormatting sqref="F58">
    <cfRule type="duplicateValues" dxfId="302" priority="427"/>
    <cfRule type="duplicateValues" dxfId="301" priority="428"/>
  </conditionalFormatting>
  <conditionalFormatting sqref="F58">
    <cfRule type="duplicateValues" dxfId="300" priority="429"/>
  </conditionalFormatting>
  <conditionalFormatting sqref="F59:F61">
    <cfRule type="duplicateValues" dxfId="299" priority="419"/>
  </conditionalFormatting>
  <conditionalFormatting sqref="F59:F61">
    <cfRule type="duplicateValues" dxfId="298" priority="420"/>
    <cfRule type="duplicateValues" dxfId="297" priority="421"/>
  </conditionalFormatting>
  <conditionalFormatting sqref="F59:F61">
    <cfRule type="duplicateValues" dxfId="296" priority="422"/>
  </conditionalFormatting>
  <conditionalFormatting sqref="F62">
    <cfRule type="duplicateValues" dxfId="295" priority="412"/>
  </conditionalFormatting>
  <conditionalFormatting sqref="F62">
    <cfRule type="duplicateValues" dxfId="294" priority="413"/>
    <cfRule type="duplicateValues" dxfId="293" priority="414"/>
  </conditionalFormatting>
  <conditionalFormatting sqref="F62">
    <cfRule type="duplicateValues" dxfId="292" priority="415"/>
  </conditionalFormatting>
  <conditionalFormatting sqref="F63">
    <cfRule type="duplicateValues" dxfId="291" priority="405"/>
  </conditionalFormatting>
  <conditionalFormatting sqref="F63">
    <cfRule type="duplicateValues" dxfId="290" priority="406"/>
    <cfRule type="duplicateValues" dxfId="289" priority="407"/>
  </conditionalFormatting>
  <conditionalFormatting sqref="F63">
    <cfRule type="duplicateValues" dxfId="288" priority="408"/>
  </conditionalFormatting>
  <conditionalFormatting sqref="F64">
    <cfRule type="duplicateValues" dxfId="287" priority="398"/>
  </conditionalFormatting>
  <conditionalFormatting sqref="F64">
    <cfRule type="duplicateValues" dxfId="286" priority="399"/>
    <cfRule type="duplicateValues" dxfId="285" priority="400"/>
  </conditionalFormatting>
  <conditionalFormatting sqref="F64">
    <cfRule type="duplicateValues" dxfId="284" priority="401"/>
  </conditionalFormatting>
  <conditionalFormatting sqref="F65">
    <cfRule type="duplicateValues" dxfId="283" priority="391"/>
  </conditionalFormatting>
  <conditionalFormatting sqref="F65">
    <cfRule type="duplicateValues" dxfId="282" priority="392"/>
    <cfRule type="duplicateValues" dxfId="281" priority="393"/>
  </conditionalFormatting>
  <conditionalFormatting sqref="F65">
    <cfRule type="duplicateValues" dxfId="280" priority="394"/>
  </conditionalFormatting>
  <conditionalFormatting sqref="F66">
    <cfRule type="duplicateValues" dxfId="279" priority="384"/>
  </conditionalFormatting>
  <conditionalFormatting sqref="F66">
    <cfRule type="duplicateValues" dxfId="278" priority="385"/>
    <cfRule type="duplicateValues" dxfId="277" priority="386"/>
  </conditionalFormatting>
  <conditionalFormatting sqref="F66">
    <cfRule type="duplicateValues" dxfId="276" priority="387"/>
  </conditionalFormatting>
  <conditionalFormatting sqref="F67">
    <cfRule type="duplicateValues" dxfId="275" priority="377"/>
  </conditionalFormatting>
  <conditionalFormatting sqref="F67">
    <cfRule type="duplicateValues" dxfId="274" priority="378"/>
    <cfRule type="duplicateValues" dxfId="273" priority="379"/>
  </conditionalFormatting>
  <conditionalFormatting sqref="F67">
    <cfRule type="duplicateValues" dxfId="272" priority="380"/>
  </conditionalFormatting>
  <conditionalFormatting sqref="F68">
    <cfRule type="duplicateValues" dxfId="271" priority="370"/>
  </conditionalFormatting>
  <conditionalFormatting sqref="F68">
    <cfRule type="duplicateValues" dxfId="270" priority="371"/>
    <cfRule type="duplicateValues" dxfId="269" priority="372"/>
  </conditionalFormatting>
  <conditionalFormatting sqref="F68">
    <cfRule type="duplicateValues" dxfId="268" priority="373"/>
  </conditionalFormatting>
  <conditionalFormatting sqref="F69">
    <cfRule type="duplicateValues" dxfId="267" priority="363"/>
  </conditionalFormatting>
  <conditionalFormatting sqref="F69">
    <cfRule type="duplicateValues" dxfId="266" priority="364"/>
    <cfRule type="duplicateValues" dxfId="265" priority="365"/>
  </conditionalFormatting>
  <conditionalFormatting sqref="F69">
    <cfRule type="duplicateValues" dxfId="264" priority="366"/>
  </conditionalFormatting>
  <conditionalFormatting sqref="F70">
    <cfRule type="duplicateValues" dxfId="263" priority="356"/>
  </conditionalFormatting>
  <conditionalFormatting sqref="F70">
    <cfRule type="duplicateValues" dxfId="262" priority="357"/>
    <cfRule type="duplicateValues" dxfId="261" priority="358"/>
  </conditionalFormatting>
  <conditionalFormatting sqref="F70">
    <cfRule type="duplicateValues" dxfId="260" priority="359"/>
  </conditionalFormatting>
  <conditionalFormatting sqref="F71">
    <cfRule type="duplicateValues" dxfId="259" priority="349"/>
  </conditionalFormatting>
  <conditionalFormatting sqref="F71">
    <cfRule type="duplicateValues" dxfId="258" priority="350"/>
    <cfRule type="duplicateValues" dxfId="257" priority="351"/>
  </conditionalFormatting>
  <conditionalFormatting sqref="F71">
    <cfRule type="duplicateValues" dxfId="256" priority="352"/>
  </conditionalFormatting>
  <conditionalFormatting sqref="F72">
    <cfRule type="duplicateValues" dxfId="255" priority="337"/>
  </conditionalFormatting>
  <conditionalFormatting sqref="F72">
    <cfRule type="duplicateValues" dxfId="254" priority="338"/>
    <cfRule type="duplicateValues" dxfId="253" priority="339"/>
  </conditionalFormatting>
  <conditionalFormatting sqref="F72">
    <cfRule type="duplicateValues" dxfId="252" priority="340"/>
  </conditionalFormatting>
  <conditionalFormatting sqref="F73">
    <cfRule type="duplicateValues" dxfId="251" priority="330"/>
  </conditionalFormatting>
  <conditionalFormatting sqref="F73">
    <cfRule type="duplicateValues" dxfId="250" priority="331"/>
    <cfRule type="duplicateValues" dxfId="249" priority="332"/>
  </conditionalFormatting>
  <conditionalFormatting sqref="F73">
    <cfRule type="duplicateValues" dxfId="248" priority="333"/>
  </conditionalFormatting>
  <conditionalFormatting sqref="F74">
    <cfRule type="duplicateValues" dxfId="247" priority="323"/>
  </conditionalFormatting>
  <conditionalFormatting sqref="F74">
    <cfRule type="duplicateValues" dxfId="246" priority="324"/>
    <cfRule type="duplicateValues" dxfId="245" priority="325"/>
  </conditionalFormatting>
  <conditionalFormatting sqref="F74">
    <cfRule type="duplicateValues" dxfId="244" priority="326"/>
  </conditionalFormatting>
  <conditionalFormatting sqref="F75">
    <cfRule type="duplicateValues" dxfId="243" priority="316"/>
  </conditionalFormatting>
  <conditionalFormatting sqref="F75">
    <cfRule type="duplicateValues" dxfId="242" priority="317"/>
    <cfRule type="duplicateValues" dxfId="241" priority="318"/>
  </conditionalFormatting>
  <conditionalFormatting sqref="F75">
    <cfRule type="duplicateValues" dxfId="240" priority="319"/>
  </conditionalFormatting>
  <conditionalFormatting sqref="F76">
    <cfRule type="duplicateValues" dxfId="239" priority="309"/>
  </conditionalFormatting>
  <conditionalFormatting sqref="F76">
    <cfRule type="duplicateValues" dxfId="238" priority="310"/>
    <cfRule type="duplicateValues" dxfId="237" priority="311"/>
  </conditionalFormatting>
  <conditionalFormatting sqref="F76">
    <cfRule type="duplicateValues" dxfId="236" priority="312"/>
  </conditionalFormatting>
  <conditionalFormatting sqref="F77">
    <cfRule type="duplicateValues" dxfId="235" priority="302"/>
  </conditionalFormatting>
  <conditionalFormatting sqref="F77">
    <cfRule type="duplicateValues" dxfId="234" priority="303"/>
    <cfRule type="duplicateValues" dxfId="233" priority="304"/>
  </conditionalFormatting>
  <conditionalFormatting sqref="F77">
    <cfRule type="duplicateValues" dxfId="232" priority="305"/>
  </conditionalFormatting>
  <conditionalFormatting sqref="F78">
    <cfRule type="duplicateValues" dxfId="231" priority="295"/>
  </conditionalFormatting>
  <conditionalFormatting sqref="F78">
    <cfRule type="duplicateValues" dxfId="230" priority="296"/>
    <cfRule type="duplicateValues" dxfId="229" priority="297"/>
  </conditionalFormatting>
  <conditionalFormatting sqref="F78">
    <cfRule type="duplicateValues" dxfId="228" priority="298"/>
  </conditionalFormatting>
  <conditionalFormatting sqref="F79">
    <cfRule type="duplicateValues" dxfId="227" priority="288"/>
  </conditionalFormatting>
  <conditionalFormatting sqref="F79">
    <cfRule type="duplicateValues" dxfId="226" priority="289"/>
    <cfRule type="duplicateValues" dxfId="225" priority="290"/>
  </conditionalFormatting>
  <conditionalFormatting sqref="F79">
    <cfRule type="duplicateValues" dxfId="224" priority="291"/>
  </conditionalFormatting>
  <conditionalFormatting sqref="F80">
    <cfRule type="duplicateValues" dxfId="223" priority="281"/>
  </conditionalFormatting>
  <conditionalFormatting sqref="F80">
    <cfRule type="duplicateValues" dxfId="222" priority="282"/>
    <cfRule type="duplicateValues" dxfId="221" priority="283"/>
  </conditionalFormatting>
  <conditionalFormatting sqref="F80">
    <cfRule type="duplicateValues" dxfId="220" priority="284"/>
  </conditionalFormatting>
  <conditionalFormatting sqref="F81">
    <cfRule type="duplicateValues" dxfId="219" priority="267"/>
  </conditionalFormatting>
  <conditionalFormatting sqref="F81">
    <cfRule type="duplicateValues" dxfId="218" priority="268"/>
    <cfRule type="duplicateValues" dxfId="217" priority="269"/>
  </conditionalFormatting>
  <conditionalFormatting sqref="F81">
    <cfRule type="duplicateValues" dxfId="216" priority="270"/>
  </conditionalFormatting>
  <conditionalFormatting sqref="F82">
    <cfRule type="duplicateValues" dxfId="215" priority="260"/>
  </conditionalFormatting>
  <conditionalFormatting sqref="F82">
    <cfRule type="duplicateValues" dxfId="214" priority="261"/>
    <cfRule type="duplicateValues" dxfId="213" priority="262"/>
  </conditionalFormatting>
  <conditionalFormatting sqref="F82">
    <cfRule type="duplicateValues" dxfId="212" priority="263"/>
  </conditionalFormatting>
  <conditionalFormatting sqref="F83">
    <cfRule type="duplicateValues" dxfId="211" priority="253"/>
  </conditionalFormatting>
  <conditionalFormatting sqref="F83">
    <cfRule type="duplicateValues" dxfId="210" priority="254"/>
    <cfRule type="duplicateValues" dxfId="209" priority="255"/>
  </conditionalFormatting>
  <conditionalFormatting sqref="F83">
    <cfRule type="duplicateValues" dxfId="208" priority="256"/>
  </conditionalFormatting>
  <conditionalFormatting sqref="F84">
    <cfRule type="duplicateValues" dxfId="207" priority="246"/>
  </conditionalFormatting>
  <conditionalFormatting sqref="F84">
    <cfRule type="duplicateValues" dxfId="206" priority="247"/>
    <cfRule type="duplicateValues" dxfId="205" priority="248"/>
  </conditionalFormatting>
  <conditionalFormatting sqref="F84">
    <cfRule type="duplicateValues" dxfId="204" priority="249"/>
  </conditionalFormatting>
  <conditionalFormatting sqref="F86">
    <cfRule type="duplicateValues" dxfId="203" priority="236"/>
  </conditionalFormatting>
  <conditionalFormatting sqref="F86">
    <cfRule type="duplicateValues" dxfId="202" priority="237"/>
    <cfRule type="duplicateValues" dxfId="201" priority="238"/>
  </conditionalFormatting>
  <conditionalFormatting sqref="F86">
    <cfRule type="duplicateValues" dxfId="200" priority="239"/>
  </conditionalFormatting>
  <conditionalFormatting sqref="F87">
    <cfRule type="duplicateValues" dxfId="199" priority="229"/>
  </conditionalFormatting>
  <conditionalFormatting sqref="F87">
    <cfRule type="duplicateValues" dxfId="198" priority="230"/>
    <cfRule type="duplicateValues" dxfId="197" priority="231"/>
  </conditionalFormatting>
  <conditionalFormatting sqref="F87">
    <cfRule type="duplicateValues" dxfId="196" priority="232"/>
  </conditionalFormatting>
  <conditionalFormatting sqref="F88">
    <cfRule type="duplicateValues" dxfId="195" priority="222"/>
  </conditionalFormatting>
  <conditionalFormatting sqref="F88">
    <cfRule type="duplicateValues" dxfId="194" priority="223"/>
    <cfRule type="duplicateValues" dxfId="193" priority="224"/>
  </conditionalFormatting>
  <conditionalFormatting sqref="F88">
    <cfRule type="duplicateValues" dxfId="192" priority="225"/>
  </conditionalFormatting>
  <conditionalFormatting sqref="F89">
    <cfRule type="duplicateValues" dxfId="191" priority="215"/>
  </conditionalFormatting>
  <conditionalFormatting sqref="F89">
    <cfRule type="duplicateValues" dxfId="190" priority="216"/>
    <cfRule type="duplicateValues" dxfId="189" priority="217"/>
  </conditionalFormatting>
  <conditionalFormatting sqref="F89">
    <cfRule type="duplicateValues" dxfId="188" priority="218"/>
  </conditionalFormatting>
  <conditionalFormatting sqref="F90">
    <cfRule type="duplicateValues" dxfId="187" priority="208"/>
  </conditionalFormatting>
  <conditionalFormatting sqref="F90">
    <cfRule type="duplicateValues" dxfId="186" priority="209"/>
    <cfRule type="duplicateValues" dxfId="185" priority="210"/>
  </conditionalFormatting>
  <conditionalFormatting sqref="F90">
    <cfRule type="duplicateValues" dxfId="184" priority="211"/>
  </conditionalFormatting>
  <conditionalFormatting sqref="F91">
    <cfRule type="duplicateValues" dxfId="183" priority="201"/>
  </conditionalFormatting>
  <conditionalFormatting sqref="F91">
    <cfRule type="duplicateValues" dxfId="182" priority="202"/>
    <cfRule type="duplicateValues" dxfId="181" priority="203"/>
  </conditionalFormatting>
  <conditionalFormatting sqref="F91">
    <cfRule type="duplicateValues" dxfId="180" priority="204"/>
  </conditionalFormatting>
  <conditionalFormatting sqref="F92">
    <cfRule type="duplicateValues" dxfId="179" priority="194"/>
  </conditionalFormatting>
  <conditionalFormatting sqref="F92">
    <cfRule type="duplicateValues" dxfId="178" priority="195"/>
    <cfRule type="duplicateValues" dxfId="177" priority="196"/>
  </conditionalFormatting>
  <conditionalFormatting sqref="F92">
    <cfRule type="duplicateValues" dxfId="176" priority="197"/>
  </conditionalFormatting>
  <conditionalFormatting sqref="F93">
    <cfRule type="duplicateValues" dxfId="175" priority="187"/>
  </conditionalFormatting>
  <conditionalFormatting sqref="F93">
    <cfRule type="duplicateValues" dxfId="174" priority="188"/>
    <cfRule type="duplicateValues" dxfId="173" priority="189"/>
  </conditionalFormatting>
  <conditionalFormatting sqref="F93">
    <cfRule type="duplicateValues" dxfId="172" priority="190"/>
  </conditionalFormatting>
  <conditionalFormatting sqref="F94">
    <cfRule type="duplicateValues" dxfId="171" priority="180"/>
  </conditionalFormatting>
  <conditionalFormatting sqref="F94">
    <cfRule type="duplicateValues" dxfId="170" priority="181"/>
    <cfRule type="duplicateValues" dxfId="169" priority="182"/>
  </conditionalFormatting>
  <conditionalFormatting sqref="F94">
    <cfRule type="duplicateValues" dxfId="168" priority="183"/>
  </conditionalFormatting>
  <conditionalFormatting sqref="F95">
    <cfRule type="duplicateValues" dxfId="167" priority="173"/>
  </conditionalFormatting>
  <conditionalFormatting sqref="F95">
    <cfRule type="duplicateValues" dxfId="166" priority="174"/>
    <cfRule type="duplicateValues" dxfId="165" priority="175"/>
  </conditionalFormatting>
  <conditionalFormatting sqref="F95">
    <cfRule type="duplicateValues" dxfId="164" priority="176"/>
  </conditionalFormatting>
  <conditionalFormatting sqref="F96">
    <cfRule type="duplicateValues" dxfId="163" priority="166"/>
    <cfRule type="duplicateValues" dxfId="162" priority="167"/>
  </conditionalFormatting>
  <conditionalFormatting sqref="F96">
    <cfRule type="duplicateValues" dxfId="161" priority="168"/>
  </conditionalFormatting>
  <conditionalFormatting sqref="F96">
    <cfRule type="duplicateValues" dxfId="160" priority="169"/>
  </conditionalFormatting>
  <conditionalFormatting sqref="F97">
    <cfRule type="duplicateValues" dxfId="159" priority="161"/>
    <cfRule type="duplicateValues" dxfId="158" priority="162"/>
  </conditionalFormatting>
  <conditionalFormatting sqref="F97">
    <cfRule type="duplicateValues" dxfId="157" priority="163"/>
  </conditionalFormatting>
  <conditionalFormatting sqref="F97">
    <cfRule type="duplicateValues" dxfId="156" priority="164"/>
  </conditionalFormatting>
  <conditionalFormatting sqref="F98">
    <cfRule type="duplicateValues" dxfId="155" priority="156"/>
    <cfRule type="duplicateValues" dxfId="154" priority="157"/>
  </conditionalFormatting>
  <conditionalFormatting sqref="F98">
    <cfRule type="duplicateValues" dxfId="153" priority="158"/>
  </conditionalFormatting>
  <conditionalFormatting sqref="F98">
    <cfRule type="duplicateValues" dxfId="152" priority="159"/>
  </conditionalFormatting>
  <conditionalFormatting sqref="F99">
    <cfRule type="duplicateValues" dxfId="151" priority="151"/>
    <cfRule type="duplicateValues" dxfId="150" priority="152"/>
  </conditionalFormatting>
  <conditionalFormatting sqref="F99">
    <cfRule type="duplicateValues" dxfId="149" priority="153"/>
  </conditionalFormatting>
  <conditionalFormatting sqref="F99">
    <cfRule type="duplicateValues" dxfId="148" priority="154"/>
  </conditionalFormatting>
  <conditionalFormatting sqref="F100">
    <cfRule type="duplicateValues" dxfId="147" priority="146"/>
    <cfRule type="duplicateValues" dxfId="146" priority="147"/>
  </conditionalFormatting>
  <conditionalFormatting sqref="F100">
    <cfRule type="duplicateValues" dxfId="145" priority="148"/>
  </conditionalFormatting>
  <conditionalFormatting sqref="F100">
    <cfRule type="duplicateValues" dxfId="144" priority="149"/>
  </conditionalFormatting>
  <conditionalFormatting sqref="F101">
    <cfRule type="duplicateValues" dxfId="143" priority="141"/>
    <cfRule type="duplicateValues" dxfId="142" priority="142"/>
  </conditionalFormatting>
  <conditionalFormatting sqref="F101">
    <cfRule type="duplicateValues" dxfId="141" priority="143"/>
  </conditionalFormatting>
  <conditionalFormatting sqref="F101">
    <cfRule type="duplicateValues" dxfId="140" priority="144"/>
  </conditionalFormatting>
  <conditionalFormatting sqref="F102">
    <cfRule type="duplicateValues" dxfId="139" priority="136"/>
    <cfRule type="duplicateValues" dxfId="138" priority="137"/>
  </conditionalFormatting>
  <conditionalFormatting sqref="F102">
    <cfRule type="duplicateValues" dxfId="137" priority="138"/>
  </conditionalFormatting>
  <conditionalFormatting sqref="F102">
    <cfRule type="duplicateValues" dxfId="136" priority="139"/>
  </conditionalFormatting>
  <conditionalFormatting sqref="F103">
    <cfRule type="duplicateValues" dxfId="135" priority="130"/>
    <cfRule type="duplicateValues" dxfId="134" priority="131"/>
  </conditionalFormatting>
  <conditionalFormatting sqref="F103">
    <cfRule type="duplicateValues" dxfId="133" priority="132"/>
  </conditionalFormatting>
  <conditionalFormatting sqref="F103">
    <cfRule type="duplicateValues" dxfId="132" priority="133"/>
  </conditionalFormatting>
  <conditionalFormatting sqref="F104 F106">
    <cfRule type="duplicateValues" dxfId="131" priority="124"/>
    <cfRule type="duplicateValues" dxfId="130" priority="125"/>
  </conditionalFormatting>
  <conditionalFormatting sqref="F104 F106">
    <cfRule type="duplicateValues" dxfId="129" priority="126"/>
  </conditionalFormatting>
  <conditionalFormatting sqref="F107:F108">
    <cfRule type="duplicateValues" dxfId="128" priority="118"/>
    <cfRule type="duplicateValues" dxfId="127" priority="119"/>
  </conditionalFormatting>
  <conditionalFormatting sqref="F107:F108">
    <cfRule type="duplicateValues" dxfId="126" priority="120"/>
  </conditionalFormatting>
  <conditionalFormatting sqref="F107:F108">
    <cfRule type="duplicateValues" dxfId="125" priority="121"/>
  </conditionalFormatting>
  <conditionalFormatting sqref="F109">
    <cfRule type="duplicateValues" dxfId="124" priority="112"/>
    <cfRule type="duplicateValues" dxfId="123" priority="113"/>
  </conditionalFormatting>
  <conditionalFormatting sqref="F109">
    <cfRule type="duplicateValues" dxfId="122" priority="114"/>
  </conditionalFormatting>
  <conditionalFormatting sqref="F109">
    <cfRule type="duplicateValues" dxfId="121" priority="115"/>
  </conditionalFormatting>
  <conditionalFormatting sqref="F110">
    <cfRule type="duplicateValues" dxfId="120" priority="106"/>
    <cfRule type="duplicateValues" dxfId="119" priority="107"/>
  </conditionalFormatting>
  <conditionalFormatting sqref="F110">
    <cfRule type="duplicateValues" dxfId="118" priority="108"/>
  </conditionalFormatting>
  <conditionalFormatting sqref="F110">
    <cfRule type="duplicateValues" dxfId="117" priority="109"/>
  </conditionalFormatting>
  <conditionalFormatting sqref="F111">
    <cfRule type="duplicateValues" dxfId="116" priority="100"/>
    <cfRule type="duplicateValues" dxfId="115" priority="101"/>
  </conditionalFormatting>
  <conditionalFormatting sqref="F111">
    <cfRule type="duplicateValues" dxfId="114" priority="102"/>
  </conditionalFormatting>
  <conditionalFormatting sqref="F111">
    <cfRule type="duplicateValues" dxfId="113" priority="103"/>
  </conditionalFormatting>
  <conditionalFormatting sqref="F112">
    <cfRule type="duplicateValues" dxfId="112" priority="96"/>
  </conditionalFormatting>
  <conditionalFormatting sqref="F112">
    <cfRule type="duplicateValues" dxfId="111" priority="93"/>
  </conditionalFormatting>
  <conditionalFormatting sqref="F112">
    <cfRule type="duplicateValues" dxfId="110" priority="94"/>
    <cfRule type="duplicateValues" dxfId="109" priority="95"/>
  </conditionalFormatting>
  <conditionalFormatting sqref="F113">
    <cfRule type="duplicateValues" dxfId="108" priority="91"/>
  </conditionalFormatting>
  <conditionalFormatting sqref="F113">
    <cfRule type="duplicateValues" dxfId="107" priority="88"/>
  </conditionalFormatting>
  <conditionalFormatting sqref="F113">
    <cfRule type="duplicateValues" dxfId="106" priority="89"/>
    <cfRule type="duplicateValues" dxfId="105" priority="90"/>
  </conditionalFormatting>
  <conditionalFormatting sqref="F114">
    <cfRule type="duplicateValues" dxfId="104" priority="84"/>
    <cfRule type="duplicateValues" dxfId="103" priority="85"/>
  </conditionalFormatting>
  <conditionalFormatting sqref="F114">
    <cfRule type="duplicateValues" dxfId="102" priority="86"/>
  </conditionalFormatting>
  <conditionalFormatting sqref="F114">
    <cfRule type="duplicateValues" dxfId="101" priority="87"/>
  </conditionalFormatting>
  <conditionalFormatting sqref="F115">
    <cfRule type="duplicateValues" dxfId="100" priority="80"/>
    <cfRule type="duplicateValues" dxfId="99" priority="81"/>
  </conditionalFormatting>
  <conditionalFormatting sqref="F115">
    <cfRule type="duplicateValues" dxfId="98" priority="82"/>
  </conditionalFormatting>
  <conditionalFormatting sqref="F115">
    <cfRule type="duplicateValues" dxfId="97" priority="83"/>
  </conditionalFormatting>
  <conditionalFormatting sqref="F116">
    <cfRule type="duplicateValues" dxfId="96" priority="76"/>
    <cfRule type="duplicateValues" dxfId="95" priority="77"/>
  </conditionalFormatting>
  <conditionalFormatting sqref="F116">
    <cfRule type="duplicateValues" dxfId="94" priority="78"/>
  </conditionalFormatting>
  <conditionalFormatting sqref="F116">
    <cfRule type="duplicateValues" dxfId="93" priority="79"/>
  </conditionalFormatting>
  <conditionalFormatting sqref="F117">
    <cfRule type="duplicateValues" dxfId="92" priority="72"/>
    <cfRule type="duplicateValues" dxfId="91" priority="73"/>
  </conditionalFormatting>
  <conditionalFormatting sqref="F117">
    <cfRule type="duplicateValues" dxfId="90" priority="74"/>
  </conditionalFormatting>
  <conditionalFormatting sqref="F117">
    <cfRule type="duplicateValues" dxfId="89" priority="75"/>
  </conditionalFormatting>
  <conditionalFormatting sqref="F118">
    <cfRule type="duplicateValues" dxfId="88" priority="68"/>
    <cfRule type="duplicateValues" dxfId="87" priority="69"/>
  </conditionalFormatting>
  <conditionalFormatting sqref="F118">
    <cfRule type="duplicateValues" dxfId="86" priority="70"/>
  </conditionalFormatting>
  <conditionalFormatting sqref="F118">
    <cfRule type="duplicateValues" dxfId="85" priority="71"/>
  </conditionalFormatting>
  <conditionalFormatting sqref="F119">
    <cfRule type="duplicateValues" dxfId="84" priority="64"/>
    <cfRule type="duplicateValues" dxfId="83" priority="65"/>
  </conditionalFormatting>
  <conditionalFormatting sqref="F119">
    <cfRule type="duplicateValues" dxfId="82" priority="66"/>
  </conditionalFormatting>
  <conditionalFormatting sqref="F119">
    <cfRule type="duplicateValues" dxfId="81" priority="67"/>
  </conditionalFormatting>
  <conditionalFormatting sqref="F120">
    <cfRule type="duplicateValues" dxfId="80" priority="60"/>
    <cfRule type="duplicateValues" dxfId="79" priority="61"/>
  </conditionalFormatting>
  <conditionalFormatting sqref="F120">
    <cfRule type="duplicateValues" dxfId="78" priority="62"/>
  </conditionalFormatting>
  <conditionalFormatting sqref="F120">
    <cfRule type="duplicateValues" dxfId="77" priority="63"/>
  </conditionalFormatting>
  <conditionalFormatting sqref="F121">
    <cfRule type="duplicateValues" dxfId="76" priority="52"/>
    <cfRule type="duplicateValues" dxfId="75" priority="53"/>
  </conditionalFormatting>
  <conditionalFormatting sqref="F121">
    <cfRule type="duplicateValues" dxfId="74" priority="54"/>
  </conditionalFormatting>
  <conditionalFormatting sqref="F121">
    <cfRule type="duplicateValues" dxfId="73" priority="55"/>
  </conditionalFormatting>
  <conditionalFormatting sqref="F122">
    <cfRule type="duplicateValues" dxfId="72" priority="48"/>
    <cfRule type="duplicateValues" dxfId="71" priority="49"/>
  </conditionalFormatting>
  <conditionalFormatting sqref="F122">
    <cfRule type="duplicateValues" dxfId="70" priority="50"/>
  </conditionalFormatting>
  <conditionalFormatting sqref="F122">
    <cfRule type="duplicateValues" dxfId="69" priority="51"/>
  </conditionalFormatting>
  <conditionalFormatting sqref="F123">
    <cfRule type="duplicateValues" dxfId="68" priority="44"/>
    <cfRule type="duplicateValues" dxfId="67" priority="45"/>
  </conditionalFormatting>
  <conditionalFormatting sqref="F123">
    <cfRule type="duplicateValues" dxfId="66" priority="46"/>
  </conditionalFormatting>
  <conditionalFormatting sqref="F123">
    <cfRule type="duplicateValues" dxfId="65" priority="47"/>
  </conditionalFormatting>
  <conditionalFormatting sqref="F124">
    <cfRule type="duplicateValues" dxfId="64" priority="40"/>
    <cfRule type="duplicateValues" dxfId="63" priority="41"/>
  </conditionalFormatting>
  <conditionalFormatting sqref="F124">
    <cfRule type="duplicateValues" dxfId="62" priority="42"/>
  </conditionalFormatting>
  <conditionalFormatting sqref="F124">
    <cfRule type="duplicateValues" dxfId="61" priority="43"/>
  </conditionalFormatting>
  <conditionalFormatting sqref="F125">
    <cfRule type="duplicateValues" dxfId="60" priority="36"/>
    <cfRule type="duplicateValues" dxfId="59" priority="37"/>
  </conditionalFormatting>
  <conditionalFormatting sqref="F125">
    <cfRule type="duplicateValues" dxfId="58" priority="38"/>
  </conditionalFormatting>
  <conditionalFormatting sqref="F125">
    <cfRule type="duplicateValues" dxfId="57" priority="39"/>
  </conditionalFormatting>
  <conditionalFormatting sqref="F126">
    <cfRule type="duplicateValues" dxfId="56" priority="32"/>
    <cfRule type="duplicateValues" dxfId="55" priority="33"/>
  </conditionalFormatting>
  <conditionalFormatting sqref="F126">
    <cfRule type="duplicateValues" dxfId="54" priority="34"/>
  </conditionalFormatting>
  <conditionalFormatting sqref="F126">
    <cfRule type="duplicateValues" dxfId="53" priority="35"/>
  </conditionalFormatting>
  <conditionalFormatting sqref="F127">
    <cfRule type="duplicateValues" dxfId="52" priority="28"/>
    <cfRule type="duplicateValues" dxfId="51" priority="29"/>
  </conditionalFormatting>
  <conditionalFormatting sqref="F127">
    <cfRule type="duplicateValues" dxfId="50" priority="30"/>
  </conditionalFormatting>
  <conditionalFormatting sqref="F127">
    <cfRule type="duplicateValues" dxfId="49" priority="31"/>
  </conditionalFormatting>
  <conditionalFormatting sqref="F128">
    <cfRule type="duplicateValues" dxfId="48" priority="24"/>
    <cfRule type="duplicateValues" dxfId="47" priority="25"/>
  </conditionalFormatting>
  <conditionalFormatting sqref="F128">
    <cfRule type="duplicateValues" dxfId="46" priority="26"/>
  </conditionalFormatting>
  <conditionalFormatting sqref="F128">
    <cfRule type="duplicateValues" dxfId="45" priority="27"/>
  </conditionalFormatting>
  <conditionalFormatting sqref="F129">
    <cfRule type="duplicateValues" dxfId="44" priority="21"/>
  </conditionalFormatting>
  <conditionalFormatting sqref="F129">
    <cfRule type="duplicateValues" dxfId="43" priority="22"/>
    <cfRule type="duplicateValues" dxfId="42" priority="23"/>
  </conditionalFormatting>
  <conditionalFormatting sqref="F130">
    <cfRule type="duplicateValues" dxfId="41" priority="18"/>
  </conditionalFormatting>
  <conditionalFormatting sqref="F130">
    <cfRule type="duplicateValues" dxfId="40" priority="19"/>
    <cfRule type="duplicateValues" dxfId="39" priority="20"/>
  </conditionalFormatting>
  <conditionalFormatting sqref="F131">
    <cfRule type="duplicateValues" dxfId="38" priority="14"/>
    <cfRule type="duplicateValues" dxfId="37" priority="15"/>
  </conditionalFormatting>
  <conditionalFormatting sqref="F131">
    <cfRule type="duplicateValues" dxfId="36" priority="16"/>
  </conditionalFormatting>
  <conditionalFormatting sqref="F131">
    <cfRule type="duplicateValues" dxfId="35" priority="17"/>
  </conditionalFormatting>
  <conditionalFormatting sqref="F132">
    <cfRule type="duplicateValues" dxfId="34" priority="10"/>
    <cfRule type="duplicateValues" dxfId="33" priority="11"/>
  </conditionalFormatting>
  <conditionalFormatting sqref="F132">
    <cfRule type="duplicateValues" dxfId="32" priority="12"/>
  </conditionalFormatting>
  <conditionalFormatting sqref="F132">
    <cfRule type="duplicateValues" dxfId="31" priority="13"/>
  </conditionalFormatting>
  <conditionalFormatting sqref="I133:T133">
    <cfRule type="cellIs" dxfId="30" priority="5" operator="equal">
      <formula>0</formula>
    </cfRule>
  </conditionalFormatting>
  <conditionalFormatting sqref="F133">
    <cfRule type="duplicateValues" dxfId="29" priority="6"/>
    <cfRule type="duplicateValues" dxfId="28" priority="7"/>
  </conditionalFormatting>
  <conditionalFormatting sqref="F133">
    <cfRule type="duplicateValues" dxfId="27" priority="8"/>
  </conditionalFormatting>
  <conditionalFormatting sqref="F133">
    <cfRule type="duplicateValues" dxfId="26" priority="9"/>
  </conditionalFormatting>
  <conditionalFormatting sqref="F137">
    <cfRule type="duplicateValues" dxfId="25" priority="1"/>
    <cfRule type="duplicateValues" dxfId="24" priority="2"/>
  </conditionalFormatting>
  <conditionalFormatting sqref="F137">
    <cfRule type="duplicateValues" dxfId="23" priority="3"/>
  </conditionalFormatting>
  <conditionalFormatting sqref="F137">
    <cfRule type="duplicateValues" dxfId="22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cp:lastPrinted>2024-03-05T16:02:24Z</cp:lastPrinted>
  <dcterms:created xsi:type="dcterms:W3CDTF">2014-06-17T16:05:10Z</dcterms:created>
  <dcterms:modified xsi:type="dcterms:W3CDTF">2026-04-06T16:01:56Z</dcterms:modified>
</cp:coreProperties>
</file>