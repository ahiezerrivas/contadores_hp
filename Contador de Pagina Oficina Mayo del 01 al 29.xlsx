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5.- May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  <externalReference r:id="rId9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3" i="1"/>
  <c r="O54" i="1"/>
  <c r="O55" i="1"/>
  <c r="O56" i="1"/>
  <c r="O57" i="1"/>
  <c r="O59" i="1"/>
  <c r="O60" i="1"/>
  <c r="O62" i="1"/>
  <c r="O63" i="1"/>
  <c r="O64" i="1"/>
  <c r="O67" i="1"/>
  <c r="O68" i="1"/>
  <c r="O69" i="1"/>
  <c r="O70" i="1"/>
  <c r="O71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5" i="1"/>
  <c r="O116" i="1"/>
  <c r="O118" i="1"/>
  <c r="O119" i="1"/>
  <c r="O120" i="1"/>
  <c r="O121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90" i="1"/>
  <c r="O191" i="1"/>
  <c r="O193" i="1"/>
  <c r="O194" i="1"/>
  <c r="O195" i="1"/>
  <c r="O196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3" i="1"/>
  <c r="O214" i="1"/>
  <c r="O215" i="1"/>
  <c r="O216" i="1"/>
  <c r="O218" i="1"/>
  <c r="O220" i="1"/>
  <c r="O221" i="1"/>
  <c r="O222" i="1"/>
  <c r="O223" i="1"/>
  <c r="O224" i="1"/>
  <c r="O226" i="1"/>
  <c r="O227" i="1"/>
  <c r="O228" i="1"/>
  <c r="O230" i="1"/>
  <c r="O231" i="1"/>
  <c r="O232" i="1"/>
  <c r="O233" i="1"/>
  <c r="O234" i="1"/>
  <c r="O235" i="1"/>
  <c r="O236" i="1"/>
  <c r="O237" i="1"/>
  <c r="O239" i="1"/>
  <c r="O240" i="1"/>
  <c r="O243" i="1"/>
  <c r="O244" i="1"/>
  <c r="O245" i="1"/>
  <c r="O246" i="1"/>
  <c r="O247" i="1"/>
  <c r="O248" i="1"/>
  <c r="O249" i="1"/>
  <c r="O250" i="1"/>
  <c r="O251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2" i="1"/>
  <c r="M228" i="1"/>
  <c r="N228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3" i="1"/>
  <c r="M54" i="1"/>
  <c r="M55" i="1"/>
  <c r="M56" i="1"/>
  <c r="M57" i="1"/>
  <c r="M59" i="1"/>
  <c r="M60" i="1"/>
  <c r="M62" i="1"/>
  <c r="M63" i="1"/>
  <c r="M64" i="1"/>
  <c r="M67" i="1"/>
  <c r="M68" i="1"/>
  <c r="M69" i="1"/>
  <c r="M70" i="1"/>
  <c r="M71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5" i="1"/>
  <c r="M116" i="1"/>
  <c r="M118" i="1"/>
  <c r="M119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90" i="1"/>
  <c r="M191" i="1"/>
  <c r="M193" i="1"/>
  <c r="M194" i="1"/>
  <c r="M195" i="1"/>
  <c r="M196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3" i="1"/>
  <c r="M214" i="1"/>
  <c r="M215" i="1"/>
  <c r="M216" i="1"/>
  <c r="M218" i="1"/>
  <c r="M220" i="1"/>
  <c r="M221" i="1"/>
  <c r="M222" i="1"/>
  <c r="M223" i="1"/>
  <c r="M224" i="1"/>
  <c r="M226" i="1"/>
  <c r="M227" i="1"/>
  <c r="M230" i="1"/>
  <c r="M231" i="1"/>
  <c r="M232" i="1"/>
  <c r="M233" i="1"/>
  <c r="M234" i="1"/>
  <c r="M235" i="1"/>
  <c r="M236" i="1"/>
  <c r="M237" i="1"/>
  <c r="M239" i="1"/>
  <c r="M240" i="1"/>
  <c r="M243" i="1"/>
  <c r="M244" i="1"/>
  <c r="M245" i="1"/>
  <c r="M246" i="1"/>
  <c r="M247" i="1"/>
  <c r="M248" i="1"/>
  <c r="M249" i="1"/>
  <c r="M250" i="1"/>
  <c r="M251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K2" i="1"/>
  <c r="L2" i="1" s="1"/>
  <c r="J32" i="1" l="1"/>
  <c r="J52" i="1"/>
  <c r="J58" i="1"/>
  <c r="J61" i="1"/>
  <c r="J65" i="1"/>
  <c r="J66" i="1"/>
  <c r="J72" i="1"/>
  <c r="J87" i="1"/>
  <c r="J113" i="1"/>
  <c r="J114" i="1"/>
  <c r="J117" i="1"/>
  <c r="J122" i="1"/>
  <c r="J149" i="1"/>
  <c r="J166" i="1"/>
  <c r="J189" i="1"/>
  <c r="J192" i="1"/>
  <c r="J197" i="1"/>
  <c r="J212" i="1"/>
  <c r="J217" i="1"/>
  <c r="J219" i="1"/>
  <c r="J225" i="1"/>
  <c r="J229" i="1"/>
  <c r="J238" i="1"/>
  <c r="J241" i="1"/>
  <c r="J242" i="1"/>
  <c r="J252" i="1"/>
  <c r="J30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3" i="1"/>
  <c r="J54" i="1"/>
  <c r="J55" i="1"/>
  <c r="J56" i="1"/>
  <c r="J57" i="1"/>
  <c r="J59" i="1"/>
  <c r="J60" i="1"/>
  <c r="J62" i="1"/>
  <c r="J63" i="1"/>
  <c r="J64" i="1"/>
  <c r="J67" i="1"/>
  <c r="J68" i="1"/>
  <c r="J69" i="1"/>
  <c r="J70" i="1"/>
  <c r="J71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5" i="1"/>
  <c r="J116" i="1"/>
  <c r="J118" i="1"/>
  <c r="J119" i="1"/>
  <c r="J120" i="1"/>
  <c r="J121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90" i="1"/>
  <c r="J191" i="1"/>
  <c r="J193" i="1"/>
  <c r="J194" i="1"/>
  <c r="J195" i="1"/>
  <c r="J196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3" i="1"/>
  <c r="J214" i="1"/>
  <c r="J215" i="1"/>
  <c r="J216" i="1"/>
  <c r="J218" i="1"/>
  <c r="J220" i="1"/>
  <c r="J221" i="1"/>
  <c r="J222" i="1"/>
  <c r="J223" i="1"/>
  <c r="J224" i="1"/>
  <c r="J226" i="1"/>
  <c r="J227" i="1"/>
  <c r="J228" i="1"/>
  <c r="J230" i="1"/>
  <c r="J231" i="1"/>
  <c r="J232" i="1"/>
  <c r="J233" i="1"/>
  <c r="J234" i="1"/>
  <c r="J235" i="1"/>
  <c r="J236" i="1"/>
  <c r="J237" i="1"/>
  <c r="J239" i="1"/>
  <c r="J240" i="1"/>
  <c r="J243" i="1"/>
  <c r="J244" i="1"/>
  <c r="J245" i="1"/>
  <c r="J246" i="1"/>
  <c r="J247" i="1"/>
  <c r="J248" i="1"/>
  <c r="J249" i="1"/>
  <c r="J250" i="1"/>
  <c r="J251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2" i="1" l="1"/>
  <c r="W133" i="4"/>
  <c r="W217" i="1" l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4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<sst xmlns="http://schemas.openxmlformats.org/spreadsheetml/2006/main" count="5436" uniqueCount="2506">
  <si>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</si>
  <si>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</si>
  <si>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</si>
  <si>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</si>
  <si>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</si>
  <si>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</si>
  <si>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</si>
  <si>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</si>
  <si>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</si>
  <si>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</si>
  <si>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</si>
  <si>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</si>
  <si>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</si>
  <si>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</si>
  <si>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</si>
  <si>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</si>
  <si>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</si>
  <si>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</si>
  <si>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</si>
  <si>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</si>
  <si>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</si>
  <si>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</si>
  <si>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</si>
  <si>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</si>
  <si>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</si>
  <si>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</si>
  <si>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</si>
  <si>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</si>
  <si>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</si>
  <si>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</si>
  <si>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</si>
  <si>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</si>
  <si>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</si>
  <si>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</si>
  <si>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</si>
  <si>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</si>
  <si>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</si>
  <si>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</si>
  <si>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</si>
  <si>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</si>
  <si>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</si>
  <si>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</si>
  <si>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</si>
  <si>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</si>
  <si>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</si>
  <si>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</si>
  <si>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</si>
  <si>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</si>
  <si>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</si>
  <si>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</si>
  <si>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</si>
  <si>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</si>
  <si>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</si>
  <si>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</si>
  <si>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</si>
  <si>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</si>
  <si>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</si>
  <si>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</si>
  <si>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</si>
  <si>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</si>
  <si>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</si>
  <si>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</si>
  <si>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</si>
  <si>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</si>
  <si>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</si>
  <si>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</si>
  <si>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</si>
  <si>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</si>
  <si>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</si>
  <si>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</si>
  <si>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</si>
  <si>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</si>
  <si>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</si>
  <si>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</si>
  <si>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</si>
  <si>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</si>
  <si>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</si>
  <si>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</si>
  <si>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</si>
  <si>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</si>
  <si>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</si>
  <si>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</si>
  <si>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</si>
  <si>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</si>
  <si>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</si>
  <si>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</si>
  <si>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</si>
  <si>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</si>
  <si>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</si>
  <si>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</si>
  <si>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</si>
  <si>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</si>
  <si>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</si>
  <si>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</si>
  <si>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</si>
  <si>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</si>
  <si>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</si>
  <si>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</si>
  <si>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</si>
  <si>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</si>
  <si>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</si>
  <si>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</si>
  <si>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</si>
  <si>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</si>
  <si>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</si>
  <si>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</si>
  <si>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</si>
  <si>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</si>
  <si>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</si>
  <si>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</si>
  <si>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</si>
  <si>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</si>
  <si>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</si>
  <si>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</si>
  <si>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</si>
  <si>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</si>
  <si>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</si>
  <si>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</si>
  <si>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</si>
  <si>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</si>
  <si>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</si>
  <si>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</si>
  <si>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</si>
  <si>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</si>
  <si>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</si>
  <si>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</si>
  <si>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</si>
  <si>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</si>
  <si>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</si>
  <si>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</si>
  <si>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</si>
  <si>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</si>
  <si>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</si>
  <si>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</si>
  <si>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</si>
  <si>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</si>
  <si>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</si>
  <si>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</si>
  <si>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</si>
  <si>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</si>
  <si>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</si>
  <si>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</si>
  <si>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</si>
  <si>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</si>
  <si>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</si>
  <si>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</si>
  <si>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</si>
  <si>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</si>
  <si>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</si>
  <si>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</si>
  <si>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</si>
  <si>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</si>
  <si>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</si>
  <si>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</si>
  <si>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</si>
  <si>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</si>
  <si>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</si>
  <si>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</si>
  <si>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</si>
  <si>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</si>
  <si>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</si>
  <si>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</si>
  <si>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</si>
  <si>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</si>
  <si>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</si>
  <si>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</si>
  <si>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</si>
  <si>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</si>
  <si>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</si>
  <si>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</si>
  <si>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</si>
  <si>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</si>
  <si>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</si>
  <si>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</si>
  <si>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</si>
  <si>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</si>
  <si>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</si>
  <si>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</si>
  <si>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</si>
  <si>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</si>
  <si>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</si>
  <si>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</si>
  <si>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</si>
  <si>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</si>
  <si>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</si>
  <si>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</si>
  <si>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</si>
  <si>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</si>
  <si>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</si>
  <si>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</si>
  <si>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</si>
  <si>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</si>
  <si>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</si>
  <si>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</si>
  <si>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</si>
  <si>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</si>
  <si>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</si>
  <si>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</si>
  <si>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</si>
  <si>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</si>
  <si>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</si>
  <si>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</si>
  <si>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</si>
  <si>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</si>
  <si>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</si>
  <si>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</si>
  <si>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</si>
  <si>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</si>
  <si>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</si>
  <si>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</si>
  <si>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</si>
  <si>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</si>
  <si>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</si>
  <si>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</si>
  <si>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</si>
  <si>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</si>
  <si>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</si>
  <si>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</si>
  <si>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</si>
  <si>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</si>
  <si>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</si>
  <si>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</si>
  <si>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</si>
  <si>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</si>
  <si>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</si>
  <si>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</si>
  <si>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</si>
  <si>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</si>
  <si>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</si>
  <si>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</si>
  <si>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</si>
  <si>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</si>
  <si>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</si>
  <si>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</si>
  <si>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</si>
  <si>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</si>
  <si>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</si>
  <si>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</si>
  <si>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</si>
  <si>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</si>
  <si>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</si>
  <si>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</si>
  <si>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</si>
  <si>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</si>
  <si>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</si>
  <si>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</si>
  <si>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</si>
  <si>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</si>
  <si>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</si>
  <si>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</si>
  <si>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</si>
  <si>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</si>
  <si>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</si>
  <si>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</si>
  <si>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</si>
  <si>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</si>
  <si>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</si>
  <si>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</si>
  <si>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</si>
  <si>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</si>
  <si>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</si>
  <si>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</si>
  <si>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</si>
  <si>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</si>
  <si>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</si>
  <si>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</si>
  <si>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</si>
  <si>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</si>
  <si>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</si>
  <si>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</si>
  <si>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</si>
  <si>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</si>
  <si>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</si>
  <si>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</si>
  <si>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</si>
  <si>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</si>
  <si>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</si>
  <si>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</si>
  <si>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</si>
  <si>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</si>
  <si>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</si>
  <si>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</si>
  <si>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</si>
  <si>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</si>
  <si>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</si>
  <si>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</si>
  <si>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</si>
  <si>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</si>
  <si>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</si>
  <si>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</si>
  <si>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</si>
  <si>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</si>
  <si>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</si>
  <si>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</si>
  <si>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</si>
  <si>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</si>
  <si>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</si>
  <si>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</si>
  <si>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</si>
  <si>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</si>
  <si>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</si>
  <si>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</si>
  <si>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</si>
  <si>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</si>
  <si>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</si>
  <si>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</si>
  <si>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</si>
  <si>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</si>
  <si>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</si>
  <si>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</si>
  <si>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</si>
  <si>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</si>
  <si>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</si>
  <si>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</si>
  <si>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</si>
  <si>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</si>
  <si>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</si>
  <si>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</si>
  <si>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</si>
  <si>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</si>
  <si>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</si>
  <si>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</si>
  <si>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</si>
  <si>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</si>
  <si>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</si>
  <si>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</si>
  <si>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</si>
  <si>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</si>
  <si>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</si>
  <si>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</si>
  <si>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</si>
  <si>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</si>
  <si>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</si>
  <si>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</si>
  <si>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</si>
  <si>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</si>
  <si>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</si>
  <si>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</si>
  <si>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</si>
  <si>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</si>
  <si>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</si>
  <si>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</si>
  <si>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</si>
  <si>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</si>
  <si>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</si>
  <si>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</si>
  <si>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</si>
  <si>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</si>
  <si>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</si>
  <si>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</si>
  <si>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</si>
  <si>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</si>
  <si>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</si>
  <si>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</si>
  <si>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</si>
  <si>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</si>
  <si>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</si>
  <si>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</si>
  <si>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</si>
  <si>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</si>
  <si>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</si>
  <si>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</si>
  <si>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</si>
  <si>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</si>
  <si>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</si>
  <si>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</si>
  <si>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</si>
  <si>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</si>
  <si>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</si>
  <si>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</si>
  <si>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</si>
  <si>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</si>
  <si>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</si>
  <si>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</si>
  <si>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</si>
  <si>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</si>
  <si>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</si>
  <si>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</si>
  <si>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</si>
  <si>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</si>
  <si>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</si>
  <si>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</si>
  <si>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</si>
  <si>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</si>
  <si>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</si>
  <si>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</si>
  <si>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</si>
  <si>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</si>
  <si>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</si>
  <si>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</si>
  <si>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</si>
  <si>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</si>
  <si>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</si>
  <si>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</si>
  <si>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</si>
  <si>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</si>
  <si>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</si>
  <si>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</si>
  <si>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</si>
  <si>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</si>
  <si>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</si>
  <si>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</si>
  <si>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</si>
  <si>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</si>
  <si>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</si>
  <si>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</si>
  <si>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</si>
  <si>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</si>
  <si>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</si>
  <si>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</si>
  <si>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</si>
  <si>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</si>
  <si>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</si>
  <si>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</si>
  <si>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</si>
  <si>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</si>
  <si>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</si>
  <si>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</si>
  <si>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</si>
  <si>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</si>
  <si>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</si>
  <si>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</si>
  <si>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</si>
  <si>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</si>
  <si>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</si>
  <si>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</si>
  <si>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</si>
  <si>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</si>
  <si>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</si>
  <si>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</si>
  <si>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</si>
  <si>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</si>
  <si>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</si>
  <si>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</si>
  <si>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</si>
  <si>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</si>
  <si>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</si>
  <si>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</si>
  <si>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</si>
  <si>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</si>
  <si>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</si>
  <si>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</si>
  <si>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</si>
  <si>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</si>
  <si>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</si>
  <si>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</si>
  <si>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</si>
  <si>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</si>
  <si>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</si>
  <si>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</si>
  <si>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</si>
  <si>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</si>
  <si>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</si>
  <si>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</si>
  <si>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</si>
  <si>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</si>
  <si>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</si>
  <si>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</si>
  <si>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</si>
  <si>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</si>
  <si>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</si>
  <si>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</si>
  <si>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</si>
  <si>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</si>
  <si>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</si>
  <si>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</si>
  <si>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</si>
  <si>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</si>
  <si>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</si>
  <si>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</si>
  <si>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</si>
  <si>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</si>
  <si>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</si>
  <si>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</si>
  <si>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</si>
  <si>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</si>
  <si>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</si>
  <si>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</si>
  <si>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</si>
  <si>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</si>
  <si>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</si>
  <si>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</si>
  <si>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</si>
  <si>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</si>
  <si>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</si>
  <si>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</si>
  <si>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</si>
  <si>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</si>
  <si>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</si>
  <si>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</si>
  <si>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</si>
  <si>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</si>
  <si>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</si>
  <si>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</si>
  <si>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</si>
  <si>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</si>
  <si>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</si>
  <si>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</si>
  <si>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</si>
  <si>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</si>
  <si>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</si>
  <si>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</si>
  <si>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</si>
  <si>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</si>
  <si>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</si>
  <si>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</si>
  <si>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</si>
  <si>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</si>
  <si>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</si>
  <si>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</si>
  <si>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</si>
  <si>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</si>
  <si>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</si>
  <si>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</si>
  <si>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</si>
  <si>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</si>
  <si>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</si>
  <si>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</si>
  <si>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</si>
  <si>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</si>
  <si>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</si>
  <si>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</si>
  <si>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</si>
  <si>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</si>
  <si>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</si>
  <si>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</si>
  <si>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</si>
  <si>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</si>
  <si>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</si>
  <si>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</si>
  <si>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</si>
  <si>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</si>
  <si>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</si>
  <si>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</si>
  <si>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</si>
  <si>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</si>
  <si>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</si>
  <si>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</si>
  <si>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</si>
  <si>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</si>
  <si>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</si>
  <si>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</si>
  <si>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</si>
  <si>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</si>
  <si>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</si>
  <si>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</si>
  <si>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</si>
  <si>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</si>
  <si>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</si>
  <si>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</si>
  <si>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</si>
  <si>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</si>
  <si>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</si>
  <si>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</si>
  <si>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</si>
  <si>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</si>
  <si>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</si>
  <si>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</si>
  <si>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</si>
  <si>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</si>
  <si>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</si>
  <si>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</si>
  <si>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</si>
  <si>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</si>
  <si>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</si>
  <si>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</si>
  <si>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</si>
  <si>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</si>
  <si>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</si>
  <si>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</si>
  <si>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</si>
  <si>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</si>
  <si>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</si>
  <si>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</si>
  <si>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</si>
  <si>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</si>
  <si>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</si>
  <si>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</si>
  <si>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</si>
  <si>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</si>
  <si>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</si>
  <si>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</si>
  <si>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</si>
  <si>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</si>
  <si>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</si>
  <si>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</si>
  <si>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</si>
  <si>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</si>
  <si>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</si>
  <si>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</si>
  <si>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</si>
  <si>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</si>
  <si>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</si>
  <si>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</si>
  <si>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</si>
  <si>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</si>
  <si>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</si>
  <si>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</si>
  <si>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</si>
  <si>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</si>
  <si>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</si>
  <si>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</si>
  <si>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</si>
  <si>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</si>
  <si>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</si>
  <si>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</si>
  <si>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</si>
  <si>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</si>
  <si>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</si>
  <si>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</si>
  <si>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</si>
  <si>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</si>
  <si>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</si>
  <si>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</si>
  <si>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</si>
  <si>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</si>
  <si>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</si>
  <si>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</si>
  <si>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</si>
  <si>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</si>
  <si>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</si>
  <si>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</si>
  <si>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</si>
  <si>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</si>
  <si>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</si>
  <si>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</si>
  <si>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</si>
  <si>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</si>
  <si>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</si>
  <si>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</si>
  <si>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</si>
  <si>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</si>
  <si>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</si>
  <si>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</si>
  <si>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</si>
  <si>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</si>
  <si>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</si>
  <si>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</si>
  <si>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</si>
  <si>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</si>
  <si>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</si>
  <si>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</si>
  <si>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</si>
  <si>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</si>
  <si>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</si>
  <si>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</si>
  <si>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</si>
  <si>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</si>
  <si>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</si>
  <si>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</si>
  <si>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</si>
  <si>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</si>
  <si>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</si>
  <si>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</si>
  <si>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</si>
  <si>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</si>
  <si>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</si>
  <si>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</si>
  <si>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</si>
  <si>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</si>
  <si>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</si>
  <si>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</si>
  <si>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</si>
  <si>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</si>
  <si>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</si>
  <si>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</si>
  <si>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</si>
  <si>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</si>
  <si>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</si>
  <si>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</si>
  <si>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</si>
  <si>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</si>
  <si>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</si>
  <si>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</si>
  <si>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</si>
  <si>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</si>
  <si>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</si>
  <si>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</si>
  <si>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</si>
  <si>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</si>
  <si>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</si>
  <si>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</si>
  <si>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</si>
  <si>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</si>
  <si>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</si>
  <si>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</si>
  <si>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</si>
  <si>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</si>
  <si>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</si>
  <si>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</si>
  <si>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</si>
  <si>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</si>
  <si>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</si>
  <si>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</si>
  <si>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</si>
  <si>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</si>
  <si>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</si>
  <si>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</si>
  <si>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</si>
  <si>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</si>
  <si>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</si>
  <si>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</si>
  <si>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</si>
  <si>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</si>
  <si>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</si>
  <si>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</si>
  <si>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</si>
  <si>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</si>
  <si>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</si>
  <si>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</si>
  <si>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</si>
  <si>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</si>
  <si>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</si>
  <si>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</si>
  <si>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</si>
  <si>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</si>
  <si>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</si>
  <si>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</si>
  <si>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</si>
  <si>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</si>
  <si>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</si>
  <si>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</si>
  <si>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</si>
  <si>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</si>
  <si>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</si>
  <si>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</si>
  <si>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</si>
  <si>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</si>
  <si>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</si>
  <si>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</si>
  <si>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</si>
  <si>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</si>
  <si>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</si>
  <si>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</si>
  <si>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</si>
  <si>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</si>
  <si>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</si>
  <si>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</si>
  <si>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</si>
  <si>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</si>
  <si>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</si>
  <si>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</si>
  <si>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</si>
  <si>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</si>
  <si>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</si>
  <si>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</si>
  <si>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</si>
  <si>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</si>
  <si>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</si>
  <si>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</si>
  <si>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</si>
  <si>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</si>
  <si>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</si>
  <si>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</si>
  <si>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</si>
  <si>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</si>
  <si>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</si>
  <si>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</si>
  <si>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</si>
  <si>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</si>
  <si>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</si>
  <si>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</si>
  <si>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</si>
  <si>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</si>
  <si>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</si>
  <si>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</si>
  <si>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</si>
  <si>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</si>
  <si>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</si>
  <si>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</si>
  <si>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</si>
  <si>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</si>
  <si>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</si>
  <si>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</si>
  <si>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</si>
  <si>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</si>
  <si>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</si>
  <si>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</si>
  <si>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</si>
  <si>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</si>
  <si>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</si>
  <si>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</si>
  <si>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</si>
  <si>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</si>
  <si>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</si>
  <si>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</si>
  <si>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</si>
  <si>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</si>
  <si>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</si>
  <si>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</si>
  <si>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</si>
  <si>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</si>
  <si>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</si>
  <si>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</si>
  <si>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</si>
  <si>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</si>
  <si>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</si>
  <si>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</si>
  <si>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</si>
  <si>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</si>
  <si>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</si>
  <si>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</si>
  <si>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</si>
  <si>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</si>
  <si>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</si>
  <si>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</si>
  <si>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</si>
  <si>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</si>
  <si>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</si>
  <si>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</si>
  <si>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</si>
  <si>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</si>
  <si>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</si>
  <si>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</si>
  <si>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</si>
  <si>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</si>
  <si>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</si>
  <si>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</si>
  <si>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</si>
  <si>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</si>
  <si>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</si>
  <si>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</si>
  <si>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</si>
  <si>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</si>
  <si>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</si>
  <si>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</si>
  <si>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</si>
  <si>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</si>
  <si>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</si>
  <si>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</si>
  <si>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</si>
  <si>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</si>
  <si>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</si>
  <si>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</si>
  <si>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</si>
  <si>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</si>
  <si>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</si>
  <si>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</si>
  <si>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</si>
  <si>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</si>
  <si>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</si>
  <si>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</si>
  <si>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</si>
  <si>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</si>
  <si>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</si>
  <si>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</si>
  <si>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</si>
  <si>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</si>
  <si>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</si>
  <si>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</si>
  <si>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</si>
  <si>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</si>
  <si>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</si>
  <si>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</si>
  <si>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</si>
  <si>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</si>
  <si>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</si>
  <si>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</si>
  <si>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</si>
  <si>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</si>
  <si>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</si>
  <si>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</si>
  <si>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</si>
  <si>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</si>
  <si>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</si>
  <si>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</si>
  <si>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</si>
  <si>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</si>
  <si>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</si>
  <si>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</si>
  <si>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</si>
  <si>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</si>
  <si>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</si>
  <si>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</si>
  <si>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</si>
  <si>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</si>
  <si>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</si>
  <si>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</si>
  <si>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</si>
  <si>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</si>
  <si>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</si>
  <si>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</si>
  <si>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</si>
  <si>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</si>
  <si>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</si>
  <si>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</si>
  <si>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</si>
  <si>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</si>
  <si>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</si>
  <si>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</si>
  <si>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</si>
  <si>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</si>
  <si>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</si>
  <si>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</si>
  <si>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</si>
  <si>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</si>
  <si>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</si>
  <si>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</si>
  <si>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</si>
  <si>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</si>
  <si>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</si>
  <si>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</si>
  <si>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</si>
  <si>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</si>
  <si>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</si>
  <si>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</si>
  <si>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</si>
  <si>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</si>
  <si>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</si>
  <si>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</si>
  <si>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</si>
  <si>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</si>
  <si>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</si>
  <si>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</si>
  <si>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</si>
  <si>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</si>
  <si>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</si>
  <si>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</si>
  <si>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</si>
  <si>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</si>
  <si>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</si>
  <si>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</si>
  <si>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</si>
  <si>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</si>
  <si>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</si>
  <si>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</si>
  <si>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</si>
  <si>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</si>
  <si>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</si>
  <si>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</si>
  <si>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</si>
  <si>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</si>
  <si>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</si>
  <si>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</si>
  <si>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</si>
  <si>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</si>
  <si>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</si>
  <si>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</si>
  <si>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</si>
  <si>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</si>
  <si>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</si>
  <si>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</si>
  <si>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</si>
  <si>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</si>
  <si>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</si>
  <si>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</si>
  <si>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</si>
  <si>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</si>
  <si>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</si>
  <si>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</si>
  <si>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</si>
  <si>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</si>
  <si>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</si>
  <si>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</si>
  <si>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</si>
  <si>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</si>
  <si>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</si>
  <si>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</si>
  <si>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</si>
  <si>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</si>
  <si>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</si>
  <si>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</si>
  <si>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</si>
  <si>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</si>
  <si>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</si>
  <si>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</si>
  <si>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</si>
  <si>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</si>
  <si>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</si>
  <si>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</si>
  <si>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</si>
  <si>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</si>
  <si>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</si>
  <si>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</si>
  <si>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</si>
  <si>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</si>
  <si>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</si>
  <si>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</si>
  <si>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</si>
  <si>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</si>
  <si>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</si>
  <si>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</si>
  <si>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</si>
  <si>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</si>
  <si>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</si>
  <si>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</si>
  <si>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</si>
  <si>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</si>
  <si>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</si>
  <si>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</si>
  <si>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</si>
  <si>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</si>
  <si>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</si>
  <si>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</si>
  <si>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</si>
  <si>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</si>
  <si>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</si>
  <si>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</si>
  <si>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</si>
  <si>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</si>
  <si>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</si>
  <si>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</si>
  <si>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</si>
  <si>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</si>
  <si>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</si>
  <si>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</si>
  <si>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</si>
  <si>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</si>
  <si>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</si>
  <si>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</si>
  <si>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</si>
  <si>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</si>
  <si>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</si>
  <si>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</si>
  <si>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</si>
  <si>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</si>
  <si>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</si>
  <si>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</si>
  <si>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</si>
  <si>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</si>
  <si>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</si>
  <si>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</si>
  <si>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</si>
  <si>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</si>
  <si>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</si>
  <si>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</si>
  <si>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</si>
  <si>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</si>
  <si>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</si>
  <si>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</si>
  <si>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</si>
  <si>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</si>
  <si>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</si>
  <si>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</si>
  <si>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</si>
  <si>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</si>
  <si>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</si>
  <si>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</si>
  <si>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</si>
  <si>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</si>
  <si>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</si>
  <si>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</si>
  <si>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</si>
  <si>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</si>
  <si>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</si>
  <si>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</si>
  <si>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</si>
  <si>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</si>
  <si>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</si>
  <si>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</si>
  <si>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</si>
  <si>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</si>
  <si>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</si>
  <si>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</si>
  <si>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</si>
  <si>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</si>
  <si>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</si>
  <si>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</si>
  <si>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</si>
  <si>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</si>
  <si>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</si>
  <si>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</si>
  <si>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</si>
  <si>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</si>
  <si>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</si>
  <si>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</si>
  <si>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</si>
  <si>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</si>
  <si>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</si>
  <si>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</si>
  <si>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</si>
  <si>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</si>
  <si>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</si>
  <si>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</si>
  <si>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</si>
  <si>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</si>
  <si>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</si>
  <si>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</si>
  <si>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</si>
  <si>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</si>
  <si>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</si>
  <si>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</si>
  <si>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</si>
  <si>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</si>
  <si>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</si>
  <si>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</si>
  <si>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</si>
  <si>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</si>
  <si>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</si>
  <si>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</si>
  <si>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</si>
  <si>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</si>
  <si>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</si>
  <si>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</si>
  <si>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</si>
  <si>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</si>
  <si>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</si>
  <si>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</si>
  <si>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</si>
  <si>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</si>
  <si>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</si>
  <si>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</si>
  <si>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</si>
  <si>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</si>
  <si>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</si>
  <si>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</si>
  <si>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</si>
  <si>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</si>
  <si>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</si>
  <si>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</si>
  <si>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</si>
  <si>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</si>
  <si>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</si>
  <si>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</si>
  <si>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</si>
  <si>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</si>
  <si>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</si>
  <si>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</si>
  <si>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</si>
  <si>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</si>
  <si>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</si>
  <si>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</si>
  <si>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</si>
  <si>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</si>
  <si>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</si>
  <si>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</si>
  <si>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</si>
  <si>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</si>
  <si>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</si>
  <si>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</si>
  <si>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</si>
  <si>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</si>
  <si>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</si>
  <si>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</si>
  <si>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</si>
  <si>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</si>
  <si>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</si>
  <si>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</si>
  <si>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</si>
  <si>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</si>
  <si>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</si>
  <si>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</si>
  <si>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</si>
  <si>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</si>
  <si>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</si>
  <si>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</si>
  <si>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</si>
  <si>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</si>
  <si>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</si>
  <si>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</si>
  <si>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</si>
  <si>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</si>
  <si>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</si>
  <si>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</si>
  <si>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</si>
  <si>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</si>
  <si>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</si>
  <si>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</si>
  <si>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</si>
  <si>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</si>
  <si>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</si>
  <si>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</si>
  <si>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</si>
  <si>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</si>
  <si>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</si>
  <si>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</si>
  <si>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</si>
  <si>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</si>
  <si>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</si>
  <si>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</si>
  <si>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</si>
  <si>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</si>
  <si>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</si>
  <si>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</si>
  <si>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</si>
  <si>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</si>
  <si>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</si>
  <si>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</si>
  <si>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</si>
  <si>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</si>
  <si>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</si>
  <si>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</si>
  <si>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</si>
  <si>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</si>
  <si>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</si>
  <si>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</si>
  <si>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</si>
  <si>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</si>
  <si>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</si>
  <si>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</si>
  <si>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</si>
  <si>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</si>
  <si>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</si>
  <si>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</si>
  <si>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</si>
  <si>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</si>
  <si>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</si>
  <si>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</si>
  <si>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</si>
  <si>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</si>
  <si>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</si>
  <si>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</si>
  <si>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</si>
  <si>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</si>
  <si>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</si>
  <si>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</si>
  <si>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</si>
  <si>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</si>
  <si>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</si>
  <si>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</si>
  <si>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</si>
  <si>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</si>
  <si>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</si>
  <si>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</si>
  <si>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</si>
  <si>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</si>
  <si>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</si>
  <si>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</si>
  <si>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</si>
  <si>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</si>
  <si>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</si>
  <si>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</si>
  <si>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</si>
  <si>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</si>
  <si>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</si>
  <si>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</si>
  <si>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</si>
  <si>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</si>
  <si>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</si>
  <si>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</si>
  <si>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</si>
  <si>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</si>
  <si>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</si>
  <si>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</si>
  <si>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</si>
  <si>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</si>
  <si>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</si>
  <si>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</si>
  <si>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</si>
  <si>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</si>
  <si>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</si>
  <si>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</si>
  <si>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</si>
  <si>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</si>
  <si>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</si>
  <si>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</si>
  <si>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</si>
  <si>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</si>
  <si>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</si>
  <si>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</si>
  <si>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</si>
  <si>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</si>
  <si>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</si>
  <si>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</si>
  <si>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</si>
  <si>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</si>
  <si>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</si>
  <si>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</si>
  <si>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</si>
  <si>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</si>
  <si>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</si>
  <si>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</si>
  <si>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</si>
  <si>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</si>
  <si>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</si>
  <si>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</si>
  <si>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</si>
  <si>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</si>
  <si>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</si>
  <si>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</si>
  <si>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</si>
  <si>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</si>
  <si>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</si>
  <si>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</si>
  <si>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</si>
  <si>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</si>
  <si>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</si>
  <si>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</si>
  <si>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</si>
  <si>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</si>
  <si>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</si>
  <si>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</si>
  <si>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</si>
  <si>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</si>
  <si>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</si>
  <si>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</si>
  <si>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</si>
  <si>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</si>
  <si>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</si>
  <si>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</si>
  <si>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</si>
  <si>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</si>
  <si>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</si>
  <si>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</si>
  <si>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</si>
  <si>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</si>
  <si>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</si>
  <si>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</si>
  <si>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</si>
  <si>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</si>
  <si>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</si>
  <si>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</si>
  <si>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</si>
  <si>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</si>
  <si>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</si>
  <si>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</si>
  <si>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</si>
  <si>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</si>
  <si>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</si>
  <si>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</si>
  <si>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</si>
  <si>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</si>
  <si>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</si>
  <si>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</si>
  <si>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</si>
  <si>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</si>
  <si>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</si>
  <si>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</si>
  <si>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</si>
  <si>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</si>
  <si>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</si>
  <si>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</si>
  <si>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</si>
  <si>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</si>
  <si>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</si>
  <si>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</si>
  <si>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</si>
  <si>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</si>
  <si>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</si>
  <si>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</si>
  <si>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</si>
  <si>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</si>
  <si>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</si>
  <si>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</si>
  <si>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</si>
  <si>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</si>
  <si>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</si>
  <si>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</si>
  <si>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</si>
  <si>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</si>
  <si>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</si>
  <si>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</si>
  <si>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</si>
  <si>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</si>
  <si>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</si>
  <si>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</si>
  <si>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</si>
  <si>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</si>
  <si>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</si>
  <si>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</si>
  <si>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</si>
  <si>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</si>
  <si>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</si>
  <si>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</si>
  <si>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</si>
  <si>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</si>
  <si>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</si>
  <si>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</si>
  <si>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</si>
  <si>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</si>
  <si>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</si>
  <si>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</si>
  <si>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</si>
  <si>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</si>
  <si>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</si>
  <si>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</si>
  <si>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</si>
  <si>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</si>
  <si>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</si>
  <si>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</si>
  <si>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</si>
  <si>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</si>
  <si>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</si>
  <si>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</si>
  <si>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</si>
  <si>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</si>
  <si>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</si>
  <si>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</si>
  <si>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</si>
  <si>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</si>
  <si>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</si>
  <si>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</si>
  <si>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</si>
  <si>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</si>
  <si>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</si>
  <si>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</si>
  <si>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</si>
  <si>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</si>
  <si>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</si>
  <si>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</si>
  <si>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</si>
  <si>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</si>
  <si>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</si>
  <si>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</si>
  <si>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</si>
  <si>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</si>
  <si>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</si>
  <si>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</si>
  <si>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</si>
  <si>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</si>
  <si>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</si>
  <si>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</si>
  <si>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</si>
  <si>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</si>
  <si>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</si>
  <si>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</si>
  <si>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</si>
  <si>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</si>
  <si>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</si>
  <si>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</si>
  <si>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</si>
  <si>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</si>
  <si>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</si>
  <si>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</si>
  <si>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</si>
  <si>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</si>
  <si>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</si>
  <si>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</si>
  <si>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</si>
  <si>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</si>
  <si>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</si>
  <si>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</si>
  <si>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</si>
  <si>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</si>
  <si>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</si>
  <si>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</si>
  <si>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</si>
  <si>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</si>
  <si>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</si>
  <si>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</si>
  <si>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</si>
  <si>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</si>
  <si>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</si>
  <si>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</si>
  <si>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</si>
  <si>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</si>
  <si>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</si>
  <si>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</si>
  <si>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</si>
  <si>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</si>
  <si>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</si>
  <si>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</si>
  <si>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</si>
  <si>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</si>
  <si>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</si>
  <si>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</si>
  <si>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</si>
  <si>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</si>
  <si>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</si>
  <si>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</si>
  <si>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</si>
  <si>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</si>
  <si>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</si>
  <si>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</si>
  <si>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</si>
  <si>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</si>
  <si>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</si>
  <si>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</si>
  <si>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</si>
  <si>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</si>
  <si>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</si>
  <si>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</si>
  <si>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</si>
  <si>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</si>
  <si>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</si>
  <si>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</si>
  <si>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</si>
  <si>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</si>
  <si>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</si>
  <si>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</si>
  <si>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</si>
  <si>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</si>
  <si>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</si>
  <si>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</si>
  <si>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</si>
  <si>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</si>
  <si>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</si>
  <si>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</si>
  <si>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</si>
  <si>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</si>
  <si>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</si>
  <si>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</si>
  <si>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</si>
  <si>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</si>
  <si>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</si>
  <si>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</si>
  <si>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</si>
  <si>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</si>
  <si>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</si>
  <si>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</si>
  <si>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</si>
  <si>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</si>
  <si>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</si>
  <si>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</si>
  <si>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</si>
  <si>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</si>
  <si>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</si>
  <si>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</si>
  <si>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</si>
  <si>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</si>
  <si>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</si>
  <si>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</si>
  <si>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</si>
  <si>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</si>
  <si>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</si>
  <si>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</si>
  <si>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</si>
  <si>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</si>
  <si>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</si>
  <si>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</si>
  <si>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</si>
  <si>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</si>
  <si>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</si>
  <si>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</si>
  <si>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</si>
  <si>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</si>
  <si>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</si>
  <si>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</si>
  <si>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</si>
  <si>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</si>
  <si>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</si>
  <si>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</si>
  <si>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</si>
  <si>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</si>
  <si>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</si>
  <si>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</si>
  <si>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</si>
  <si>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</si>
  <si>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</si>
  <si>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</si>
  <si>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</si>
  <si>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</si>
  <si>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</si>
  <si>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</si>
  <si>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</si>
  <si>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</si>
  <si>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</si>
  <si>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</si>
  <si>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</si>
  <si>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</si>
  <si>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</si>
  <si>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</si>
  <si>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</si>
  <si>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</si>
  <si>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</si>
  <si>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</si>
  <si>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</si>
  <si>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</si>
  <si>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</si>
  <si>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</si>
  <si>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</si>
  <si>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</si>
  <si>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</si>
  <si>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</si>
  <si>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</si>
  <si>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</si>
  <si>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</si>
  <si>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</si>
  <si>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</si>
  <si>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</si>
  <si>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</si>
  <si>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</si>
  <si>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</si>
  <si>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</si>
  <si>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</si>
  <si>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</si>
  <si>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</si>
  <si>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</si>
  <si>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</si>
  <si>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</si>
  <si>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</si>
  <si>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</si>
  <si>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</si>
  <si>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</si>
  <si>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</si>
  <si>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</si>
  <si>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</si>
  <si>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</si>
  <si>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</si>
  <si>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</si>
  <si>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</si>
  <si>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</si>
  <si>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</si>
  <si>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</si>
  <si>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</si>
  <si>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</si>
  <si>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</si>
  <si>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</si>
  <si>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</si>
  <si>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</si>
  <si>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</si>
  <si>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</si>
  <si>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</si>
  <si>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</si>
  <si>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</si>
  <si>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</si>
  <si>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</si>
  <si>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</si>
  <si>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</si>
  <si>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</si>
  <si>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</si>
  <si>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</si>
  <si>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</si>
  <si>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</si>
  <si>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</si>
  <si>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</si>
  <si>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</si>
  <si>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</si>
  <si>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</si>
  <si>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</si>
  <si>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</si>
  <si>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</si>
  <si>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</si>
  <si>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</si>
  <si>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</si>
  <si>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</si>
  <si>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</si>
  <si>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</si>
  <si>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</si>
  <si>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</si>
  <si>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</si>
  <si>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</si>
  <si>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</si>
  <si>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</si>
  <si>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</si>
  <si>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</si>
  <si>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</si>
  <si>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</si>
  <si>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</si>
  <si>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</si>
  <si>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</si>
  <si>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</si>
  <si>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</si>
  <si>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</si>
  <si>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</si>
  <si>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</si>
  <si>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</si>
  <si>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</si>
  <si>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</si>
  <si>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</si>
  <si>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</si>
  <si>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</si>
  <si>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</si>
  <si>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</si>
  <si>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</si>
  <si>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</si>
  <si>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</si>
  <si>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</si>
  <si>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</si>
  <si>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</si>
  <si>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</si>
  <si>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</si>
  <si>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</si>
  <si>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</si>
  <si>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</si>
  <si>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</si>
  <si>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</si>
  <si>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</si>
  <si>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</si>
  <si>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</si>
  <si>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</si>
  <si>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</si>
  <si>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</si>
  <si>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</si>
  <si>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</si>
  <si>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</si>
  <si>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</si>
  <si>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</si>
  <si>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</si>
  <si>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</si>
  <si>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</si>
  <si>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</si>
  <si>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</si>
  <si>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</si>
  <si>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</si>
  <si>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</si>
  <si>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</si>
  <si>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</si>
  <si>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</si>
  <si>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</si>
  <si>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</si>
  <si>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</si>
  <si>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</si>
  <si>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</si>
  <si>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</si>
  <si>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</si>
  <si>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</si>
  <si>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</si>
  <si>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</si>
  <si>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</si>
  <si>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</si>
  <si>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</si>
  <si>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</si>
  <si>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</si>
  <si>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</si>
  <si>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</si>
  <si>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</si>
  <si>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</si>
  <si>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</si>
  <si>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</si>
  <si>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</si>
  <si>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</si>
  <si>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</si>
  <si>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</si>
  <si>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</si>
  <si>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</si>
  <si>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</si>
  <si>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</si>
  <si>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</si>
  <si>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</si>
  <si>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</si>
  <si>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</si>
  <si>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</si>
  <si>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</si>
  <si>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</si>
  <si>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</si>
  <si>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</si>
  <si>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</si>
  <si>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</si>
  <si>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</si>
  <si>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</si>
  <si>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</si>
  <si>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</si>
  <si>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</si>
  <si>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</si>
  <si>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</si>
  <si>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</si>
  <si>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</si>
  <si>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</si>
  <si>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</si>
  <si>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</si>
  <si>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</si>
  <si>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</si>
  <si>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</si>
  <si>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</si>
  <si>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</si>
  <si>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</si>
  <si>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</si>
  <si>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</si>
  <si>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</si>
  <si>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</si>
  <si>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</si>
  <si>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</si>
  <si>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</si>
  <si>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</si>
  <si>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</si>
  <si>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</si>
  <si>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</si>
  <si>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</si>
  <si>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</si>
  <si>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</si>
  <si>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</si>
  <si>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</si>
  <si>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</si>
  <si>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</si>
  <si>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</si>
  <si>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</si>
  <si>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</si>
  <si>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</si>
  <si>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</si>
  <si>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</si>
  <si>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</si>
  <si>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</si>
  <si>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</si>
  <si>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</si>
  <si>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</si>
  <si>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</si>
  <si>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</si>
  <si>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</si>
  <si>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</si>
  <si>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</si>
  <si>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</si>
  <si>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</si>
  <si>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</si>
  <si>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</si>
  <si>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</si>
  <si>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</si>
  <si>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</si>
  <si>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</si>
  <si>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</si>
  <si>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</si>
  <si>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</si>
  <si>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</si>
  <si>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</si>
  <si>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</si>
  <si>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</si>
  <si>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</si>
  <si>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</si>
  <si>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</si>
  <si>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</si>
  <si>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</si>
  <si>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</si>
  <si>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</si>
  <si>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</si>
  <si>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</si>
  <si>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</si>
  <si>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</si>
  <si>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</si>
  <si>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</si>
  <si>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</si>
  <si>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</si>
  <si>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</si>
  <si>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</si>
  <si>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</si>
  <si>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</si>
  <si>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</si>
  <si>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</si>
  <si>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</si>
  <si>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</si>
  <si>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</si>
  <si>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</si>
  <si>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</si>
  <si>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</si>
  <si>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</si>
  <si>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</si>
  <si>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</si>
  <si>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</si>
  <si>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</si>
  <si>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</si>
  <si>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</si>
  <si>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</si>
  <si>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</si>
  <si>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</si>
  <si>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</si>
  <si>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</si>
  <si>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</si>
  <si>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</si>
  <si>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</si>
  <si>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</si>
  <si>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</si>
  <si>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</si>
  <si>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</si>
  <si>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</si>
  <si>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</si>
  <si>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</si>
  <si>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</si>
  <si>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</si>
  <si>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</si>
  <si>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</si>
  <si>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</si>
  <si>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</si>
  <si>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</si>
  <si>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</si>
  <si>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</si>
  <si>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</si>
  <si>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</si>
  <si>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</si>
  <si>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</si>
  <si>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</si>
  <si>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</si>
  <si>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</si>
  <si>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</si>
  <si>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</si>
  <si>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</si>
  <si>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</si>
  <si>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</si>
  <si>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</si>
  <si>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</si>
  <si>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</si>
  <si>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</si>
  <si>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</si>
  <si>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</si>
  <si>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</si>
  <si>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</si>
  <si>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</si>
  <si>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</si>
  <si>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</si>
  <si>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</si>
  <si>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</si>
  <si>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</si>
  <si>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</si>
  <si>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</si>
  <si>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</si>
  <si>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</si>
  <si>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</si>
  <si>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</si>
  <si>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</si>
  <si>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</si>
  <si>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</si>
  <si>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</si>
  <si>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</si>
  <si>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</si>
  <si>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</si>
  <si>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</si>
  <si>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</si>
  <si>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</si>
  <si>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</si>
  <si>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</si>
  <si>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</si>
  <si>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</si>
  <si>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</si>
  <si>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</si>
  <si>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</si>
  <si>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</si>
  <si>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</si>
  <si>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</si>
  <si>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</si>
  <si>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</si>
  <si>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</si>
  <si>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</si>
  <si>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</si>
  <si>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</si>
  <si>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</si>
  <si>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</si>
  <si>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</si>
  <si>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</si>
  <si>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</si>
  <si>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</si>
  <si>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</si>
  <si>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</si>
  <si>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</si>
  <si>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</si>
  <si>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</si>
  <si>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</si>
  <si>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</si>
  <si>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</si>
  <si>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</si>
  <si>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</si>
  <si>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</si>
  <si>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</si>
  <si>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</si>
  <si>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</si>
  <si>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</si>
  <si>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</si>
  <si>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</si>
  <si>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</si>
  <si>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</si>
  <si>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</si>
  <si>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</si>
  <si>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</si>
  <si>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</si>
  <si>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</si>
  <si>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</si>
  <si>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</si>
  <si>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</si>
  <si>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</si>
  <si>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</si>
  <si>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</si>
  <si>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</si>
  <si>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</si>
  <si>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</si>
  <si>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</si>
  <si>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</si>
  <si>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</si>
  <si>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</si>
  <si>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</si>
  <si>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</si>
  <si>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</si>
  <si>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</si>
  <si>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</si>
  <si>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</si>
  <si>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</si>
  <si>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</si>
  <si>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</si>
  <si>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</si>
  <si>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</si>
  <si>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</si>
  <si>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</si>
  <si>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</si>
  <si>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</si>
  <si>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</si>
  <si>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</si>
  <si>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</si>
  <si>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</si>
  <si>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</si>
  <si>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</si>
  <si>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</si>
  <si>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</si>
  <si>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</si>
  <si>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</si>
  <si>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</si>
  <si>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</si>
  <si>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</si>
  <si>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</si>
  <si>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</si>
  <si>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</si>
  <si>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</si>
  <si>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</si>
  <si>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</si>
  <si>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</si>
  <si>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</si>
  <si>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</si>
  <si>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</si>
  <si>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</si>
  <si>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</si>
  <si>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</si>
  <si>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</si>
  <si>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</si>
  <si>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</si>
  <si>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</si>
  <si>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</si>
  <si>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</si>
  <si>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</si>
  <si>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</si>
  <si>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</si>
  <si>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</si>
  <si>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</si>
  <si>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</si>
  <si>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</si>
  <si>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</si>
  <si>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</si>
  <si>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</si>
  <si>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</si>
  <si>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</si>
  <si>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</si>
  <si>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</si>
  <si>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</si>
  <si>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</si>
  <si>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</si>
  <si>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</si>
  <si>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</si>
  <si>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</si>
  <si>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</si>
  <si>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</si>
  <si>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</si>
  <si>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</si>
  <si>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</si>
  <si>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</si>
  <si>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</si>
  <si>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</si>
  <si>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</si>
  <si>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</si>
  <si>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</si>
  <si>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</si>
  <si>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</si>
  <si>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</si>
  <si>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</si>
  <si>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</si>
  <si>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</si>
  <si>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</si>
  <si>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</si>
  <si>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</si>
  <si>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</si>
  <si>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</si>
  <si>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</si>
  <si>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</si>
  <si>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</si>
  <si>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</si>
  <si>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</si>
  <si>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</si>
  <si>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</si>
  <si>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</si>
  <si>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</si>
  <si>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</si>
  <si>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</si>
  <si>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</si>
  <si>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</si>
  <si>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</si>
  <si>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</si>
  <si>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</si>
  <si>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</si>
  <si>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</si>
  <si>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</si>
  <si>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</si>
  <si>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</si>
  <si>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</si>
  <si>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</si>
  <si>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</si>
  <si>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</si>
  <si>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</si>
  <si>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</si>
  <si>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</si>
  <si>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</si>
  <si>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</si>
  <si>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</si>
  <si>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</si>
  <si>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</si>
  <si>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</si>
  <si>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</si>
  <si>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</si>
  <si>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</si>
  <si>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</si>
  <si>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</si>
  <si>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</si>
  <si>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</si>
  <si>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</si>
  <si>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</si>
  <si>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</si>
  <si>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</si>
  <si>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</si>
  <si>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</si>
  <si>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</si>
  <si>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</si>
  <si>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</si>
  <si>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</si>
  <si>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</si>
  <si>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</si>
  <si>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</si>
  <si>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</si>
  <si>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</si>
  <si>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</si>
  <si>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</si>
  <si>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</si>
  <si>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</si>
  <si>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</si>
  <si>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</si>
  <si>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</si>
  <si>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</si>
  <si>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</si>
  <si>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</si>
  <si>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</si>
  <si>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</si>
  <si>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</si>
  <si>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</si>
  <si>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</si>
  <si>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</si>
  <si>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</si>
  <si>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</si>
  <si>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</si>
  <si>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</si>
  <si>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</si>
  <si>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</si>
  <si>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</si>
  <si>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</si>
  <si>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</si>
  <si>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</si>
  <si>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</si>
  <si>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</si>
  <si>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</si>
  <si>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</si>
  <si>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</si>
  <si>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</si>
  <si>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</si>
  <si>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</si>
  <si>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</si>
  <si>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</si>
  <si>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</si>
  <si>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</si>
  <si>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</si>
  <si>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</si>
  <si>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</si>
  <si>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</si>
  <si>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</si>
  <si>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</si>
  <si>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</si>
  <si>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</si>
  <si>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</si>
  <si>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</si>
  <si>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</si>
  <si>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</si>
  <si>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</si>
  <si>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</si>
  <si>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</si>
  <si>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</si>
  <si>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</si>
  <si>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</si>
  <si>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</si>
  <si>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</si>
  <si>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</si>
  <si>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</si>
  <si>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</si>
  <si>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</si>
  <si>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</si>
  <si>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</si>
  <si>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</si>
  <si>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</si>
  <si>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</si>
  <si>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</si>
  <si>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</si>
  <si>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</si>
  <si>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</si>
  <si>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</si>
  <si>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</si>
  <si>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</si>
  <si>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</si>
  <si>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</si>
  <si>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</si>
  <si>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</si>
  <si>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</si>
  <si>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</si>
  <si>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</si>
  <si>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</si>
  <si>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</si>
  <si>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</si>
  <si>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</si>
  <si>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</si>
  <si>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</si>
  <si>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</si>
  <si>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</si>
  <si>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</si>
  <si>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</si>
  <si>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</si>
  <si>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</si>
  <si>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</si>
  <si>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</si>
  <si>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</si>
  <si>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</si>
  <si>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</si>
  <si>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</si>
  <si>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</si>
  <si>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</si>
  <si>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</si>
  <si>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</si>
  <si>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</si>
  <si>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</si>
  <si>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</si>
  <si>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</si>
  <si>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</si>
  <si>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</si>
  <si>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</si>
  <si>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</si>
  <si>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</si>
  <si>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</si>
  <si>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</si>
  <si>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</si>
  <si>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</si>
  <si>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</si>
  <si>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</si>
  <si>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</si>
  <si>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</si>
  <si>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</si>
  <si>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</si>
  <si>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</si>
  <si>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</si>
  <si>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</si>
  <si>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</si>
  <si>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</si>
  <si>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</si>
  <si>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</si>
  <si>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</si>
  <si>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</si>
  <si>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</si>
  <si>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</si>
  <si>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</si>
  <si>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</si>
  <si>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</si>
  <si>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</si>
  <si>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</si>
  <si>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</si>
  <si>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</si>
  <si>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</si>
  <si>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</si>
  <si>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</si>
  <si>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</si>
  <si>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</si>
  <si>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</si>
  <si>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</si>
  <si>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</si>
  <si>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</si>
  <si>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</si>
  <si>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</si>
  <si>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</si>
  <si>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</si>
  <si>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</si>
  <si>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</si>
  <si>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</si>
  <si>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</si>
  <si>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</si>
  <si>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</si>
  <si>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</si>
  <si>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</si>
  <si>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</si>
  <si>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</si>
  <si>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</si>
  <si>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</si>
  <si>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</si>
  <si>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</si>
  <si>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</si>
  <si>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</si>
  <si>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</si>
  <si>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</si>
  <si>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</si>
  <si>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</si>
  <si>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</si>
  <si>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</si>
  <si>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</si>
  <si>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</si>
  <si>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</si>
  <si>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</si>
  <si>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</si>
  <si>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</si>
  <si>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</si>
  <si>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</si>
  <si>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</si>
  <si>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</si>
  <si>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</si>
  <si>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</si>
  <si>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</si>
  <si>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</si>
  <si>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</si>
  <si>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</si>
  <si>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</si>
  <si>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</si>
  <si>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</si>
  <si>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</si>
  <si>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</si>
  <si>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</si>
  <si>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</si>
  <si>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</si>
  <si>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</si>
  <si>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</si>
  <si>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</si>
  <si>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</si>
  <si>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</si>
  <si>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</si>
  <si>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</si>
  <si>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</si>
  <si>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</si>
  <si>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</si>
  <si>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</si>
  <si>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</si>
  <si>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</si>
  <si>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</si>
  <si>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</si>
  <si>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</si>
  <si>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</si>
  <si>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</si>
  <si>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</si>
  <si>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</si>
  <si>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</si>
  <si>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</si>
  <si>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</si>
  <si>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</si>
  <si>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</si>
  <si>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</si>
  <si>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</si>
  <si>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</si>
  <si>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</si>
  <si>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</si>
  <si>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</si>
  <si>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</si>
  <si>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</si>
  <si>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</si>
  <si>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</si>
  <si>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</si>
  <si>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</si>
  <si>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</si>
  <si>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</si>
  <si>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</si>
  <si>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</si>
  <si>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</si>
  <si>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</si>
  <si>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</si>
  <si>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</si>
  <si>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</si>
  <si>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</si>
  <si>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</si>
  <si>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</si>
  <si>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</si>
  <si>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</si>
  <si>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</si>
  <si>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</si>
  <si>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</si>
  <si>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</si>
  <si>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</si>
  <si>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</si>
  <si>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</si>
  <si>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</si>
  <si>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</si>
  <si>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</si>
  <si>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</si>
  <si>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</si>
  <si>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</si>
  <si>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</si>
  <si>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</si>
  <si>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</si>
  <si>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</si>
  <si>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</si>
  <si>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</si>
  <si>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</si>
  <si>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</si>
  <si>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</si>
  <si>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</si>
  <si>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</si>
  <si>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</si>
  <si>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</si>
  <si>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</si>
  <si>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</si>
  <si>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</si>
  <si>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</si>
  <si>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</si>
  <si>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</si>
  <si>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</si>
  <si>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</si>
  <si>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</si>
  <si>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</si>
  <si>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</si>
  <si>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</si>
  <si>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</si>
  <si>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</si>
  <si>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</si>
  <si>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</si>
  <si>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</si>
  <si>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</si>
  <si>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</si>
  <si>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</si>
  <si>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</si>
  <si>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</si>
  <si>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</si>
  <si>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</si>
  <si>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</si>
  <si>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</si>
  <si>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</si>
  <si>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</si>
  <si>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</si>
  <si>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</si>
  <si>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embala por tener poco uso 28/02/2025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</si>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</sst>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9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79"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Respaldo%20Siffs/11.-%20PREVENTIVO%20TORRE-%20REGION/Contadores%20de%20Pagina%20Diarios/2026/05%20Mayo%202026/Contador%20de%20Pagina%20Oficina%20May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09 al 30-09"/>
      <sheetName val="Hoja2"/>
      <sheetName val="Impresoras retiradas-embaladas"/>
      <sheetName val="Calidad de Prestamo y Retiro"/>
      <sheetName val="Hoja1"/>
    </sheetNames>
    <sheetDataSet>
      <sheetData sheetId="0">
        <row r="1">
          <cell r="G1" t="str">
            <v>IPv4Address</v>
          </cell>
          <cell r="H1" t="str">
            <v>Jueves 30/04/2026</v>
          </cell>
          <cell r="I1" t="str">
            <v>Contador</v>
          </cell>
          <cell r="J1" t="str">
            <v>Lunes 04/05/2026</v>
          </cell>
          <cell r="K1" t="str">
            <v>Contador2</v>
          </cell>
          <cell r="L1" t="str">
            <v>Martes 05/05/2026</v>
          </cell>
          <cell r="M1" t="str">
            <v>Contador4</v>
          </cell>
          <cell r="N1" t="str">
            <v>Miercoles 06/05/2026</v>
          </cell>
          <cell r="O1" t="str">
            <v>Contador6</v>
          </cell>
          <cell r="P1" t="str">
            <v>Jueves 07/05/2026</v>
          </cell>
          <cell r="Q1" t="str">
            <v>Contador8</v>
          </cell>
          <cell r="R1" t="str">
            <v>Viernes 08/05/2026</v>
          </cell>
          <cell r="S1" t="str">
            <v>Contador10</v>
          </cell>
          <cell r="T1" t="str">
            <v>Lunes 11/05/2026</v>
          </cell>
          <cell r="U1" t="str">
            <v>Contador12</v>
          </cell>
          <cell r="V1" t="str">
            <v>Martes 12/05/2026</v>
          </cell>
          <cell r="W1" t="str">
            <v>Contador14</v>
          </cell>
          <cell r="X1" t="str">
            <v>Miercoles 13/05/2026</v>
          </cell>
          <cell r="Y1" t="str">
            <v>Contador16</v>
          </cell>
          <cell r="Z1" t="str">
            <v>Jueves 14/05/2026</v>
          </cell>
          <cell r="AA1" t="str">
            <v>Contador18</v>
          </cell>
          <cell r="AB1" t="str">
            <v>Viernes 15/05/2026</v>
          </cell>
          <cell r="AC1" t="str">
            <v>Contador20</v>
          </cell>
          <cell r="AD1" t="str">
            <v>Martes 19/05/2026</v>
          </cell>
          <cell r="AE1" t="str">
            <v>Contador22</v>
          </cell>
          <cell r="AF1" t="str">
            <v>Miercoles 20/05/2026</v>
          </cell>
          <cell r="AG1" t="str">
            <v>Contador24</v>
          </cell>
          <cell r="AH1" t="str">
            <v>Jueves 21/05/2026</v>
          </cell>
          <cell r="AI1" t="str">
            <v>Contador26</v>
          </cell>
          <cell r="AJ1" t="str">
            <v>Viernes 22/05/2026</v>
          </cell>
          <cell r="AK1" t="str">
            <v>Contador28</v>
          </cell>
          <cell r="AL1" t="str">
            <v>Lunes 25/05/2026</v>
          </cell>
          <cell r="AM1" t="str">
            <v>Contador30</v>
          </cell>
          <cell r="AN1" t="str">
            <v>Martes 26/05/2026</v>
          </cell>
          <cell r="AO1" t="str">
            <v>Contador32</v>
          </cell>
          <cell r="AP1" t="str">
            <v>Miercoles 27/05/2026</v>
          </cell>
          <cell r="AQ1" t="str">
            <v>Contador34</v>
          </cell>
          <cell r="AR1" t="str">
            <v>Jueves 28/05/2026</v>
          </cell>
          <cell r="AS1" t="str">
            <v>Contador36</v>
          </cell>
        </row>
        <row r="2">
          <cell r="G2" t="str">
            <v>10.10.13.200</v>
          </cell>
          <cell r="H2">
            <v>46532</v>
          </cell>
          <cell r="I2">
            <v>46564</v>
          </cell>
          <cell r="J2">
            <v>32</v>
          </cell>
          <cell r="K2">
            <v>46564</v>
          </cell>
          <cell r="L2">
            <v>0</v>
          </cell>
          <cell r="M2">
            <v>46565</v>
          </cell>
          <cell r="N2">
            <v>1</v>
          </cell>
          <cell r="O2">
            <v>46572</v>
          </cell>
          <cell r="P2">
            <v>7</v>
          </cell>
          <cell r="Q2">
            <v>46573</v>
          </cell>
          <cell r="R2">
            <v>1</v>
          </cell>
          <cell r="S2">
            <v>46573</v>
          </cell>
          <cell r="T2">
            <v>0</v>
          </cell>
          <cell r="U2">
            <v>46591</v>
          </cell>
          <cell r="V2">
            <v>18</v>
          </cell>
          <cell r="W2">
            <v>46591</v>
          </cell>
          <cell r="X2">
            <v>0</v>
          </cell>
          <cell r="Y2">
            <v>46608</v>
          </cell>
          <cell r="Z2">
            <v>17</v>
          </cell>
          <cell r="AA2">
            <v>46608</v>
          </cell>
          <cell r="AB2">
            <v>0</v>
          </cell>
          <cell r="AC2">
            <v>46616</v>
          </cell>
          <cell r="AD2">
            <v>8</v>
          </cell>
          <cell r="AE2">
            <v>46616</v>
          </cell>
          <cell r="AF2">
            <v>0</v>
          </cell>
          <cell r="AG2">
            <v>46627</v>
          </cell>
          <cell r="AH2">
            <v>11</v>
          </cell>
          <cell r="AI2">
            <v>46628</v>
          </cell>
          <cell r="AJ2">
            <v>1</v>
          </cell>
          <cell r="AK2">
            <v>46628</v>
          </cell>
          <cell r="AL2">
            <v>0</v>
          </cell>
          <cell r="AM2">
            <v>46654</v>
          </cell>
          <cell r="AN2">
            <v>26</v>
          </cell>
          <cell r="AO2">
            <v>46668</v>
          </cell>
          <cell r="AP2">
            <v>14</v>
          </cell>
          <cell r="AQ2">
            <v>46668</v>
          </cell>
          <cell r="AR2">
            <v>0</v>
          </cell>
          <cell r="AS2">
            <v>46668</v>
          </cell>
        </row>
        <row r="3">
          <cell r="G3" t="str">
            <v>10.10.1.200</v>
          </cell>
          <cell r="H3">
            <v>55906</v>
          </cell>
          <cell r="I3">
            <v>55920</v>
          </cell>
          <cell r="J3">
            <v>14</v>
          </cell>
          <cell r="K3">
            <v>55920</v>
          </cell>
          <cell r="L3">
            <v>0</v>
          </cell>
          <cell r="M3">
            <v>55922</v>
          </cell>
          <cell r="N3">
            <v>2</v>
          </cell>
          <cell r="O3">
            <v>55926</v>
          </cell>
          <cell r="P3">
            <v>4</v>
          </cell>
          <cell r="Q3">
            <v>55955</v>
          </cell>
          <cell r="R3">
            <v>29</v>
          </cell>
          <cell r="S3">
            <v>55968</v>
          </cell>
          <cell r="T3">
            <v>13</v>
          </cell>
          <cell r="U3">
            <v>55968</v>
          </cell>
          <cell r="V3">
            <v>0</v>
          </cell>
          <cell r="W3">
            <v>55977</v>
          </cell>
          <cell r="X3">
            <v>9</v>
          </cell>
          <cell r="Y3">
            <v>55980</v>
          </cell>
          <cell r="Z3">
            <v>3</v>
          </cell>
          <cell r="AA3">
            <v>55980</v>
          </cell>
          <cell r="AB3">
            <v>0</v>
          </cell>
          <cell r="AC3">
            <v>56003</v>
          </cell>
          <cell r="AD3">
            <v>23</v>
          </cell>
          <cell r="AE3">
            <v>56009</v>
          </cell>
          <cell r="AF3">
            <v>6</v>
          </cell>
          <cell r="AG3">
            <v>56020</v>
          </cell>
          <cell r="AH3">
            <v>11</v>
          </cell>
          <cell r="AI3">
            <v>56025</v>
          </cell>
          <cell r="AJ3">
            <v>5</v>
          </cell>
          <cell r="AK3">
            <v>56032</v>
          </cell>
          <cell r="AL3">
            <v>7</v>
          </cell>
          <cell r="AM3">
            <v>56044</v>
          </cell>
          <cell r="AN3">
            <v>12</v>
          </cell>
          <cell r="AO3">
            <v>56048</v>
          </cell>
          <cell r="AP3">
            <v>4</v>
          </cell>
          <cell r="AQ3">
            <v>56048</v>
          </cell>
          <cell r="AR3">
            <v>0</v>
          </cell>
          <cell r="AS3">
            <v>56054</v>
          </cell>
        </row>
        <row r="4">
          <cell r="G4" t="str">
            <v>10.14.7.200</v>
          </cell>
          <cell r="H4">
            <v>146483</v>
          </cell>
          <cell r="I4">
            <v>146540</v>
          </cell>
          <cell r="J4">
            <v>57</v>
          </cell>
          <cell r="K4">
            <v>146540</v>
          </cell>
          <cell r="L4">
            <v>0</v>
          </cell>
          <cell r="M4">
            <v>146545</v>
          </cell>
          <cell r="N4">
            <v>5</v>
          </cell>
          <cell r="O4">
            <v>146549</v>
          </cell>
          <cell r="P4">
            <v>4</v>
          </cell>
          <cell r="Q4">
            <v>146584</v>
          </cell>
          <cell r="R4">
            <v>35</v>
          </cell>
          <cell r="S4">
            <v>146605</v>
          </cell>
          <cell r="T4">
            <v>21</v>
          </cell>
          <cell r="U4">
            <v>146700</v>
          </cell>
          <cell r="V4">
            <v>95</v>
          </cell>
          <cell r="W4">
            <v>146716</v>
          </cell>
          <cell r="X4">
            <v>16</v>
          </cell>
          <cell r="Y4">
            <v>146843</v>
          </cell>
          <cell r="Z4">
            <v>127</v>
          </cell>
          <cell r="AA4">
            <v>146867</v>
          </cell>
          <cell r="AB4">
            <v>24</v>
          </cell>
          <cell r="AC4">
            <v>146884</v>
          </cell>
          <cell r="AD4">
            <v>17</v>
          </cell>
          <cell r="AE4">
            <v>146905</v>
          </cell>
          <cell r="AF4">
            <v>21</v>
          </cell>
          <cell r="AG4">
            <v>146957</v>
          </cell>
          <cell r="AH4">
            <v>52</v>
          </cell>
          <cell r="AI4">
            <v>146967</v>
          </cell>
          <cell r="AJ4">
            <v>10</v>
          </cell>
          <cell r="AK4">
            <v>147029</v>
          </cell>
          <cell r="AL4">
            <v>62</v>
          </cell>
          <cell r="AM4">
            <v>147062</v>
          </cell>
          <cell r="AN4">
            <v>33</v>
          </cell>
          <cell r="AO4">
            <v>147164</v>
          </cell>
          <cell r="AP4">
            <v>102</v>
          </cell>
          <cell r="AQ4">
            <v>147164</v>
          </cell>
          <cell r="AR4">
            <v>0</v>
          </cell>
          <cell r="AS4">
            <v>147175</v>
          </cell>
        </row>
        <row r="5">
          <cell r="G5" t="str">
            <v>10.10.11.201</v>
          </cell>
          <cell r="H5">
            <v>228374</v>
          </cell>
          <cell r="I5">
            <v>228733</v>
          </cell>
          <cell r="J5">
            <v>359</v>
          </cell>
          <cell r="K5">
            <v>228733</v>
          </cell>
          <cell r="L5">
            <v>0</v>
          </cell>
          <cell r="M5">
            <v>228903</v>
          </cell>
          <cell r="N5">
            <v>170</v>
          </cell>
          <cell r="O5">
            <v>229178</v>
          </cell>
          <cell r="P5">
            <v>275</v>
          </cell>
          <cell r="Q5">
            <v>229257</v>
          </cell>
          <cell r="R5">
            <v>79</v>
          </cell>
          <cell r="S5">
            <v>229493</v>
          </cell>
          <cell r="T5">
            <v>236</v>
          </cell>
          <cell r="U5">
            <v>229652</v>
          </cell>
          <cell r="V5">
            <v>159</v>
          </cell>
          <cell r="W5">
            <v>229704</v>
          </cell>
          <cell r="X5">
            <v>52</v>
          </cell>
          <cell r="Y5">
            <v>229796</v>
          </cell>
          <cell r="Z5">
            <v>92</v>
          </cell>
          <cell r="AA5">
            <v>229864</v>
          </cell>
          <cell r="AB5">
            <v>68</v>
          </cell>
          <cell r="AC5">
            <v>229959</v>
          </cell>
          <cell r="AD5">
            <v>95</v>
          </cell>
          <cell r="AE5">
            <v>230063</v>
          </cell>
          <cell r="AF5">
            <v>104</v>
          </cell>
          <cell r="AG5">
            <v>230207</v>
          </cell>
          <cell r="AH5">
            <v>144</v>
          </cell>
          <cell r="AI5">
            <v>230287</v>
          </cell>
          <cell r="AJ5">
            <v>80</v>
          </cell>
          <cell r="AK5">
            <v>230433</v>
          </cell>
          <cell r="AL5">
            <v>146</v>
          </cell>
          <cell r="AM5">
            <v>230557</v>
          </cell>
          <cell r="AN5">
            <v>124</v>
          </cell>
          <cell r="AO5">
            <v>230899</v>
          </cell>
          <cell r="AP5">
            <v>342</v>
          </cell>
          <cell r="AQ5">
            <v>230899</v>
          </cell>
          <cell r="AR5">
            <v>0</v>
          </cell>
          <cell r="AS5">
            <v>230949</v>
          </cell>
        </row>
        <row r="6">
          <cell r="G6" t="str">
            <v>10.10.206.206</v>
          </cell>
          <cell r="H6">
            <v>119620</v>
          </cell>
          <cell r="I6">
            <v>119744</v>
          </cell>
          <cell r="J6">
            <v>124</v>
          </cell>
          <cell r="K6">
            <v>119744</v>
          </cell>
          <cell r="L6">
            <v>0</v>
          </cell>
          <cell r="M6">
            <v>119779</v>
          </cell>
          <cell r="N6">
            <v>35</v>
          </cell>
          <cell r="O6">
            <v>119795</v>
          </cell>
          <cell r="P6">
            <v>16</v>
          </cell>
          <cell r="Q6">
            <v>119818</v>
          </cell>
          <cell r="R6">
            <v>23</v>
          </cell>
          <cell r="S6">
            <v>119829</v>
          </cell>
          <cell r="T6">
            <v>11</v>
          </cell>
          <cell r="U6">
            <v>119856</v>
          </cell>
          <cell r="V6">
            <v>27</v>
          </cell>
          <cell r="W6">
            <v>119888</v>
          </cell>
          <cell r="X6">
            <v>32</v>
          </cell>
          <cell r="Y6">
            <v>119898</v>
          </cell>
          <cell r="Z6">
            <v>10</v>
          </cell>
          <cell r="AA6">
            <v>119915</v>
          </cell>
          <cell r="AB6">
            <v>17</v>
          </cell>
          <cell r="AC6">
            <v>119934</v>
          </cell>
          <cell r="AD6">
            <v>19</v>
          </cell>
          <cell r="AE6">
            <v>119945</v>
          </cell>
          <cell r="AF6">
            <v>11</v>
          </cell>
          <cell r="AG6">
            <v>119963</v>
          </cell>
          <cell r="AH6">
            <v>18</v>
          </cell>
          <cell r="AI6">
            <v>119985</v>
          </cell>
          <cell r="AJ6">
            <v>22</v>
          </cell>
          <cell r="AK6">
            <v>119999</v>
          </cell>
          <cell r="AL6">
            <v>14</v>
          </cell>
          <cell r="AM6">
            <v>120005</v>
          </cell>
          <cell r="AN6">
            <v>6</v>
          </cell>
          <cell r="AO6">
            <v>120018</v>
          </cell>
          <cell r="AP6">
            <v>13</v>
          </cell>
          <cell r="AQ6">
            <v>120018</v>
          </cell>
          <cell r="AR6">
            <v>0</v>
          </cell>
          <cell r="AS6">
            <v>120042</v>
          </cell>
        </row>
        <row r="7">
          <cell r="G7" t="str">
            <v>10.11.98.200</v>
          </cell>
          <cell r="H7">
            <v>340906</v>
          </cell>
          <cell r="I7">
            <v>341040</v>
          </cell>
          <cell r="J7">
            <v>134</v>
          </cell>
          <cell r="K7">
            <v>341040</v>
          </cell>
          <cell r="L7">
            <v>0</v>
          </cell>
          <cell r="M7">
            <v>341141</v>
          </cell>
          <cell r="N7">
            <v>101</v>
          </cell>
          <cell r="O7">
            <v>341192</v>
          </cell>
          <cell r="P7">
            <v>51</v>
          </cell>
          <cell r="Q7">
            <v>341234</v>
          </cell>
          <cell r="R7">
            <v>42</v>
          </cell>
          <cell r="S7">
            <v>341261</v>
          </cell>
          <cell r="T7">
            <v>27</v>
          </cell>
          <cell r="U7">
            <v>341290</v>
          </cell>
          <cell r="V7">
            <v>29</v>
          </cell>
          <cell r="W7">
            <v>341301</v>
          </cell>
          <cell r="X7">
            <v>11</v>
          </cell>
          <cell r="Y7">
            <v>341336</v>
          </cell>
          <cell r="Z7">
            <v>35</v>
          </cell>
          <cell r="AA7">
            <v>341406</v>
          </cell>
          <cell r="AB7">
            <v>70</v>
          </cell>
          <cell r="AC7">
            <v>341548</v>
          </cell>
          <cell r="AD7">
            <v>142</v>
          </cell>
          <cell r="AE7">
            <v>341599</v>
          </cell>
          <cell r="AF7">
            <v>51</v>
          </cell>
          <cell r="AG7">
            <v>341661</v>
          </cell>
          <cell r="AH7">
            <v>62</v>
          </cell>
          <cell r="AI7">
            <v>341688</v>
          </cell>
          <cell r="AJ7">
            <v>27</v>
          </cell>
          <cell r="AK7">
            <v>341728</v>
          </cell>
          <cell r="AL7">
            <v>40</v>
          </cell>
          <cell r="AM7">
            <v>341789</v>
          </cell>
          <cell r="AN7">
            <v>61</v>
          </cell>
          <cell r="AO7">
            <v>341976</v>
          </cell>
          <cell r="AP7">
            <v>187</v>
          </cell>
          <cell r="AQ7">
            <v>341976</v>
          </cell>
          <cell r="AR7">
            <v>0</v>
          </cell>
          <cell r="AS7">
            <v>342026</v>
          </cell>
        </row>
        <row r="8">
          <cell r="G8" t="str">
            <v>10.10.73.210</v>
          </cell>
          <cell r="H8">
            <v>128266</v>
          </cell>
          <cell r="I8">
            <v>128452</v>
          </cell>
          <cell r="J8">
            <v>186</v>
          </cell>
          <cell r="K8">
            <v>128452</v>
          </cell>
          <cell r="L8">
            <v>0</v>
          </cell>
          <cell r="M8">
            <v>128516</v>
          </cell>
          <cell r="N8">
            <v>64</v>
          </cell>
          <cell r="O8">
            <v>128578</v>
          </cell>
          <cell r="P8">
            <v>62</v>
          </cell>
          <cell r="Q8">
            <v>128594</v>
          </cell>
          <cell r="R8">
            <v>16</v>
          </cell>
          <cell r="S8">
            <v>128621</v>
          </cell>
          <cell r="T8">
            <v>27</v>
          </cell>
          <cell r="U8">
            <v>128776</v>
          </cell>
          <cell r="V8">
            <v>155</v>
          </cell>
          <cell r="W8">
            <v>128805</v>
          </cell>
          <cell r="X8">
            <v>29</v>
          </cell>
          <cell r="Y8">
            <v>128830</v>
          </cell>
          <cell r="Z8">
            <v>25</v>
          </cell>
          <cell r="AA8">
            <v>128915</v>
          </cell>
          <cell r="AB8">
            <v>85</v>
          </cell>
          <cell r="AC8">
            <v>129097</v>
          </cell>
          <cell r="AD8">
            <v>182</v>
          </cell>
          <cell r="AE8">
            <v>129238</v>
          </cell>
          <cell r="AF8">
            <v>141</v>
          </cell>
          <cell r="AG8">
            <v>129253</v>
          </cell>
          <cell r="AH8">
            <v>15</v>
          </cell>
          <cell r="AI8">
            <v>129277</v>
          </cell>
          <cell r="AJ8">
            <v>24</v>
          </cell>
          <cell r="AK8">
            <v>129321</v>
          </cell>
          <cell r="AL8">
            <v>44</v>
          </cell>
          <cell r="AM8">
            <v>129384</v>
          </cell>
          <cell r="AN8">
            <v>63</v>
          </cell>
          <cell r="AO8">
            <v>129478</v>
          </cell>
          <cell r="AP8">
            <v>94</v>
          </cell>
          <cell r="AQ8">
            <v>129478</v>
          </cell>
          <cell r="AR8">
            <v>0</v>
          </cell>
          <cell r="AS8">
            <v>129562</v>
          </cell>
        </row>
        <row r="9">
          <cell r="G9" t="str">
            <v>10.10.60.200</v>
          </cell>
          <cell r="H9">
            <v>133262</v>
          </cell>
          <cell r="I9">
            <v>133262</v>
          </cell>
          <cell r="J9">
            <v>0</v>
          </cell>
          <cell r="K9">
            <v>133262</v>
          </cell>
          <cell r="L9">
            <v>0</v>
          </cell>
          <cell r="M9">
            <v>133262</v>
          </cell>
          <cell r="N9">
            <v>0</v>
          </cell>
          <cell r="O9">
            <v>133262</v>
          </cell>
          <cell r="P9">
            <v>0</v>
          </cell>
          <cell r="Q9">
            <v>133262</v>
          </cell>
          <cell r="R9">
            <v>0</v>
          </cell>
          <cell r="S9">
            <v>133380</v>
          </cell>
          <cell r="T9">
            <v>118</v>
          </cell>
          <cell r="U9">
            <v>133433</v>
          </cell>
          <cell r="V9">
            <v>53</v>
          </cell>
          <cell r="W9">
            <v>133545</v>
          </cell>
          <cell r="X9">
            <v>112</v>
          </cell>
          <cell r="Y9">
            <v>133608</v>
          </cell>
          <cell r="Z9">
            <v>63</v>
          </cell>
          <cell r="AA9">
            <v>133650</v>
          </cell>
          <cell r="AB9">
            <v>42</v>
          </cell>
          <cell r="AC9">
            <v>133671</v>
          </cell>
          <cell r="AD9">
            <v>21</v>
          </cell>
          <cell r="AE9">
            <v>133727</v>
          </cell>
          <cell r="AF9">
            <v>56</v>
          </cell>
          <cell r="AG9">
            <v>133727</v>
          </cell>
          <cell r="AH9">
            <v>0</v>
          </cell>
          <cell r="AI9">
            <v>133740</v>
          </cell>
          <cell r="AJ9">
            <v>13</v>
          </cell>
          <cell r="AK9">
            <v>133844</v>
          </cell>
          <cell r="AL9">
            <v>104</v>
          </cell>
          <cell r="AM9">
            <v>134026</v>
          </cell>
          <cell r="AN9">
            <v>182</v>
          </cell>
          <cell r="AO9">
            <v>134327</v>
          </cell>
          <cell r="AP9">
            <v>301</v>
          </cell>
          <cell r="AQ9">
            <v>134327</v>
          </cell>
          <cell r="AR9">
            <v>0</v>
          </cell>
          <cell r="AS9">
            <v>134387</v>
          </cell>
        </row>
        <row r="10">
          <cell r="G10" t="str">
            <v>10.10.80.201</v>
          </cell>
          <cell r="H10">
            <v>474521</v>
          </cell>
          <cell r="I10">
            <v>474584</v>
          </cell>
          <cell r="J10">
            <v>63</v>
          </cell>
          <cell r="K10">
            <v>474584</v>
          </cell>
          <cell r="L10">
            <v>0</v>
          </cell>
          <cell r="M10">
            <v>474653</v>
          </cell>
          <cell r="N10">
            <v>69</v>
          </cell>
          <cell r="O10">
            <v>474704</v>
          </cell>
          <cell r="P10">
            <v>51</v>
          </cell>
          <cell r="Q10">
            <v>474746</v>
          </cell>
          <cell r="R10">
            <v>42</v>
          </cell>
          <cell r="S10">
            <v>474795</v>
          </cell>
          <cell r="T10">
            <v>49</v>
          </cell>
          <cell r="U10">
            <v>474811</v>
          </cell>
          <cell r="V10">
            <v>16</v>
          </cell>
          <cell r="W10">
            <v>474830</v>
          </cell>
          <cell r="X10">
            <v>19</v>
          </cell>
          <cell r="Y10">
            <v>474836</v>
          </cell>
          <cell r="Z10">
            <v>6</v>
          </cell>
          <cell r="AA10">
            <v>474846</v>
          </cell>
          <cell r="AB10">
            <v>10</v>
          </cell>
          <cell r="AC10">
            <v>474848</v>
          </cell>
          <cell r="AD10">
            <v>2</v>
          </cell>
          <cell r="AE10">
            <v>474865</v>
          </cell>
          <cell r="AF10">
            <v>17</v>
          </cell>
          <cell r="AG10">
            <v>474879</v>
          </cell>
          <cell r="AH10">
            <v>14</v>
          </cell>
          <cell r="AI10">
            <v>474961</v>
          </cell>
          <cell r="AJ10">
            <v>82</v>
          </cell>
          <cell r="AK10">
            <v>474963</v>
          </cell>
          <cell r="AL10">
            <v>2</v>
          </cell>
          <cell r="AM10">
            <v>474968</v>
          </cell>
          <cell r="AN10">
            <v>5</v>
          </cell>
          <cell r="AO10">
            <v>475038</v>
          </cell>
          <cell r="AP10">
            <v>70</v>
          </cell>
          <cell r="AQ10">
            <v>475038</v>
          </cell>
          <cell r="AR10">
            <v>0</v>
          </cell>
          <cell r="AS10">
            <v>475097</v>
          </cell>
        </row>
        <row r="11">
          <cell r="G11" t="str">
            <v>10.10.125.203</v>
          </cell>
          <cell r="H11">
            <v>179094</v>
          </cell>
          <cell r="I11">
            <v>179137</v>
          </cell>
          <cell r="J11">
            <v>43</v>
          </cell>
          <cell r="K11">
            <v>179137</v>
          </cell>
          <cell r="L11">
            <v>0</v>
          </cell>
          <cell r="M11">
            <v>179164</v>
          </cell>
          <cell r="N11">
            <v>27</v>
          </cell>
          <cell r="O11">
            <v>179173</v>
          </cell>
          <cell r="P11">
            <v>9</v>
          </cell>
          <cell r="Q11">
            <v>179194</v>
          </cell>
          <cell r="R11">
            <v>21</v>
          </cell>
          <cell r="S11">
            <v>179213</v>
          </cell>
          <cell r="T11">
            <v>19</v>
          </cell>
          <cell r="U11">
            <v>179232</v>
          </cell>
          <cell r="V11">
            <v>19</v>
          </cell>
          <cell r="W11">
            <v>179267</v>
          </cell>
          <cell r="X11">
            <v>35</v>
          </cell>
          <cell r="Y11">
            <v>179277</v>
          </cell>
          <cell r="Z11">
            <v>10</v>
          </cell>
          <cell r="AA11">
            <v>179281</v>
          </cell>
          <cell r="AB11">
            <v>4</v>
          </cell>
          <cell r="AC11">
            <v>179292</v>
          </cell>
          <cell r="AD11">
            <v>11</v>
          </cell>
          <cell r="AE11">
            <v>179313</v>
          </cell>
          <cell r="AF11">
            <v>21</v>
          </cell>
          <cell r="AG11">
            <v>179328</v>
          </cell>
          <cell r="AH11">
            <v>15</v>
          </cell>
          <cell r="AI11">
            <v>179349</v>
          </cell>
          <cell r="AJ11">
            <v>21</v>
          </cell>
          <cell r="AK11">
            <v>179359</v>
          </cell>
          <cell r="AL11">
            <v>10</v>
          </cell>
          <cell r="AM11">
            <v>179361</v>
          </cell>
          <cell r="AN11">
            <v>2</v>
          </cell>
          <cell r="AO11">
            <v>179373</v>
          </cell>
          <cell r="AP11">
            <v>12</v>
          </cell>
          <cell r="AQ11">
            <v>179373</v>
          </cell>
          <cell r="AR11">
            <v>0</v>
          </cell>
          <cell r="AS11">
            <v>179374</v>
          </cell>
        </row>
        <row r="12">
          <cell r="G12" t="str">
            <v>10.11.29.202</v>
          </cell>
          <cell r="H12">
            <v>133847</v>
          </cell>
          <cell r="I12">
            <v>133861</v>
          </cell>
          <cell r="J12">
            <v>14</v>
          </cell>
          <cell r="K12">
            <v>133861</v>
          </cell>
          <cell r="L12">
            <v>0</v>
          </cell>
          <cell r="M12">
            <v>133899</v>
          </cell>
          <cell r="N12">
            <v>38</v>
          </cell>
          <cell r="O12">
            <v>133919</v>
          </cell>
          <cell r="P12">
            <v>20</v>
          </cell>
          <cell r="Q12">
            <v>133939</v>
          </cell>
          <cell r="R12">
            <v>20</v>
          </cell>
          <cell r="S12">
            <v>133994</v>
          </cell>
          <cell r="T12">
            <v>55</v>
          </cell>
          <cell r="U12">
            <v>134001</v>
          </cell>
          <cell r="V12">
            <v>7</v>
          </cell>
          <cell r="W12">
            <v>134010</v>
          </cell>
          <cell r="X12">
            <v>9</v>
          </cell>
          <cell r="Y12">
            <v>134022</v>
          </cell>
          <cell r="Z12">
            <v>12</v>
          </cell>
          <cell r="AA12">
            <v>134029</v>
          </cell>
          <cell r="AB12">
            <v>7</v>
          </cell>
          <cell r="AC12">
            <v>134041</v>
          </cell>
          <cell r="AD12">
            <v>12</v>
          </cell>
          <cell r="AE12">
            <v>134050</v>
          </cell>
          <cell r="AF12">
            <v>9</v>
          </cell>
          <cell r="AG12">
            <v>134067</v>
          </cell>
          <cell r="AH12">
            <v>17</v>
          </cell>
          <cell r="AI12">
            <v>134078</v>
          </cell>
          <cell r="AJ12">
            <v>11</v>
          </cell>
          <cell r="AK12">
            <v>134174</v>
          </cell>
          <cell r="AL12">
            <v>96</v>
          </cell>
          <cell r="AM12">
            <v>134177</v>
          </cell>
          <cell r="AN12">
            <v>3</v>
          </cell>
          <cell r="AO12">
            <v>134212</v>
          </cell>
          <cell r="AP12">
            <v>35</v>
          </cell>
          <cell r="AQ12">
            <v>134212</v>
          </cell>
          <cell r="AR12">
            <v>0</v>
          </cell>
          <cell r="AS12">
            <v>134224</v>
          </cell>
        </row>
        <row r="13">
          <cell r="G13" t="str">
            <v>10.10.180.204</v>
          </cell>
          <cell r="H13">
            <v>154740</v>
          </cell>
          <cell r="I13">
            <v>154763</v>
          </cell>
          <cell r="J13">
            <v>23</v>
          </cell>
          <cell r="K13">
            <v>154763</v>
          </cell>
          <cell r="L13">
            <v>0</v>
          </cell>
          <cell r="M13">
            <v>154790</v>
          </cell>
          <cell r="N13">
            <v>27</v>
          </cell>
          <cell r="O13">
            <v>154807</v>
          </cell>
          <cell r="P13">
            <v>17</v>
          </cell>
          <cell r="Q13">
            <v>154816</v>
          </cell>
          <cell r="R13">
            <v>9</v>
          </cell>
          <cell r="S13">
            <v>154831</v>
          </cell>
          <cell r="T13">
            <v>15</v>
          </cell>
          <cell r="U13">
            <v>154911</v>
          </cell>
          <cell r="V13">
            <v>80</v>
          </cell>
          <cell r="W13">
            <v>154918</v>
          </cell>
          <cell r="X13">
            <v>7</v>
          </cell>
          <cell r="Y13">
            <v>154939</v>
          </cell>
          <cell r="Z13">
            <v>21</v>
          </cell>
          <cell r="AA13">
            <v>154958</v>
          </cell>
          <cell r="AB13">
            <v>19</v>
          </cell>
          <cell r="AC13">
            <v>154982</v>
          </cell>
          <cell r="AD13">
            <v>24</v>
          </cell>
          <cell r="AE13">
            <v>155027</v>
          </cell>
          <cell r="AF13">
            <v>45</v>
          </cell>
          <cell r="AG13">
            <v>155058</v>
          </cell>
          <cell r="AH13">
            <v>31</v>
          </cell>
          <cell r="AI13">
            <v>155094</v>
          </cell>
          <cell r="AJ13">
            <v>36</v>
          </cell>
          <cell r="AK13">
            <v>155114</v>
          </cell>
          <cell r="AL13">
            <v>20</v>
          </cell>
          <cell r="AM13">
            <v>155120</v>
          </cell>
          <cell r="AN13">
            <v>6</v>
          </cell>
          <cell r="AO13">
            <v>155176</v>
          </cell>
          <cell r="AP13">
            <v>56</v>
          </cell>
          <cell r="AQ13">
            <v>155176</v>
          </cell>
          <cell r="AR13">
            <v>0</v>
          </cell>
          <cell r="AS13">
            <v>155189</v>
          </cell>
        </row>
        <row r="14">
          <cell r="G14" t="str">
            <v>10.10.180.203</v>
          </cell>
          <cell r="H14">
            <v>314764</v>
          </cell>
          <cell r="I14">
            <v>315103</v>
          </cell>
          <cell r="J14">
            <v>339</v>
          </cell>
          <cell r="K14">
            <v>315103</v>
          </cell>
          <cell r="L14">
            <v>0</v>
          </cell>
          <cell r="M14">
            <v>315371</v>
          </cell>
          <cell r="N14">
            <v>268</v>
          </cell>
          <cell r="O14">
            <v>315429</v>
          </cell>
          <cell r="P14">
            <v>58</v>
          </cell>
          <cell r="Q14">
            <v>315696</v>
          </cell>
          <cell r="R14">
            <v>267</v>
          </cell>
          <cell r="S14">
            <v>315834</v>
          </cell>
          <cell r="T14">
            <v>138</v>
          </cell>
          <cell r="U14">
            <v>316154</v>
          </cell>
          <cell r="V14">
            <v>320</v>
          </cell>
          <cell r="W14">
            <v>316416</v>
          </cell>
          <cell r="X14">
            <v>262</v>
          </cell>
          <cell r="Y14">
            <v>316527</v>
          </cell>
          <cell r="Z14">
            <v>111</v>
          </cell>
          <cell r="AA14">
            <v>316647</v>
          </cell>
          <cell r="AB14">
            <v>120</v>
          </cell>
          <cell r="AC14">
            <v>316886</v>
          </cell>
          <cell r="AD14">
            <v>239</v>
          </cell>
          <cell r="AE14">
            <v>317093</v>
          </cell>
          <cell r="AF14">
            <v>207</v>
          </cell>
          <cell r="AG14">
            <v>317334</v>
          </cell>
          <cell r="AH14">
            <v>241</v>
          </cell>
          <cell r="AI14">
            <v>317569</v>
          </cell>
          <cell r="AJ14">
            <v>235</v>
          </cell>
          <cell r="AK14">
            <v>317710</v>
          </cell>
          <cell r="AL14">
            <v>141</v>
          </cell>
          <cell r="AM14">
            <v>317903</v>
          </cell>
          <cell r="AN14">
            <v>193</v>
          </cell>
          <cell r="AO14">
            <v>318238</v>
          </cell>
          <cell r="AP14">
            <v>335</v>
          </cell>
          <cell r="AQ14">
            <v>318238</v>
          </cell>
          <cell r="AR14">
            <v>0</v>
          </cell>
          <cell r="AS14">
            <v>318415</v>
          </cell>
        </row>
        <row r="15">
          <cell r="G15" t="str">
            <v>10.14.72.200</v>
          </cell>
          <cell r="H15">
            <v>306785</v>
          </cell>
          <cell r="I15">
            <v>306785</v>
          </cell>
          <cell r="J15">
            <v>0</v>
          </cell>
          <cell r="K15">
            <v>306785</v>
          </cell>
          <cell r="L15">
            <v>0</v>
          </cell>
          <cell r="M15">
            <v>306785</v>
          </cell>
          <cell r="N15">
            <v>0</v>
          </cell>
          <cell r="O15">
            <v>306785</v>
          </cell>
          <cell r="P15">
            <v>0</v>
          </cell>
          <cell r="Q15">
            <v>306785</v>
          </cell>
          <cell r="R15">
            <v>0</v>
          </cell>
          <cell r="S15">
            <v>306785</v>
          </cell>
          <cell r="T15">
            <v>0</v>
          </cell>
          <cell r="U15">
            <v>306785</v>
          </cell>
          <cell r="V15">
            <v>0</v>
          </cell>
          <cell r="W15">
            <v>306785</v>
          </cell>
          <cell r="X15">
            <v>0</v>
          </cell>
          <cell r="Y15">
            <v>306785</v>
          </cell>
          <cell r="Z15">
            <v>0</v>
          </cell>
          <cell r="AA15">
            <v>306785</v>
          </cell>
          <cell r="AB15">
            <v>0</v>
          </cell>
          <cell r="AC15">
            <v>306785</v>
          </cell>
          <cell r="AD15">
            <v>0</v>
          </cell>
          <cell r="AE15">
            <v>306785</v>
          </cell>
          <cell r="AF15">
            <v>0</v>
          </cell>
          <cell r="AG15">
            <v>306785</v>
          </cell>
          <cell r="AH15">
            <v>0</v>
          </cell>
          <cell r="AI15">
            <v>306785</v>
          </cell>
          <cell r="AJ15">
            <v>0</v>
          </cell>
          <cell r="AK15">
            <v>306785</v>
          </cell>
          <cell r="AL15">
            <v>0</v>
          </cell>
          <cell r="AM15">
            <v>306785</v>
          </cell>
          <cell r="AN15">
            <v>0</v>
          </cell>
          <cell r="AO15">
            <v>306785</v>
          </cell>
          <cell r="AP15">
            <v>0</v>
          </cell>
          <cell r="AQ15">
            <v>306785</v>
          </cell>
          <cell r="AR15">
            <v>0</v>
          </cell>
          <cell r="AS15">
            <v>306785</v>
          </cell>
        </row>
        <row r="16">
          <cell r="G16" t="str">
            <v>10.11.99.201</v>
          </cell>
          <cell r="H16">
            <v>127579</v>
          </cell>
          <cell r="I16">
            <v>127690</v>
          </cell>
          <cell r="J16">
            <v>111</v>
          </cell>
          <cell r="K16">
            <v>127690</v>
          </cell>
          <cell r="L16">
            <v>0</v>
          </cell>
          <cell r="M16">
            <v>127792</v>
          </cell>
          <cell r="N16">
            <v>102</v>
          </cell>
          <cell r="O16">
            <v>127825</v>
          </cell>
          <cell r="P16">
            <v>33</v>
          </cell>
          <cell r="Q16">
            <v>127875</v>
          </cell>
          <cell r="R16">
            <v>50</v>
          </cell>
          <cell r="S16">
            <v>127914</v>
          </cell>
          <cell r="T16">
            <v>39</v>
          </cell>
          <cell r="U16">
            <v>127963</v>
          </cell>
          <cell r="V16">
            <v>49</v>
          </cell>
          <cell r="W16">
            <v>128041</v>
          </cell>
          <cell r="X16">
            <v>78</v>
          </cell>
          <cell r="Y16">
            <v>128140</v>
          </cell>
          <cell r="Z16">
            <v>99</v>
          </cell>
          <cell r="AA16">
            <v>128229</v>
          </cell>
          <cell r="AB16">
            <v>89</v>
          </cell>
          <cell r="AC16">
            <v>128251</v>
          </cell>
          <cell r="AD16">
            <v>22</v>
          </cell>
          <cell r="AE16">
            <v>128345</v>
          </cell>
          <cell r="AF16">
            <v>94</v>
          </cell>
          <cell r="AG16">
            <v>128361</v>
          </cell>
          <cell r="AH16">
            <v>16</v>
          </cell>
          <cell r="AI16">
            <v>128401</v>
          </cell>
          <cell r="AJ16">
            <v>40</v>
          </cell>
          <cell r="AK16">
            <v>128428</v>
          </cell>
          <cell r="AL16">
            <v>27</v>
          </cell>
          <cell r="AM16">
            <v>128487</v>
          </cell>
          <cell r="AN16">
            <v>59</v>
          </cell>
          <cell r="AO16">
            <v>128624</v>
          </cell>
          <cell r="AP16">
            <v>137</v>
          </cell>
          <cell r="AQ16">
            <v>128624</v>
          </cell>
          <cell r="AR16">
            <v>0</v>
          </cell>
          <cell r="AS16">
            <v>128650</v>
          </cell>
        </row>
        <row r="17">
          <cell r="G17" t="str">
            <v>10.14.11.204</v>
          </cell>
          <cell r="H17">
            <v>246164</v>
          </cell>
          <cell r="I17">
            <v>246402</v>
          </cell>
          <cell r="J17">
            <v>238</v>
          </cell>
          <cell r="K17">
            <v>246402</v>
          </cell>
          <cell r="L17">
            <v>0</v>
          </cell>
          <cell r="M17">
            <v>246502</v>
          </cell>
          <cell r="N17">
            <v>100</v>
          </cell>
          <cell r="O17">
            <v>246626</v>
          </cell>
          <cell r="P17">
            <v>124</v>
          </cell>
          <cell r="Q17">
            <v>246795</v>
          </cell>
          <cell r="R17">
            <v>169</v>
          </cell>
          <cell r="S17">
            <v>246943</v>
          </cell>
          <cell r="T17">
            <v>148</v>
          </cell>
          <cell r="U17">
            <v>247063</v>
          </cell>
          <cell r="V17">
            <v>120</v>
          </cell>
          <cell r="W17">
            <v>247223</v>
          </cell>
          <cell r="X17">
            <v>160</v>
          </cell>
          <cell r="Y17">
            <v>247285</v>
          </cell>
          <cell r="Z17">
            <v>62</v>
          </cell>
          <cell r="AA17">
            <v>247354</v>
          </cell>
          <cell r="AB17">
            <v>69</v>
          </cell>
          <cell r="AC17">
            <v>247428</v>
          </cell>
          <cell r="AD17">
            <v>74</v>
          </cell>
          <cell r="AE17">
            <v>247622</v>
          </cell>
          <cell r="AF17">
            <v>194</v>
          </cell>
          <cell r="AG17">
            <v>247759</v>
          </cell>
          <cell r="AH17">
            <v>137</v>
          </cell>
          <cell r="AI17">
            <v>247859</v>
          </cell>
          <cell r="AJ17">
            <v>100</v>
          </cell>
          <cell r="AK17">
            <v>247942</v>
          </cell>
          <cell r="AL17">
            <v>83</v>
          </cell>
          <cell r="AM17">
            <v>248033</v>
          </cell>
          <cell r="AN17">
            <v>91</v>
          </cell>
          <cell r="AO17">
            <v>248238</v>
          </cell>
          <cell r="AP17">
            <v>205</v>
          </cell>
          <cell r="AQ17">
            <v>248238</v>
          </cell>
          <cell r="AR17">
            <v>0</v>
          </cell>
          <cell r="AS17">
            <v>248344</v>
          </cell>
        </row>
        <row r="18">
          <cell r="G18" t="str">
            <v>10.11.25.200</v>
          </cell>
          <cell r="H18">
            <v>144237</v>
          </cell>
          <cell r="I18">
            <v>144250</v>
          </cell>
          <cell r="J18">
            <v>13</v>
          </cell>
          <cell r="K18">
            <v>144250</v>
          </cell>
          <cell r="L18">
            <v>0</v>
          </cell>
          <cell r="M18">
            <v>144255</v>
          </cell>
          <cell r="N18">
            <v>5</v>
          </cell>
          <cell r="O18">
            <v>144257</v>
          </cell>
          <cell r="P18">
            <v>2</v>
          </cell>
          <cell r="Q18">
            <v>144409</v>
          </cell>
          <cell r="R18">
            <v>152</v>
          </cell>
          <cell r="S18">
            <v>144509</v>
          </cell>
          <cell r="T18">
            <v>100</v>
          </cell>
          <cell r="U18">
            <v>144591</v>
          </cell>
          <cell r="V18">
            <v>82</v>
          </cell>
          <cell r="W18">
            <v>144677</v>
          </cell>
          <cell r="X18">
            <v>86</v>
          </cell>
          <cell r="Y18">
            <v>144718</v>
          </cell>
          <cell r="Z18">
            <v>41</v>
          </cell>
          <cell r="AA18">
            <v>144724</v>
          </cell>
          <cell r="AB18">
            <v>6</v>
          </cell>
          <cell r="AC18">
            <v>144724</v>
          </cell>
          <cell r="AD18">
            <v>0</v>
          </cell>
          <cell r="AE18">
            <v>144724</v>
          </cell>
          <cell r="AF18">
            <v>0</v>
          </cell>
          <cell r="AG18">
            <v>144731</v>
          </cell>
          <cell r="AH18">
            <v>7</v>
          </cell>
          <cell r="AI18">
            <v>144788</v>
          </cell>
          <cell r="AJ18">
            <v>57</v>
          </cell>
          <cell r="AK18">
            <v>144876</v>
          </cell>
          <cell r="AL18">
            <v>88</v>
          </cell>
          <cell r="AM18">
            <v>144880</v>
          </cell>
          <cell r="AN18">
            <v>4</v>
          </cell>
          <cell r="AO18">
            <v>145000</v>
          </cell>
          <cell r="AP18">
            <v>120</v>
          </cell>
          <cell r="AQ18">
            <v>145000</v>
          </cell>
          <cell r="AR18">
            <v>0</v>
          </cell>
          <cell r="AS18">
            <v>145081</v>
          </cell>
        </row>
        <row r="19">
          <cell r="G19" t="str">
            <v>10.10.158.201</v>
          </cell>
          <cell r="H19">
            <v>126543</v>
          </cell>
          <cell r="I19">
            <v>126612</v>
          </cell>
          <cell r="J19">
            <v>69</v>
          </cell>
          <cell r="K19">
            <v>126612</v>
          </cell>
          <cell r="L19">
            <v>0</v>
          </cell>
          <cell r="M19">
            <v>126641</v>
          </cell>
          <cell r="N19">
            <v>29</v>
          </cell>
          <cell r="O19">
            <v>126681</v>
          </cell>
          <cell r="P19">
            <v>40</v>
          </cell>
          <cell r="Q19">
            <v>126738</v>
          </cell>
          <cell r="R19">
            <v>57</v>
          </cell>
          <cell r="S19">
            <v>126752</v>
          </cell>
          <cell r="T19">
            <v>14</v>
          </cell>
          <cell r="U19">
            <v>126802</v>
          </cell>
          <cell r="V19">
            <v>50</v>
          </cell>
          <cell r="W19">
            <v>126821</v>
          </cell>
          <cell r="X19">
            <v>19</v>
          </cell>
          <cell r="Y19">
            <v>126836</v>
          </cell>
          <cell r="Z19">
            <v>15</v>
          </cell>
          <cell r="AA19">
            <v>126927</v>
          </cell>
          <cell r="AB19">
            <v>91</v>
          </cell>
          <cell r="AC19">
            <v>126965</v>
          </cell>
          <cell r="AD19">
            <v>38</v>
          </cell>
          <cell r="AE19">
            <v>127006</v>
          </cell>
          <cell r="AF19">
            <v>41</v>
          </cell>
          <cell r="AG19">
            <v>127026</v>
          </cell>
          <cell r="AH19">
            <v>20</v>
          </cell>
          <cell r="AI19">
            <v>127026</v>
          </cell>
          <cell r="AJ19">
            <v>0</v>
          </cell>
          <cell r="AK19">
            <v>127056</v>
          </cell>
          <cell r="AL19">
            <v>30</v>
          </cell>
          <cell r="AM19">
            <v>127093</v>
          </cell>
          <cell r="AN19">
            <v>37</v>
          </cell>
          <cell r="AO19">
            <v>127178</v>
          </cell>
          <cell r="AP19">
            <v>85</v>
          </cell>
          <cell r="AQ19">
            <v>127178</v>
          </cell>
          <cell r="AR19">
            <v>0</v>
          </cell>
          <cell r="AS19">
            <v>127178</v>
          </cell>
        </row>
        <row r="20">
          <cell r="G20" t="str">
            <v>10.14.93.201</v>
          </cell>
          <cell r="H20">
            <v>207435</v>
          </cell>
          <cell r="I20">
            <v>207527</v>
          </cell>
          <cell r="J20">
            <v>92</v>
          </cell>
          <cell r="K20">
            <v>207527</v>
          </cell>
          <cell r="L20">
            <v>0</v>
          </cell>
          <cell r="M20">
            <v>207573</v>
          </cell>
          <cell r="N20">
            <v>46</v>
          </cell>
          <cell r="O20">
            <v>207605</v>
          </cell>
          <cell r="P20">
            <v>32</v>
          </cell>
          <cell r="Q20">
            <v>207637</v>
          </cell>
          <cell r="R20">
            <v>32</v>
          </cell>
          <cell r="S20">
            <v>207656</v>
          </cell>
          <cell r="T20">
            <v>19</v>
          </cell>
          <cell r="U20">
            <v>207671</v>
          </cell>
          <cell r="V20">
            <v>15</v>
          </cell>
          <cell r="W20">
            <v>207692</v>
          </cell>
          <cell r="X20">
            <v>21</v>
          </cell>
          <cell r="Y20">
            <v>207713</v>
          </cell>
          <cell r="Z20">
            <v>21</v>
          </cell>
          <cell r="AA20">
            <v>207765</v>
          </cell>
          <cell r="AB20">
            <v>52</v>
          </cell>
          <cell r="AC20">
            <v>207861</v>
          </cell>
          <cell r="AD20">
            <v>96</v>
          </cell>
          <cell r="AE20">
            <v>207881</v>
          </cell>
          <cell r="AF20">
            <v>20</v>
          </cell>
          <cell r="AG20">
            <v>207914</v>
          </cell>
          <cell r="AH20">
            <v>33</v>
          </cell>
          <cell r="AI20">
            <v>207936</v>
          </cell>
          <cell r="AJ20">
            <v>22</v>
          </cell>
          <cell r="AK20">
            <v>207947</v>
          </cell>
          <cell r="AL20">
            <v>11</v>
          </cell>
          <cell r="AM20">
            <v>207954</v>
          </cell>
          <cell r="AN20">
            <v>7</v>
          </cell>
          <cell r="AO20">
            <v>208030</v>
          </cell>
          <cell r="AP20">
            <v>76</v>
          </cell>
          <cell r="AQ20">
            <v>208030</v>
          </cell>
          <cell r="AR20">
            <v>0</v>
          </cell>
          <cell r="AS20">
            <v>208081</v>
          </cell>
        </row>
        <row r="21">
          <cell r="G21" t="str">
            <v>10.10.171.207</v>
          </cell>
          <cell r="H21">
            <v>261899</v>
          </cell>
          <cell r="I21">
            <v>261982</v>
          </cell>
          <cell r="J21">
            <v>83</v>
          </cell>
          <cell r="K21">
            <v>261982</v>
          </cell>
          <cell r="L21">
            <v>0</v>
          </cell>
          <cell r="M21">
            <v>262006</v>
          </cell>
          <cell r="N21">
            <v>24</v>
          </cell>
          <cell r="O21">
            <v>262130</v>
          </cell>
          <cell r="P21">
            <v>124</v>
          </cell>
          <cell r="Q21">
            <v>262242</v>
          </cell>
          <cell r="R21">
            <v>112</v>
          </cell>
          <cell r="S21">
            <v>262467</v>
          </cell>
          <cell r="T21">
            <v>225</v>
          </cell>
          <cell r="U21">
            <v>262704</v>
          </cell>
          <cell r="V21">
            <v>237</v>
          </cell>
          <cell r="W21">
            <v>262971</v>
          </cell>
          <cell r="X21">
            <v>267</v>
          </cell>
          <cell r="Y21">
            <v>263214</v>
          </cell>
          <cell r="Z21">
            <v>243</v>
          </cell>
          <cell r="AA21">
            <v>263283</v>
          </cell>
          <cell r="AB21">
            <v>69</v>
          </cell>
          <cell r="AC21">
            <v>263283</v>
          </cell>
          <cell r="AD21">
            <v>0</v>
          </cell>
          <cell r="AE21">
            <v>263283</v>
          </cell>
          <cell r="AF21">
            <v>0</v>
          </cell>
          <cell r="AG21">
            <v>263283</v>
          </cell>
          <cell r="AH21">
            <v>0</v>
          </cell>
          <cell r="AI21">
            <v>263283</v>
          </cell>
          <cell r="AJ21">
            <v>0</v>
          </cell>
          <cell r="AK21">
            <v>263290</v>
          </cell>
          <cell r="AL21">
            <v>7</v>
          </cell>
          <cell r="AM21">
            <v>263371</v>
          </cell>
          <cell r="AN21">
            <v>81</v>
          </cell>
          <cell r="AO21">
            <v>263462</v>
          </cell>
          <cell r="AP21">
            <v>91</v>
          </cell>
          <cell r="AQ21">
            <v>263462</v>
          </cell>
          <cell r="AR21">
            <v>0</v>
          </cell>
          <cell r="AS21">
            <v>263474</v>
          </cell>
        </row>
        <row r="22">
          <cell r="G22" t="str">
            <v>10.14.47.204</v>
          </cell>
          <cell r="H22">
            <v>283273</v>
          </cell>
          <cell r="I22">
            <v>283276</v>
          </cell>
          <cell r="J22">
            <v>3</v>
          </cell>
          <cell r="K22">
            <v>283276</v>
          </cell>
          <cell r="L22">
            <v>0</v>
          </cell>
          <cell r="M22">
            <v>283276</v>
          </cell>
          <cell r="N22">
            <v>0</v>
          </cell>
          <cell r="O22">
            <v>283282</v>
          </cell>
          <cell r="P22">
            <v>6</v>
          </cell>
          <cell r="Q22">
            <v>283288</v>
          </cell>
          <cell r="R22">
            <v>6</v>
          </cell>
          <cell r="S22">
            <v>283294</v>
          </cell>
          <cell r="T22">
            <v>6</v>
          </cell>
          <cell r="U22">
            <v>283300</v>
          </cell>
          <cell r="V22">
            <v>6</v>
          </cell>
          <cell r="W22">
            <v>283304</v>
          </cell>
          <cell r="X22">
            <v>4</v>
          </cell>
          <cell r="Y22">
            <v>283308</v>
          </cell>
          <cell r="Z22">
            <v>4</v>
          </cell>
          <cell r="AA22">
            <v>283308</v>
          </cell>
          <cell r="AB22">
            <v>0</v>
          </cell>
          <cell r="AC22">
            <v>283320</v>
          </cell>
          <cell r="AD22">
            <v>12</v>
          </cell>
          <cell r="AE22">
            <v>283329</v>
          </cell>
          <cell r="AF22">
            <v>9</v>
          </cell>
          <cell r="AG22">
            <v>283342</v>
          </cell>
          <cell r="AH22">
            <v>13</v>
          </cell>
          <cell r="AI22">
            <v>283349</v>
          </cell>
          <cell r="AJ22">
            <v>7</v>
          </cell>
          <cell r="AK22">
            <v>283358</v>
          </cell>
          <cell r="AL22">
            <v>9</v>
          </cell>
          <cell r="AM22">
            <v>283372</v>
          </cell>
          <cell r="AN22">
            <v>14</v>
          </cell>
          <cell r="AO22">
            <v>283385</v>
          </cell>
          <cell r="AP22">
            <v>13</v>
          </cell>
          <cell r="AQ22">
            <v>283385</v>
          </cell>
          <cell r="AR22">
            <v>0</v>
          </cell>
          <cell r="AS22">
            <v>283386</v>
          </cell>
        </row>
        <row r="23">
          <cell r="G23" t="str">
            <v>10.10.184.201</v>
          </cell>
          <cell r="H23">
            <v>188326</v>
          </cell>
          <cell r="I23">
            <v>188399</v>
          </cell>
          <cell r="J23">
            <v>73</v>
          </cell>
          <cell r="K23">
            <v>188399</v>
          </cell>
          <cell r="L23">
            <v>0</v>
          </cell>
          <cell r="M23">
            <v>188444</v>
          </cell>
          <cell r="N23">
            <v>45</v>
          </cell>
          <cell r="O23">
            <v>188491</v>
          </cell>
          <cell r="P23">
            <v>47</v>
          </cell>
          <cell r="Q23">
            <v>188557</v>
          </cell>
          <cell r="R23">
            <v>66</v>
          </cell>
          <cell r="S23">
            <v>188582</v>
          </cell>
          <cell r="T23">
            <v>25</v>
          </cell>
          <cell r="U23">
            <v>188605</v>
          </cell>
          <cell r="V23">
            <v>23</v>
          </cell>
          <cell r="W23">
            <v>188631</v>
          </cell>
          <cell r="X23">
            <v>26</v>
          </cell>
          <cell r="Y23">
            <v>188652</v>
          </cell>
          <cell r="Z23">
            <v>21</v>
          </cell>
          <cell r="AA23">
            <v>188674</v>
          </cell>
          <cell r="AB23">
            <v>22</v>
          </cell>
          <cell r="AC23">
            <v>188707</v>
          </cell>
          <cell r="AD23">
            <v>33</v>
          </cell>
          <cell r="AE23">
            <v>188734</v>
          </cell>
          <cell r="AF23">
            <v>27</v>
          </cell>
          <cell r="AG23">
            <v>188768</v>
          </cell>
          <cell r="AH23">
            <v>34</v>
          </cell>
          <cell r="AI23">
            <v>188790</v>
          </cell>
          <cell r="AJ23">
            <v>22</v>
          </cell>
          <cell r="AK23">
            <v>188821</v>
          </cell>
          <cell r="AL23">
            <v>31</v>
          </cell>
          <cell r="AM23">
            <v>188871</v>
          </cell>
          <cell r="AN23">
            <v>50</v>
          </cell>
          <cell r="AO23">
            <v>188967</v>
          </cell>
          <cell r="AP23">
            <v>96</v>
          </cell>
          <cell r="AQ23">
            <v>188967</v>
          </cell>
          <cell r="AR23">
            <v>0</v>
          </cell>
          <cell r="AS23">
            <v>189051</v>
          </cell>
        </row>
        <row r="24">
          <cell r="G24" t="str">
            <v>10.10.64.102</v>
          </cell>
          <cell r="H24">
            <v>339304</v>
          </cell>
          <cell r="I24">
            <v>339445</v>
          </cell>
          <cell r="J24">
            <v>141</v>
          </cell>
          <cell r="K24">
            <v>339445</v>
          </cell>
          <cell r="L24">
            <v>0</v>
          </cell>
          <cell r="M24">
            <v>339508</v>
          </cell>
          <cell r="N24">
            <v>63</v>
          </cell>
          <cell r="O24">
            <v>339592</v>
          </cell>
          <cell r="P24">
            <v>84</v>
          </cell>
          <cell r="Q24">
            <v>339617</v>
          </cell>
          <cell r="R24">
            <v>25</v>
          </cell>
          <cell r="S24">
            <v>339673</v>
          </cell>
          <cell r="T24">
            <v>56</v>
          </cell>
          <cell r="U24">
            <v>339694</v>
          </cell>
          <cell r="V24">
            <v>21</v>
          </cell>
          <cell r="W24">
            <v>339730</v>
          </cell>
          <cell r="X24">
            <v>36</v>
          </cell>
          <cell r="Y24">
            <v>339793</v>
          </cell>
          <cell r="Z24">
            <v>63</v>
          </cell>
          <cell r="AA24">
            <v>339826</v>
          </cell>
          <cell r="AB24">
            <v>33</v>
          </cell>
          <cell r="AC24">
            <v>339875</v>
          </cell>
          <cell r="AD24">
            <v>49</v>
          </cell>
          <cell r="AE24">
            <v>339896</v>
          </cell>
          <cell r="AF24">
            <v>21</v>
          </cell>
          <cell r="AG24">
            <v>340027</v>
          </cell>
          <cell r="AH24">
            <v>131</v>
          </cell>
          <cell r="AI24">
            <v>340054</v>
          </cell>
          <cell r="AJ24">
            <v>27</v>
          </cell>
          <cell r="AK24">
            <v>340076</v>
          </cell>
          <cell r="AL24">
            <v>22</v>
          </cell>
          <cell r="AM24">
            <v>340144</v>
          </cell>
          <cell r="AN24">
            <v>68</v>
          </cell>
          <cell r="AO24">
            <v>340212</v>
          </cell>
          <cell r="AP24">
            <v>68</v>
          </cell>
          <cell r="AQ24">
            <v>340212</v>
          </cell>
          <cell r="AR24">
            <v>0</v>
          </cell>
          <cell r="AS24">
            <v>340319</v>
          </cell>
        </row>
        <row r="25">
          <cell r="G25" t="str">
            <v>10.11.11.200</v>
          </cell>
          <cell r="H25">
            <v>155750</v>
          </cell>
          <cell r="I25">
            <v>155947</v>
          </cell>
          <cell r="J25">
            <v>197</v>
          </cell>
          <cell r="K25">
            <v>155947</v>
          </cell>
          <cell r="L25">
            <v>0</v>
          </cell>
          <cell r="M25">
            <v>156043</v>
          </cell>
          <cell r="N25">
            <v>96</v>
          </cell>
          <cell r="O25">
            <v>156060</v>
          </cell>
          <cell r="P25">
            <v>17</v>
          </cell>
          <cell r="Q25">
            <v>156112</v>
          </cell>
          <cell r="R25">
            <v>52</v>
          </cell>
          <cell r="S25">
            <v>156164</v>
          </cell>
          <cell r="T25">
            <v>52</v>
          </cell>
          <cell r="U25">
            <v>156303</v>
          </cell>
          <cell r="V25">
            <v>139</v>
          </cell>
          <cell r="W25">
            <v>156367</v>
          </cell>
          <cell r="X25">
            <v>64</v>
          </cell>
          <cell r="Y25">
            <v>156393</v>
          </cell>
          <cell r="Z25">
            <v>26</v>
          </cell>
          <cell r="AA25">
            <v>156449</v>
          </cell>
          <cell r="AB25">
            <v>56</v>
          </cell>
          <cell r="AC25">
            <v>156570</v>
          </cell>
          <cell r="AD25">
            <v>121</v>
          </cell>
          <cell r="AE25">
            <v>156693</v>
          </cell>
          <cell r="AF25">
            <v>123</v>
          </cell>
          <cell r="AG25">
            <v>156715</v>
          </cell>
          <cell r="AH25">
            <v>22</v>
          </cell>
          <cell r="AI25">
            <v>156715</v>
          </cell>
          <cell r="AJ25">
            <v>0</v>
          </cell>
          <cell r="AK25">
            <v>156762</v>
          </cell>
          <cell r="AL25">
            <v>47</v>
          </cell>
          <cell r="AM25">
            <v>156882</v>
          </cell>
          <cell r="AN25">
            <v>120</v>
          </cell>
          <cell r="AO25">
            <v>157173</v>
          </cell>
          <cell r="AP25">
            <v>291</v>
          </cell>
          <cell r="AQ25">
            <v>157173</v>
          </cell>
          <cell r="AR25">
            <v>0</v>
          </cell>
          <cell r="AS25">
            <v>157479</v>
          </cell>
        </row>
        <row r="26">
          <cell r="G26" t="str">
            <v>10.11.9.201</v>
          </cell>
          <cell r="H26">
            <v>127880</v>
          </cell>
          <cell r="I26">
            <v>127892</v>
          </cell>
          <cell r="J26">
            <v>12</v>
          </cell>
          <cell r="K26">
            <v>127892</v>
          </cell>
          <cell r="L26">
            <v>0</v>
          </cell>
          <cell r="M26">
            <v>127915</v>
          </cell>
          <cell r="N26">
            <v>23</v>
          </cell>
          <cell r="O26">
            <v>127920</v>
          </cell>
          <cell r="P26">
            <v>5</v>
          </cell>
          <cell r="Q26">
            <v>127942</v>
          </cell>
          <cell r="R26">
            <v>22</v>
          </cell>
          <cell r="S26">
            <v>127944</v>
          </cell>
          <cell r="T26">
            <v>2</v>
          </cell>
          <cell r="U26">
            <v>127944</v>
          </cell>
          <cell r="V26">
            <v>0</v>
          </cell>
          <cell r="W26">
            <v>127944</v>
          </cell>
          <cell r="X26">
            <v>0</v>
          </cell>
          <cell r="Y26">
            <v>127948</v>
          </cell>
          <cell r="Z26">
            <v>4</v>
          </cell>
          <cell r="AA26">
            <v>127948</v>
          </cell>
          <cell r="AB26">
            <v>0</v>
          </cell>
          <cell r="AC26">
            <v>127951</v>
          </cell>
          <cell r="AD26">
            <v>3</v>
          </cell>
          <cell r="AE26">
            <v>127951</v>
          </cell>
          <cell r="AF26">
            <v>0</v>
          </cell>
          <cell r="AG26">
            <v>127980</v>
          </cell>
          <cell r="AH26">
            <v>29</v>
          </cell>
          <cell r="AI26">
            <v>127989</v>
          </cell>
          <cell r="AJ26">
            <v>9</v>
          </cell>
          <cell r="AK26">
            <v>127989</v>
          </cell>
          <cell r="AL26">
            <v>0</v>
          </cell>
          <cell r="AM26">
            <v>127992</v>
          </cell>
          <cell r="AN26">
            <v>3</v>
          </cell>
          <cell r="AO26">
            <v>128001</v>
          </cell>
          <cell r="AP26">
            <v>9</v>
          </cell>
          <cell r="AQ26">
            <v>128001</v>
          </cell>
          <cell r="AR26">
            <v>0</v>
          </cell>
          <cell r="AS26">
            <v>128020</v>
          </cell>
        </row>
        <row r="27">
          <cell r="G27" t="str">
            <v>10.11.23.201</v>
          </cell>
          <cell r="H27">
            <v>204247</v>
          </cell>
          <cell r="I27">
            <v>204253</v>
          </cell>
          <cell r="J27">
            <v>6</v>
          </cell>
          <cell r="K27">
            <v>204253</v>
          </cell>
          <cell r="L27">
            <v>0</v>
          </cell>
          <cell r="M27">
            <v>204262</v>
          </cell>
          <cell r="N27">
            <v>9</v>
          </cell>
          <cell r="O27">
            <v>204275</v>
          </cell>
          <cell r="P27">
            <v>13</v>
          </cell>
          <cell r="Q27">
            <v>204277</v>
          </cell>
          <cell r="R27">
            <v>2</v>
          </cell>
          <cell r="S27">
            <v>204281</v>
          </cell>
          <cell r="T27">
            <v>4</v>
          </cell>
          <cell r="U27">
            <v>204283</v>
          </cell>
          <cell r="V27">
            <v>2</v>
          </cell>
          <cell r="W27">
            <v>204292</v>
          </cell>
          <cell r="X27">
            <v>9</v>
          </cell>
          <cell r="Y27">
            <v>204293</v>
          </cell>
          <cell r="Z27">
            <v>1</v>
          </cell>
          <cell r="AA27">
            <v>204294</v>
          </cell>
          <cell r="AB27">
            <v>1</v>
          </cell>
          <cell r="AC27">
            <v>204298</v>
          </cell>
          <cell r="AD27">
            <v>4</v>
          </cell>
          <cell r="AE27">
            <v>204299</v>
          </cell>
          <cell r="AF27">
            <v>1</v>
          </cell>
          <cell r="AG27">
            <v>204302</v>
          </cell>
          <cell r="AH27">
            <v>3</v>
          </cell>
          <cell r="AI27">
            <v>204303</v>
          </cell>
          <cell r="AJ27">
            <v>1</v>
          </cell>
          <cell r="AK27">
            <v>204308</v>
          </cell>
          <cell r="AL27">
            <v>5</v>
          </cell>
          <cell r="AM27">
            <v>204311</v>
          </cell>
          <cell r="AN27">
            <v>3</v>
          </cell>
          <cell r="AO27">
            <v>204318</v>
          </cell>
          <cell r="AP27">
            <v>7</v>
          </cell>
          <cell r="AQ27">
            <v>204318</v>
          </cell>
          <cell r="AR27">
            <v>0</v>
          </cell>
          <cell r="AS27">
            <v>204321</v>
          </cell>
        </row>
        <row r="28">
          <cell r="G28" t="str">
            <v>10.10.97.200</v>
          </cell>
          <cell r="H28">
            <v>273004</v>
          </cell>
          <cell r="I28">
            <v>273081</v>
          </cell>
          <cell r="J28">
            <v>77</v>
          </cell>
          <cell r="K28">
            <v>273081</v>
          </cell>
          <cell r="L28">
            <v>0</v>
          </cell>
          <cell r="M28">
            <v>273105</v>
          </cell>
          <cell r="N28">
            <v>24</v>
          </cell>
          <cell r="O28">
            <v>273141</v>
          </cell>
          <cell r="P28">
            <v>36</v>
          </cell>
          <cell r="Q28">
            <v>273201</v>
          </cell>
          <cell r="R28">
            <v>60</v>
          </cell>
          <cell r="S28">
            <v>273219</v>
          </cell>
          <cell r="T28">
            <v>18</v>
          </cell>
          <cell r="U28">
            <v>273268</v>
          </cell>
          <cell r="V28">
            <v>49</v>
          </cell>
          <cell r="W28">
            <v>273338</v>
          </cell>
          <cell r="X28">
            <v>70</v>
          </cell>
          <cell r="Y28">
            <v>273383</v>
          </cell>
          <cell r="Z28">
            <v>45</v>
          </cell>
          <cell r="AA28">
            <v>273457</v>
          </cell>
          <cell r="AB28">
            <v>74</v>
          </cell>
          <cell r="AC28">
            <v>273518</v>
          </cell>
          <cell r="AD28">
            <v>61</v>
          </cell>
          <cell r="AE28">
            <v>273619</v>
          </cell>
          <cell r="AF28">
            <v>101</v>
          </cell>
          <cell r="AG28">
            <v>273663</v>
          </cell>
          <cell r="AH28">
            <v>44</v>
          </cell>
          <cell r="AI28">
            <v>273728</v>
          </cell>
          <cell r="AJ28">
            <v>65</v>
          </cell>
          <cell r="AK28">
            <v>273767</v>
          </cell>
          <cell r="AL28">
            <v>39</v>
          </cell>
          <cell r="AM28">
            <v>273882</v>
          </cell>
          <cell r="AN28">
            <v>115</v>
          </cell>
          <cell r="AO28">
            <v>274108</v>
          </cell>
          <cell r="AP28">
            <v>226</v>
          </cell>
          <cell r="AQ28">
            <v>274108</v>
          </cell>
          <cell r="AR28">
            <v>0</v>
          </cell>
          <cell r="AS28">
            <v>274222</v>
          </cell>
        </row>
        <row r="29">
          <cell r="G29" t="str">
            <v>10.10.240.200</v>
          </cell>
          <cell r="H29">
            <v>97540</v>
          </cell>
          <cell r="I29">
            <v>97561</v>
          </cell>
          <cell r="J29">
            <v>21</v>
          </cell>
          <cell r="K29">
            <v>97561</v>
          </cell>
          <cell r="L29">
            <v>0</v>
          </cell>
          <cell r="M29">
            <v>97578</v>
          </cell>
          <cell r="N29">
            <v>17</v>
          </cell>
          <cell r="O29">
            <v>97593</v>
          </cell>
          <cell r="P29">
            <v>15</v>
          </cell>
          <cell r="Q29">
            <v>97602</v>
          </cell>
          <cell r="R29">
            <v>9</v>
          </cell>
          <cell r="S29">
            <v>97607</v>
          </cell>
          <cell r="T29">
            <v>5</v>
          </cell>
          <cell r="U29">
            <v>97617</v>
          </cell>
          <cell r="V29">
            <v>10</v>
          </cell>
          <cell r="W29">
            <v>97626</v>
          </cell>
          <cell r="X29">
            <v>9</v>
          </cell>
          <cell r="Y29">
            <v>97635</v>
          </cell>
          <cell r="Z29">
            <v>9</v>
          </cell>
          <cell r="AA29">
            <v>97644</v>
          </cell>
          <cell r="AB29">
            <v>9</v>
          </cell>
          <cell r="AC29">
            <v>97664</v>
          </cell>
          <cell r="AD29">
            <v>20</v>
          </cell>
          <cell r="AE29">
            <v>97671</v>
          </cell>
          <cell r="AF29">
            <v>7</v>
          </cell>
          <cell r="AG29">
            <v>97674</v>
          </cell>
          <cell r="AH29">
            <v>3</v>
          </cell>
          <cell r="AI29">
            <v>97680</v>
          </cell>
          <cell r="AJ29">
            <v>6</v>
          </cell>
          <cell r="AK29">
            <v>97683</v>
          </cell>
          <cell r="AL29">
            <v>3</v>
          </cell>
          <cell r="AM29">
            <v>97699</v>
          </cell>
          <cell r="AN29">
            <v>16</v>
          </cell>
          <cell r="AO29">
            <v>97711</v>
          </cell>
          <cell r="AP29">
            <v>12</v>
          </cell>
          <cell r="AQ29">
            <v>97711</v>
          </cell>
          <cell r="AR29">
            <v>0</v>
          </cell>
          <cell r="AS29">
            <v>97747</v>
          </cell>
        </row>
        <row r="30">
          <cell r="G30" t="str">
            <v>10.11.83.200</v>
          </cell>
          <cell r="H30">
            <v>206606</v>
          </cell>
          <cell r="I30">
            <v>206645</v>
          </cell>
          <cell r="J30">
            <v>39</v>
          </cell>
          <cell r="K30">
            <v>206645</v>
          </cell>
          <cell r="L30">
            <v>0</v>
          </cell>
          <cell r="M30">
            <v>206645</v>
          </cell>
          <cell r="N30">
            <v>0</v>
          </cell>
          <cell r="O30">
            <v>206729</v>
          </cell>
          <cell r="P30">
            <v>84</v>
          </cell>
          <cell r="Q30">
            <v>206729</v>
          </cell>
          <cell r="R30">
            <v>0</v>
          </cell>
          <cell r="S30">
            <v>206729</v>
          </cell>
          <cell r="T30">
            <v>0</v>
          </cell>
          <cell r="U30">
            <v>206729</v>
          </cell>
          <cell r="V30">
            <v>0</v>
          </cell>
          <cell r="W30">
            <v>206769</v>
          </cell>
          <cell r="X30">
            <v>40</v>
          </cell>
          <cell r="Y30">
            <v>206818</v>
          </cell>
          <cell r="Z30">
            <v>49</v>
          </cell>
          <cell r="AA30">
            <v>206818</v>
          </cell>
          <cell r="AB30">
            <v>0</v>
          </cell>
          <cell r="AC30">
            <v>206853</v>
          </cell>
          <cell r="AD30">
            <v>35</v>
          </cell>
          <cell r="AE30">
            <v>206853</v>
          </cell>
          <cell r="AF30">
            <v>0</v>
          </cell>
          <cell r="AG30">
            <v>206882</v>
          </cell>
          <cell r="AH30">
            <v>29</v>
          </cell>
          <cell r="AI30">
            <v>206882</v>
          </cell>
          <cell r="AJ30">
            <v>0</v>
          </cell>
          <cell r="AK30">
            <v>206882</v>
          </cell>
          <cell r="AL30">
            <v>0</v>
          </cell>
          <cell r="AM30">
            <v>206985</v>
          </cell>
          <cell r="AN30">
            <v>103</v>
          </cell>
          <cell r="AO30">
            <v>207090</v>
          </cell>
          <cell r="AP30">
            <v>105</v>
          </cell>
          <cell r="AQ30">
            <v>207090</v>
          </cell>
          <cell r="AR30">
            <v>0</v>
          </cell>
          <cell r="AS30">
            <v>207090</v>
          </cell>
        </row>
        <row r="31">
          <cell r="G31" t="str">
            <v>10.10.146.201</v>
          </cell>
          <cell r="H31">
            <v>199742</v>
          </cell>
          <cell r="I31">
            <v>199952</v>
          </cell>
          <cell r="J31">
            <v>210</v>
          </cell>
          <cell r="K31">
            <v>199952</v>
          </cell>
          <cell r="L31">
            <v>0</v>
          </cell>
          <cell r="M31">
            <v>200011</v>
          </cell>
          <cell r="N31">
            <v>59</v>
          </cell>
          <cell r="O31">
            <v>200045</v>
          </cell>
          <cell r="P31">
            <v>34</v>
          </cell>
          <cell r="Q31">
            <v>200083</v>
          </cell>
          <cell r="R31">
            <v>38</v>
          </cell>
          <cell r="S31">
            <v>200103</v>
          </cell>
          <cell r="T31">
            <v>20</v>
          </cell>
          <cell r="U31">
            <v>200137</v>
          </cell>
          <cell r="V31">
            <v>34</v>
          </cell>
          <cell r="W31">
            <v>200234</v>
          </cell>
          <cell r="X31">
            <v>97</v>
          </cell>
          <cell r="Y31">
            <v>200305</v>
          </cell>
          <cell r="Z31">
            <v>71</v>
          </cell>
          <cell r="AA31">
            <v>200357</v>
          </cell>
          <cell r="AB31">
            <v>52</v>
          </cell>
          <cell r="AC31">
            <v>200385</v>
          </cell>
          <cell r="AD31">
            <v>28</v>
          </cell>
          <cell r="AE31">
            <v>200456</v>
          </cell>
          <cell r="AF31">
            <v>71</v>
          </cell>
          <cell r="AG31">
            <v>200517</v>
          </cell>
          <cell r="AH31">
            <v>61</v>
          </cell>
          <cell r="AI31">
            <v>200557</v>
          </cell>
          <cell r="AJ31">
            <v>40</v>
          </cell>
          <cell r="AK31">
            <v>200594</v>
          </cell>
          <cell r="AL31">
            <v>37</v>
          </cell>
          <cell r="AM31">
            <v>200643</v>
          </cell>
          <cell r="AN31">
            <v>49</v>
          </cell>
          <cell r="AO31">
            <v>200753</v>
          </cell>
          <cell r="AP31">
            <v>110</v>
          </cell>
          <cell r="AQ31">
            <v>200753</v>
          </cell>
          <cell r="AR31">
            <v>0</v>
          </cell>
          <cell r="AS31">
            <v>200797</v>
          </cell>
        </row>
        <row r="32">
          <cell r="G32" t="str">
            <v>10.10.64.200</v>
          </cell>
          <cell r="H32">
            <v>335447</v>
          </cell>
          <cell r="I32">
            <v>335447</v>
          </cell>
          <cell r="J32">
            <v>0</v>
          </cell>
          <cell r="K32">
            <v>335447</v>
          </cell>
          <cell r="L32">
            <v>0</v>
          </cell>
          <cell r="M32">
            <v>335486</v>
          </cell>
          <cell r="N32">
            <v>39</v>
          </cell>
          <cell r="O32">
            <v>335522</v>
          </cell>
          <cell r="P32">
            <v>36</v>
          </cell>
          <cell r="Q32">
            <v>335532</v>
          </cell>
          <cell r="R32">
            <v>10</v>
          </cell>
          <cell r="S32">
            <v>335542</v>
          </cell>
          <cell r="T32">
            <v>10</v>
          </cell>
          <cell r="U32">
            <v>335588</v>
          </cell>
          <cell r="V32">
            <v>46</v>
          </cell>
          <cell r="W32">
            <v>335647</v>
          </cell>
          <cell r="X32">
            <v>59</v>
          </cell>
          <cell r="Y32">
            <v>335665</v>
          </cell>
          <cell r="Z32">
            <v>18</v>
          </cell>
          <cell r="AA32">
            <v>335691</v>
          </cell>
          <cell r="AB32">
            <v>26</v>
          </cell>
          <cell r="AC32">
            <v>335722</v>
          </cell>
          <cell r="AD32">
            <v>31</v>
          </cell>
          <cell r="AE32">
            <v>335745</v>
          </cell>
          <cell r="AF32">
            <v>23</v>
          </cell>
          <cell r="AG32">
            <v>335758</v>
          </cell>
          <cell r="AH32">
            <v>13</v>
          </cell>
          <cell r="AI32">
            <v>335804</v>
          </cell>
          <cell r="AJ32">
            <v>46</v>
          </cell>
          <cell r="AK32">
            <v>335850</v>
          </cell>
          <cell r="AL32">
            <v>46</v>
          </cell>
          <cell r="AM32">
            <v>335878</v>
          </cell>
          <cell r="AN32">
            <v>28</v>
          </cell>
          <cell r="AO32">
            <v>335929</v>
          </cell>
          <cell r="AP32">
            <v>51</v>
          </cell>
          <cell r="AQ32">
            <v>335929</v>
          </cell>
          <cell r="AR32">
            <v>0</v>
          </cell>
          <cell r="AS32">
            <v>335975</v>
          </cell>
        </row>
        <row r="33">
          <cell r="G33" t="str">
            <v>10.10.65.201</v>
          </cell>
          <cell r="H33">
            <v>166062</v>
          </cell>
          <cell r="I33">
            <v>166086</v>
          </cell>
          <cell r="J33">
            <v>24</v>
          </cell>
          <cell r="K33">
            <v>166086</v>
          </cell>
          <cell r="L33">
            <v>0</v>
          </cell>
          <cell r="M33">
            <v>166136</v>
          </cell>
          <cell r="N33">
            <v>50</v>
          </cell>
          <cell r="O33">
            <v>166151</v>
          </cell>
          <cell r="P33">
            <v>15</v>
          </cell>
          <cell r="Q33">
            <v>166169</v>
          </cell>
          <cell r="R33">
            <v>18</v>
          </cell>
          <cell r="S33">
            <v>166189</v>
          </cell>
          <cell r="T33">
            <v>20</v>
          </cell>
          <cell r="U33">
            <v>166198</v>
          </cell>
          <cell r="V33">
            <v>9</v>
          </cell>
          <cell r="W33">
            <v>166221</v>
          </cell>
          <cell r="X33">
            <v>23</v>
          </cell>
          <cell r="Y33">
            <v>166234</v>
          </cell>
          <cell r="Z33">
            <v>13</v>
          </cell>
          <cell r="AA33">
            <v>166249</v>
          </cell>
          <cell r="AB33">
            <v>15</v>
          </cell>
          <cell r="AC33">
            <v>166272</v>
          </cell>
          <cell r="AD33">
            <v>23</v>
          </cell>
          <cell r="AE33">
            <v>166302</v>
          </cell>
          <cell r="AF33">
            <v>30</v>
          </cell>
          <cell r="AG33">
            <v>166319</v>
          </cell>
          <cell r="AH33">
            <v>17</v>
          </cell>
          <cell r="AI33">
            <v>166349</v>
          </cell>
          <cell r="AJ33">
            <v>30</v>
          </cell>
          <cell r="AK33">
            <v>166372</v>
          </cell>
          <cell r="AL33">
            <v>23</v>
          </cell>
          <cell r="AM33">
            <v>166421</v>
          </cell>
          <cell r="AN33">
            <v>49</v>
          </cell>
          <cell r="AO33">
            <v>166574</v>
          </cell>
          <cell r="AP33">
            <v>153</v>
          </cell>
          <cell r="AQ33">
            <v>166574</v>
          </cell>
          <cell r="AR33">
            <v>0</v>
          </cell>
          <cell r="AS33">
            <v>166638</v>
          </cell>
        </row>
        <row r="34">
          <cell r="G34" t="str">
            <v>10.10.222.200</v>
          </cell>
          <cell r="H34">
            <v>181953</v>
          </cell>
          <cell r="I34">
            <v>182038</v>
          </cell>
          <cell r="J34">
            <v>85</v>
          </cell>
          <cell r="K34">
            <v>182038</v>
          </cell>
          <cell r="L34">
            <v>0</v>
          </cell>
          <cell r="M34">
            <v>182057</v>
          </cell>
          <cell r="N34">
            <v>19</v>
          </cell>
          <cell r="O34">
            <v>182095</v>
          </cell>
          <cell r="P34">
            <v>38</v>
          </cell>
          <cell r="Q34">
            <v>182165</v>
          </cell>
          <cell r="R34">
            <v>70</v>
          </cell>
          <cell r="S34">
            <v>182180</v>
          </cell>
          <cell r="T34">
            <v>15</v>
          </cell>
          <cell r="U34">
            <v>182207</v>
          </cell>
          <cell r="V34">
            <v>27</v>
          </cell>
          <cell r="W34">
            <v>182239</v>
          </cell>
          <cell r="X34">
            <v>32</v>
          </cell>
          <cell r="Y34">
            <v>182481</v>
          </cell>
          <cell r="Z34">
            <v>242</v>
          </cell>
          <cell r="AA34">
            <v>182504</v>
          </cell>
          <cell r="AB34">
            <v>23</v>
          </cell>
          <cell r="AC34">
            <v>182516</v>
          </cell>
          <cell r="AD34">
            <v>12</v>
          </cell>
          <cell r="AE34">
            <v>182566</v>
          </cell>
          <cell r="AF34">
            <v>50</v>
          </cell>
          <cell r="AG34">
            <v>182622</v>
          </cell>
          <cell r="AH34">
            <v>56</v>
          </cell>
          <cell r="AI34">
            <v>182646</v>
          </cell>
          <cell r="AJ34">
            <v>24</v>
          </cell>
          <cell r="AK34">
            <v>182660</v>
          </cell>
          <cell r="AL34">
            <v>14</v>
          </cell>
          <cell r="AM34">
            <v>182737</v>
          </cell>
          <cell r="AN34">
            <v>77</v>
          </cell>
          <cell r="AO34">
            <v>182857</v>
          </cell>
          <cell r="AP34">
            <v>120</v>
          </cell>
          <cell r="AQ34">
            <v>182857</v>
          </cell>
          <cell r="AR34">
            <v>0</v>
          </cell>
          <cell r="AS34">
            <v>183008</v>
          </cell>
        </row>
        <row r="35">
          <cell r="G35" t="str">
            <v>10.0.20.230</v>
          </cell>
          <cell r="H35">
            <v>118201</v>
          </cell>
          <cell r="I35">
            <v>118346</v>
          </cell>
          <cell r="J35">
            <v>145</v>
          </cell>
          <cell r="K35">
            <v>118346</v>
          </cell>
          <cell r="L35">
            <v>0</v>
          </cell>
          <cell r="M35">
            <v>118443</v>
          </cell>
          <cell r="N35">
            <v>97</v>
          </cell>
          <cell r="O35">
            <v>118472</v>
          </cell>
          <cell r="P35">
            <v>29</v>
          </cell>
          <cell r="Q35">
            <v>118547</v>
          </cell>
          <cell r="R35">
            <v>75</v>
          </cell>
          <cell r="S35">
            <v>118646</v>
          </cell>
          <cell r="T35">
            <v>99</v>
          </cell>
          <cell r="U35">
            <v>118736</v>
          </cell>
          <cell r="V35">
            <v>90</v>
          </cell>
          <cell r="W35">
            <v>118801</v>
          </cell>
          <cell r="X35">
            <v>65</v>
          </cell>
          <cell r="Y35">
            <v>118874</v>
          </cell>
          <cell r="Z35">
            <v>73</v>
          </cell>
          <cell r="AA35">
            <v>118929</v>
          </cell>
          <cell r="AB35">
            <v>55</v>
          </cell>
          <cell r="AC35">
            <v>119047</v>
          </cell>
          <cell r="AD35">
            <v>118</v>
          </cell>
          <cell r="AE35">
            <v>119097</v>
          </cell>
          <cell r="AF35">
            <v>50</v>
          </cell>
          <cell r="AG35">
            <v>119140</v>
          </cell>
          <cell r="AH35">
            <v>43</v>
          </cell>
          <cell r="AI35">
            <v>119206</v>
          </cell>
          <cell r="AJ35">
            <v>66</v>
          </cell>
          <cell r="AK35">
            <v>119256</v>
          </cell>
          <cell r="AL35">
            <v>50</v>
          </cell>
          <cell r="AM35">
            <v>119352</v>
          </cell>
          <cell r="AN35">
            <v>96</v>
          </cell>
          <cell r="AO35">
            <v>119453</v>
          </cell>
          <cell r="AP35">
            <v>101</v>
          </cell>
          <cell r="AQ35">
            <v>119453</v>
          </cell>
          <cell r="AR35">
            <v>0</v>
          </cell>
          <cell r="AS35">
            <v>119501</v>
          </cell>
        </row>
        <row r="36">
          <cell r="G36" t="str">
            <v>10.10.72.200</v>
          </cell>
          <cell r="H36">
            <v>162839</v>
          </cell>
          <cell r="I36">
            <v>162879</v>
          </cell>
          <cell r="J36">
            <v>40</v>
          </cell>
          <cell r="K36">
            <v>162879</v>
          </cell>
          <cell r="L36">
            <v>0</v>
          </cell>
          <cell r="M36">
            <v>162888</v>
          </cell>
          <cell r="N36">
            <v>9</v>
          </cell>
          <cell r="O36">
            <v>162928</v>
          </cell>
          <cell r="P36">
            <v>40</v>
          </cell>
          <cell r="Q36">
            <v>162955</v>
          </cell>
          <cell r="R36">
            <v>27</v>
          </cell>
          <cell r="S36">
            <v>162966</v>
          </cell>
          <cell r="T36">
            <v>11</v>
          </cell>
          <cell r="U36">
            <v>163042</v>
          </cell>
          <cell r="V36">
            <v>76</v>
          </cell>
          <cell r="W36">
            <v>163102</v>
          </cell>
          <cell r="X36">
            <v>60</v>
          </cell>
          <cell r="Y36">
            <v>163155</v>
          </cell>
          <cell r="Z36">
            <v>53</v>
          </cell>
          <cell r="AA36">
            <v>163217</v>
          </cell>
          <cell r="AB36">
            <v>62</v>
          </cell>
          <cell r="AC36">
            <v>163249</v>
          </cell>
          <cell r="AD36">
            <v>32</v>
          </cell>
          <cell r="AE36">
            <v>163269</v>
          </cell>
          <cell r="AF36">
            <v>20</v>
          </cell>
          <cell r="AG36">
            <v>163279</v>
          </cell>
          <cell r="AH36">
            <v>10</v>
          </cell>
          <cell r="AI36">
            <v>163308</v>
          </cell>
          <cell r="AJ36">
            <v>29</v>
          </cell>
          <cell r="AK36">
            <v>163329</v>
          </cell>
          <cell r="AL36">
            <v>21</v>
          </cell>
          <cell r="AM36">
            <v>163345</v>
          </cell>
          <cell r="AN36">
            <v>16</v>
          </cell>
          <cell r="AO36">
            <v>163425</v>
          </cell>
          <cell r="AP36">
            <v>80</v>
          </cell>
          <cell r="AQ36">
            <v>163425</v>
          </cell>
          <cell r="AR36">
            <v>0</v>
          </cell>
          <cell r="AS36">
            <v>163472</v>
          </cell>
        </row>
        <row r="37">
          <cell r="G37" t="str">
            <v>10.10.14.200</v>
          </cell>
          <cell r="H37">
            <v>328378</v>
          </cell>
          <cell r="I37">
            <v>328600</v>
          </cell>
          <cell r="J37">
            <v>222</v>
          </cell>
          <cell r="K37">
            <v>328600</v>
          </cell>
          <cell r="L37">
            <v>0</v>
          </cell>
          <cell r="M37">
            <v>328693</v>
          </cell>
          <cell r="N37">
            <v>93</v>
          </cell>
          <cell r="O37">
            <v>328779</v>
          </cell>
          <cell r="P37">
            <v>86</v>
          </cell>
          <cell r="Q37">
            <v>328897</v>
          </cell>
          <cell r="R37">
            <v>118</v>
          </cell>
          <cell r="S37">
            <v>328956</v>
          </cell>
          <cell r="T37">
            <v>59</v>
          </cell>
          <cell r="U37">
            <v>329080</v>
          </cell>
          <cell r="V37">
            <v>124</v>
          </cell>
          <cell r="W37">
            <v>329207</v>
          </cell>
          <cell r="X37">
            <v>127</v>
          </cell>
          <cell r="Y37">
            <v>329338</v>
          </cell>
          <cell r="Z37">
            <v>131</v>
          </cell>
          <cell r="AA37">
            <v>329461</v>
          </cell>
          <cell r="AB37">
            <v>123</v>
          </cell>
          <cell r="AC37">
            <v>329600</v>
          </cell>
          <cell r="AD37">
            <v>139</v>
          </cell>
          <cell r="AE37">
            <v>329752</v>
          </cell>
          <cell r="AF37">
            <v>152</v>
          </cell>
          <cell r="AG37">
            <v>329898</v>
          </cell>
          <cell r="AH37">
            <v>146</v>
          </cell>
          <cell r="AI37">
            <v>329960</v>
          </cell>
          <cell r="AJ37">
            <v>62</v>
          </cell>
          <cell r="AK37">
            <v>330058</v>
          </cell>
          <cell r="AL37">
            <v>98</v>
          </cell>
          <cell r="AM37">
            <v>330173</v>
          </cell>
          <cell r="AN37">
            <v>115</v>
          </cell>
          <cell r="AO37">
            <v>330444</v>
          </cell>
          <cell r="AP37">
            <v>271</v>
          </cell>
          <cell r="AQ37">
            <v>330444</v>
          </cell>
          <cell r="AR37">
            <v>0</v>
          </cell>
          <cell r="AS37">
            <v>330575</v>
          </cell>
        </row>
        <row r="38">
          <cell r="G38" t="str">
            <v>10.11.32.201</v>
          </cell>
          <cell r="H38">
            <v>137199</v>
          </cell>
          <cell r="I38">
            <v>137283</v>
          </cell>
          <cell r="J38">
            <v>84</v>
          </cell>
          <cell r="K38">
            <v>137283</v>
          </cell>
          <cell r="L38">
            <v>0</v>
          </cell>
          <cell r="M38">
            <v>137318</v>
          </cell>
          <cell r="N38">
            <v>35</v>
          </cell>
          <cell r="O38">
            <v>137338</v>
          </cell>
          <cell r="P38">
            <v>20</v>
          </cell>
          <cell r="Q38">
            <v>137390</v>
          </cell>
          <cell r="R38">
            <v>52</v>
          </cell>
          <cell r="S38">
            <v>137474</v>
          </cell>
          <cell r="T38">
            <v>84</v>
          </cell>
          <cell r="U38">
            <v>137544</v>
          </cell>
          <cell r="V38">
            <v>70</v>
          </cell>
          <cell r="W38">
            <v>137655</v>
          </cell>
          <cell r="X38">
            <v>111</v>
          </cell>
          <cell r="Y38">
            <v>137676</v>
          </cell>
          <cell r="Z38">
            <v>21</v>
          </cell>
          <cell r="AA38">
            <v>137727</v>
          </cell>
          <cell r="AB38">
            <v>51</v>
          </cell>
          <cell r="AC38">
            <v>137784</v>
          </cell>
          <cell r="AD38">
            <v>57</v>
          </cell>
          <cell r="AE38">
            <v>137829</v>
          </cell>
          <cell r="AF38">
            <v>45</v>
          </cell>
          <cell r="AG38">
            <v>137946</v>
          </cell>
          <cell r="AH38">
            <v>117</v>
          </cell>
          <cell r="AI38">
            <v>137992</v>
          </cell>
          <cell r="AJ38">
            <v>46</v>
          </cell>
          <cell r="AK38">
            <v>138005</v>
          </cell>
          <cell r="AL38">
            <v>13</v>
          </cell>
          <cell r="AM38">
            <v>138036</v>
          </cell>
          <cell r="AN38">
            <v>31</v>
          </cell>
          <cell r="AO38">
            <v>138170</v>
          </cell>
          <cell r="AP38">
            <v>134</v>
          </cell>
          <cell r="AQ38">
            <v>138170</v>
          </cell>
          <cell r="AR38">
            <v>0</v>
          </cell>
          <cell r="AS38">
            <v>138190</v>
          </cell>
        </row>
        <row r="39">
          <cell r="G39" t="str">
            <v>10.10.81.208</v>
          </cell>
          <cell r="H39">
            <v>329718</v>
          </cell>
          <cell r="I39">
            <v>330105</v>
          </cell>
          <cell r="J39">
            <v>387</v>
          </cell>
          <cell r="K39">
            <v>330105</v>
          </cell>
          <cell r="L39">
            <v>0</v>
          </cell>
          <cell r="M39">
            <v>330345</v>
          </cell>
          <cell r="N39">
            <v>240</v>
          </cell>
          <cell r="O39">
            <v>330538</v>
          </cell>
          <cell r="P39">
            <v>193</v>
          </cell>
          <cell r="Q39">
            <v>330777</v>
          </cell>
          <cell r="R39">
            <v>239</v>
          </cell>
          <cell r="S39">
            <v>330968</v>
          </cell>
          <cell r="T39">
            <v>191</v>
          </cell>
          <cell r="U39">
            <v>331185</v>
          </cell>
          <cell r="V39">
            <v>217</v>
          </cell>
          <cell r="W39">
            <v>331329</v>
          </cell>
          <cell r="X39">
            <v>144</v>
          </cell>
          <cell r="Y39">
            <v>331467</v>
          </cell>
          <cell r="Z39">
            <v>138</v>
          </cell>
          <cell r="AA39">
            <v>331691</v>
          </cell>
          <cell r="AB39">
            <v>224</v>
          </cell>
          <cell r="AC39">
            <v>331990</v>
          </cell>
          <cell r="AD39">
            <v>299</v>
          </cell>
          <cell r="AE39">
            <v>332306</v>
          </cell>
          <cell r="AF39">
            <v>316</v>
          </cell>
          <cell r="AG39">
            <v>332447</v>
          </cell>
          <cell r="AH39">
            <v>141</v>
          </cell>
          <cell r="AI39">
            <v>332718</v>
          </cell>
          <cell r="AJ39">
            <v>271</v>
          </cell>
          <cell r="AK39">
            <v>332988</v>
          </cell>
          <cell r="AL39">
            <v>270</v>
          </cell>
          <cell r="AM39">
            <v>333128</v>
          </cell>
          <cell r="AN39">
            <v>140</v>
          </cell>
          <cell r="AO39">
            <v>333460</v>
          </cell>
          <cell r="AP39">
            <v>332</v>
          </cell>
          <cell r="AQ39">
            <v>333460</v>
          </cell>
          <cell r="AR39">
            <v>0</v>
          </cell>
          <cell r="AS39">
            <v>333635</v>
          </cell>
        </row>
        <row r="40">
          <cell r="H40">
            <v>126789</v>
          </cell>
          <cell r="I40">
            <v>126789</v>
          </cell>
          <cell r="J40">
            <v>0</v>
          </cell>
          <cell r="K40">
            <v>126789</v>
          </cell>
          <cell r="L40">
            <v>0</v>
          </cell>
          <cell r="M40">
            <v>126789</v>
          </cell>
          <cell r="N40">
            <v>0</v>
          </cell>
          <cell r="O40">
            <v>126789</v>
          </cell>
          <cell r="P40">
            <v>0</v>
          </cell>
          <cell r="Q40">
            <v>126789</v>
          </cell>
          <cell r="R40">
            <v>0</v>
          </cell>
          <cell r="S40">
            <v>126789</v>
          </cell>
          <cell r="T40">
            <v>0</v>
          </cell>
          <cell r="U40">
            <v>126789</v>
          </cell>
          <cell r="V40">
            <v>0</v>
          </cell>
          <cell r="W40">
            <v>126789</v>
          </cell>
          <cell r="X40">
            <v>0</v>
          </cell>
          <cell r="Y40">
            <v>126789</v>
          </cell>
          <cell r="Z40">
            <v>0</v>
          </cell>
          <cell r="AA40">
            <v>126789</v>
          </cell>
          <cell r="AB40">
            <v>0</v>
          </cell>
          <cell r="AC40">
            <v>126789</v>
          </cell>
          <cell r="AD40">
            <v>0</v>
          </cell>
          <cell r="AE40">
            <v>126789</v>
          </cell>
          <cell r="AF40">
            <v>0</v>
          </cell>
          <cell r="AG40">
            <v>126789</v>
          </cell>
          <cell r="AH40">
            <v>0</v>
          </cell>
          <cell r="AI40">
            <v>126789</v>
          </cell>
          <cell r="AJ40">
            <v>0</v>
          </cell>
          <cell r="AK40">
            <v>126789</v>
          </cell>
          <cell r="AL40">
            <v>0</v>
          </cell>
          <cell r="AM40">
            <v>126789</v>
          </cell>
          <cell r="AN40">
            <v>0</v>
          </cell>
          <cell r="AO40">
            <v>126789</v>
          </cell>
          <cell r="AP40">
            <v>0</v>
          </cell>
          <cell r="AQ40">
            <v>126789</v>
          </cell>
          <cell r="AR40">
            <v>0</v>
          </cell>
          <cell r="AS40">
            <v>126789</v>
          </cell>
        </row>
        <row r="41">
          <cell r="G41" t="str">
            <v>10.10.206.204</v>
          </cell>
          <cell r="H41">
            <v>405746</v>
          </cell>
          <cell r="I41">
            <v>406084</v>
          </cell>
          <cell r="J41">
            <v>338</v>
          </cell>
          <cell r="K41">
            <v>406084</v>
          </cell>
          <cell r="L41">
            <v>0</v>
          </cell>
          <cell r="M41">
            <v>406194</v>
          </cell>
          <cell r="N41">
            <v>110</v>
          </cell>
          <cell r="O41">
            <v>406391</v>
          </cell>
          <cell r="P41">
            <v>197</v>
          </cell>
          <cell r="Q41">
            <v>406502</v>
          </cell>
          <cell r="R41">
            <v>111</v>
          </cell>
          <cell r="S41">
            <v>406606</v>
          </cell>
          <cell r="T41">
            <v>104</v>
          </cell>
          <cell r="U41">
            <v>406735</v>
          </cell>
          <cell r="V41">
            <v>129</v>
          </cell>
          <cell r="W41">
            <v>406853</v>
          </cell>
          <cell r="X41">
            <v>118</v>
          </cell>
          <cell r="Y41">
            <v>407049</v>
          </cell>
          <cell r="Z41">
            <v>196</v>
          </cell>
          <cell r="AA41">
            <v>407109</v>
          </cell>
          <cell r="AB41">
            <v>60</v>
          </cell>
          <cell r="AC41">
            <v>407198</v>
          </cell>
          <cell r="AD41">
            <v>89</v>
          </cell>
          <cell r="AE41">
            <v>407281</v>
          </cell>
          <cell r="AF41">
            <v>83</v>
          </cell>
          <cell r="AG41">
            <v>407392</v>
          </cell>
          <cell r="AH41">
            <v>111</v>
          </cell>
          <cell r="AI41">
            <v>407516</v>
          </cell>
          <cell r="AJ41">
            <v>124</v>
          </cell>
          <cell r="AK41">
            <v>407650</v>
          </cell>
          <cell r="AL41">
            <v>134</v>
          </cell>
          <cell r="AM41">
            <v>407838</v>
          </cell>
          <cell r="AN41">
            <v>188</v>
          </cell>
          <cell r="AO41">
            <v>408208</v>
          </cell>
          <cell r="AP41">
            <v>370</v>
          </cell>
          <cell r="AQ41">
            <v>408208</v>
          </cell>
          <cell r="AR41">
            <v>0</v>
          </cell>
          <cell r="AS41">
            <v>408337</v>
          </cell>
        </row>
        <row r="42">
          <cell r="G42" t="str">
            <v>10.11.36.200</v>
          </cell>
          <cell r="H42">
            <v>299230</v>
          </cell>
          <cell r="I42">
            <v>299381</v>
          </cell>
          <cell r="J42">
            <v>151</v>
          </cell>
          <cell r="K42">
            <v>299381</v>
          </cell>
          <cell r="L42">
            <v>0</v>
          </cell>
          <cell r="M42">
            <v>299408</v>
          </cell>
          <cell r="N42">
            <v>27</v>
          </cell>
          <cell r="O42">
            <v>299440</v>
          </cell>
          <cell r="P42">
            <v>32</v>
          </cell>
          <cell r="Q42">
            <v>299525</v>
          </cell>
          <cell r="R42">
            <v>85</v>
          </cell>
          <cell r="S42">
            <v>299598</v>
          </cell>
          <cell r="T42">
            <v>73</v>
          </cell>
          <cell r="U42">
            <v>299657</v>
          </cell>
          <cell r="V42">
            <v>59</v>
          </cell>
          <cell r="W42">
            <v>299721</v>
          </cell>
          <cell r="X42">
            <v>64</v>
          </cell>
          <cell r="Y42">
            <v>299776</v>
          </cell>
          <cell r="Z42">
            <v>55</v>
          </cell>
          <cell r="AA42">
            <v>299869</v>
          </cell>
          <cell r="AB42">
            <v>93</v>
          </cell>
          <cell r="AC42">
            <v>300062</v>
          </cell>
          <cell r="AD42">
            <v>193</v>
          </cell>
          <cell r="AE42">
            <v>300165</v>
          </cell>
          <cell r="AF42">
            <v>103</v>
          </cell>
          <cell r="AG42">
            <v>300272</v>
          </cell>
          <cell r="AH42">
            <v>107</v>
          </cell>
          <cell r="AI42">
            <v>300344</v>
          </cell>
          <cell r="AJ42">
            <v>72</v>
          </cell>
          <cell r="AK42">
            <v>300398</v>
          </cell>
          <cell r="AL42">
            <v>54</v>
          </cell>
          <cell r="AM42">
            <v>300520</v>
          </cell>
          <cell r="AN42">
            <v>122</v>
          </cell>
          <cell r="AO42">
            <v>300805</v>
          </cell>
          <cell r="AP42">
            <v>285</v>
          </cell>
          <cell r="AQ42">
            <v>300805</v>
          </cell>
          <cell r="AR42">
            <v>0</v>
          </cell>
          <cell r="AS42">
            <v>300917</v>
          </cell>
        </row>
        <row r="43">
          <cell r="G43" t="str">
            <v>10.10.129.203</v>
          </cell>
          <cell r="H43">
            <v>164270</v>
          </cell>
          <cell r="I43">
            <v>164309</v>
          </cell>
          <cell r="J43">
            <v>39</v>
          </cell>
          <cell r="K43">
            <v>164309</v>
          </cell>
          <cell r="L43">
            <v>0</v>
          </cell>
          <cell r="M43">
            <v>164414</v>
          </cell>
          <cell r="N43">
            <v>105</v>
          </cell>
          <cell r="O43">
            <v>164448</v>
          </cell>
          <cell r="P43">
            <v>34</v>
          </cell>
          <cell r="Q43">
            <v>164459</v>
          </cell>
          <cell r="R43">
            <v>11</v>
          </cell>
          <cell r="S43">
            <v>164459</v>
          </cell>
          <cell r="T43">
            <v>0</v>
          </cell>
          <cell r="U43">
            <v>164459</v>
          </cell>
          <cell r="V43">
            <v>0</v>
          </cell>
          <cell r="W43">
            <v>164459</v>
          </cell>
          <cell r="X43">
            <v>0</v>
          </cell>
          <cell r="Y43">
            <v>164535</v>
          </cell>
          <cell r="Z43">
            <v>76</v>
          </cell>
          <cell r="AA43">
            <v>164559</v>
          </cell>
          <cell r="AB43">
            <v>24</v>
          </cell>
          <cell r="AC43">
            <v>164612</v>
          </cell>
          <cell r="AD43">
            <v>53</v>
          </cell>
          <cell r="AE43">
            <v>164628</v>
          </cell>
          <cell r="AF43">
            <v>16</v>
          </cell>
          <cell r="AG43">
            <v>164636</v>
          </cell>
          <cell r="AH43">
            <v>8</v>
          </cell>
          <cell r="AI43">
            <v>164643</v>
          </cell>
          <cell r="AJ43">
            <v>7</v>
          </cell>
          <cell r="AK43">
            <v>164667</v>
          </cell>
          <cell r="AL43">
            <v>24</v>
          </cell>
          <cell r="AM43">
            <v>164741</v>
          </cell>
          <cell r="AN43">
            <v>74</v>
          </cell>
          <cell r="AO43">
            <v>164829</v>
          </cell>
          <cell r="AP43">
            <v>88</v>
          </cell>
          <cell r="AQ43">
            <v>164829</v>
          </cell>
          <cell r="AR43">
            <v>0</v>
          </cell>
          <cell r="AS43">
            <v>164886</v>
          </cell>
        </row>
        <row r="44">
          <cell r="G44" t="str">
            <v>10.14.8.200</v>
          </cell>
          <cell r="H44">
            <v>201451</v>
          </cell>
          <cell r="I44">
            <v>201506</v>
          </cell>
          <cell r="J44">
            <v>55</v>
          </cell>
          <cell r="K44">
            <v>201506</v>
          </cell>
          <cell r="L44">
            <v>0</v>
          </cell>
          <cell r="M44">
            <v>201584</v>
          </cell>
          <cell r="N44">
            <v>78</v>
          </cell>
          <cell r="O44">
            <v>201670</v>
          </cell>
          <cell r="P44">
            <v>86</v>
          </cell>
          <cell r="Q44">
            <v>201730</v>
          </cell>
          <cell r="R44">
            <v>60</v>
          </cell>
          <cell r="S44">
            <v>201768</v>
          </cell>
          <cell r="T44">
            <v>38</v>
          </cell>
          <cell r="U44">
            <v>201790</v>
          </cell>
          <cell r="V44">
            <v>22</v>
          </cell>
          <cell r="W44">
            <v>201856</v>
          </cell>
          <cell r="X44">
            <v>66</v>
          </cell>
          <cell r="Y44">
            <v>201914</v>
          </cell>
          <cell r="Z44">
            <v>58</v>
          </cell>
          <cell r="AA44">
            <v>201925</v>
          </cell>
          <cell r="AB44">
            <v>11</v>
          </cell>
          <cell r="AC44">
            <v>201960</v>
          </cell>
          <cell r="AD44">
            <v>35</v>
          </cell>
          <cell r="AE44">
            <v>202000</v>
          </cell>
          <cell r="AF44">
            <v>40</v>
          </cell>
          <cell r="AG44">
            <v>202057</v>
          </cell>
          <cell r="AH44">
            <v>57</v>
          </cell>
          <cell r="AI44">
            <v>202112</v>
          </cell>
          <cell r="AJ44">
            <v>55</v>
          </cell>
          <cell r="AK44">
            <v>202212</v>
          </cell>
          <cell r="AL44">
            <v>100</v>
          </cell>
          <cell r="AM44">
            <v>202321</v>
          </cell>
          <cell r="AN44">
            <v>109</v>
          </cell>
          <cell r="AO44">
            <v>202440</v>
          </cell>
          <cell r="AP44">
            <v>119</v>
          </cell>
          <cell r="AQ44">
            <v>202440</v>
          </cell>
          <cell r="AR44">
            <v>0</v>
          </cell>
          <cell r="AS44">
            <v>202496</v>
          </cell>
        </row>
        <row r="45">
          <cell r="G45" t="str">
            <v>10.10.120.200</v>
          </cell>
          <cell r="H45">
            <v>108438</v>
          </cell>
          <cell r="I45">
            <v>108599</v>
          </cell>
          <cell r="J45">
            <v>161</v>
          </cell>
          <cell r="K45">
            <v>108599</v>
          </cell>
          <cell r="L45">
            <v>0</v>
          </cell>
          <cell r="M45">
            <v>108692</v>
          </cell>
          <cell r="N45">
            <v>93</v>
          </cell>
          <cell r="O45">
            <v>108755</v>
          </cell>
          <cell r="P45">
            <v>63</v>
          </cell>
          <cell r="Q45">
            <v>108793</v>
          </cell>
          <cell r="R45">
            <v>38</v>
          </cell>
          <cell r="S45">
            <v>108875</v>
          </cell>
          <cell r="T45">
            <v>82</v>
          </cell>
          <cell r="U45">
            <v>108901</v>
          </cell>
          <cell r="V45">
            <v>26</v>
          </cell>
          <cell r="W45">
            <v>109104</v>
          </cell>
          <cell r="X45">
            <v>203</v>
          </cell>
          <cell r="Y45">
            <v>109170</v>
          </cell>
          <cell r="Z45">
            <v>66</v>
          </cell>
          <cell r="AA45">
            <v>109202</v>
          </cell>
          <cell r="AB45">
            <v>32</v>
          </cell>
          <cell r="AC45">
            <v>109245</v>
          </cell>
          <cell r="AD45">
            <v>43</v>
          </cell>
          <cell r="AE45">
            <v>109320</v>
          </cell>
          <cell r="AF45">
            <v>75</v>
          </cell>
          <cell r="AG45">
            <v>109378</v>
          </cell>
          <cell r="AH45">
            <v>58</v>
          </cell>
          <cell r="AI45">
            <v>109488</v>
          </cell>
          <cell r="AJ45">
            <v>110</v>
          </cell>
          <cell r="AK45">
            <v>109604</v>
          </cell>
          <cell r="AL45">
            <v>116</v>
          </cell>
          <cell r="AM45">
            <v>109716</v>
          </cell>
          <cell r="AN45">
            <v>112</v>
          </cell>
          <cell r="AO45">
            <v>109828</v>
          </cell>
          <cell r="AP45">
            <v>112</v>
          </cell>
          <cell r="AQ45">
            <v>109828</v>
          </cell>
          <cell r="AR45">
            <v>0</v>
          </cell>
          <cell r="AS45">
            <v>109906</v>
          </cell>
        </row>
        <row r="46">
          <cell r="G46" t="str">
            <v>10.10.78.201</v>
          </cell>
          <cell r="H46">
            <v>127408</v>
          </cell>
          <cell r="I46">
            <v>127501</v>
          </cell>
          <cell r="J46">
            <v>93</v>
          </cell>
          <cell r="K46">
            <v>127501</v>
          </cell>
          <cell r="L46">
            <v>0</v>
          </cell>
          <cell r="M46">
            <v>127544</v>
          </cell>
          <cell r="N46">
            <v>43</v>
          </cell>
          <cell r="O46">
            <v>127559</v>
          </cell>
          <cell r="P46">
            <v>15</v>
          </cell>
          <cell r="Q46">
            <v>127587</v>
          </cell>
          <cell r="R46">
            <v>28</v>
          </cell>
          <cell r="S46">
            <v>127603</v>
          </cell>
          <cell r="T46">
            <v>16</v>
          </cell>
          <cell r="U46">
            <v>127636</v>
          </cell>
          <cell r="V46">
            <v>33</v>
          </cell>
          <cell r="W46">
            <v>127674</v>
          </cell>
          <cell r="X46">
            <v>38</v>
          </cell>
          <cell r="Y46">
            <v>127716</v>
          </cell>
          <cell r="Z46">
            <v>42</v>
          </cell>
          <cell r="AA46">
            <v>127727</v>
          </cell>
          <cell r="AB46">
            <v>11</v>
          </cell>
          <cell r="AC46">
            <v>127738</v>
          </cell>
          <cell r="AD46">
            <v>11</v>
          </cell>
          <cell r="AE46">
            <v>127793</v>
          </cell>
          <cell r="AF46">
            <v>55</v>
          </cell>
          <cell r="AG46">
            <v>127824</v>
          </cell>
          <cell r="AH46">
            <v>31</v>
          </cell>
          <cell r="AI46">
            <v>127831</v>
          </cell>
          <cell r="AJ46">
            <v>7</v>
          </cell>
          <cell r="AK46">
            <v>127880</v>
          </cell>
          <cell r="AL46">
            <v>49</v>
          </cell>
          <cell r="AM46">
            <v>127923</v>
          </cell>
          <cell r="AN46">
            <v>43</v>
          </cell>
          <cell r="AO46">
            <v>127969</v>
          </cell>
          <cell r="AP46">
            <v>46</v>
          </cell>
          <cell r="AQ46">
            <v>127969</v>
          </cell>
          <cell r="AR46">
            <v>0</v>
          </cell>
          <cell r="AS46">
            <v>127987</v>
          </cell>
        </row>
        <row r="47">
          <cell r="G47" t="str">
            <v>10.11.1.201</v>
          </cell>
          <cell r="H47">
            <v>164491</v>
          </cell>
          <cell r="I47">
            <v>164531</v>
          </cell>
          <cell r="J47">
            <v>40</v>
          </cell>
          <cell r="K47">
            <v>164531</v>
          </cell>
          <cell r="L47">
            <v>0</v>
          </cell>
          <cell r="M47">
            <v>164543</v>
          </cell>
          <cell r="N47">
            <v>12</v>
          </cell>
          <cell r="O47">
            <v>164577</v>
          </cell>
          <cell r="P47">
            <v>34</v>
          </cell>
          <cell r="Q47">
            <v>164601</v>
          </cell>
          <cell r="R47">
            <v>24</v>
          </cell>
          <cell r="S47">
            <v>164636</v>
          </cell>
          <cell r="T47">
            <v>35</v>
          </cell>
          <cell r="U47">
            <v>164657</v>
          </cell>
          <cell r="V47">
            <v>21</v>
          </cell>
          <cell r="W47">
            <v>164662</v>
          </cell>
          <cell r="X47">
            <v>5</v>
          </cell>
          <cell r="Y47">
            <v>164709</v>
          </cell>
          <cell r="Z47">
            <v>47</v>
          </cell>
          <cell r="AA47">
            <v>164716</v>
          </cell>
          <cell r="AB47">
            <v>7</v>
          </cell>
          <cell r="AC47">
            <v>164733</v>
          </cell>
          <cell r="AD47">
            <v>17</v>
          </cell>
          <cell r="AE47">
            <v>164749</v>
          </cell>
          <cell r="AF47">
            <v>16</v>
          </cell>
          <cell r="AG47">
            <v>164785</v>
          </cell>
          <cell r="AH47">
            <v>36</v>
          </cell>
          <cell r="AI47">
            <v>164809</v>
          </cell>
          <cell r="AJ47">
            <v>24</v>
          </cell>
          <cell r="AK47">
            <v>164820</v>
          </cell>
          <cell r="AL47">
            <v>11</v>
          </cell>
          <cell r="AM47">
            <v>164851</v>
          </cell>
          <cell r="AN47">
            <v>31</v>
          </cell>
          <cell r="AO47">
            <v>164912</v>
          </cell>
          <cell r="AP47">
            <v>61</v>
          </cell>
          <cell r="AQ47">
            <v>164912</v>
          </cell>
          <cell r="AR47">
            <v>0</v>
          </cell>
          <cell r="AS47">
            <v>164941</v>
          </cell>
        </row>
        <row r="48">
          <cell r="G48" t="str">
            <v>10.10.8.201</v>
          </cell>
          <cell r="H48">
            <v>269503</v>
          </cell>
          <cell r="I48">
            <v>269713</v>
          </cell>
          <cell r="J48">
            <v>210</v>
          </cell>
          <cell r="K48">
            <v>269713</v>
          </cell>
          <cell r="L48">
            <v>0</v>
          </cell>
          <cell r="M48">
            <v>269809</v>
          </cell>
          <cell r="N48">
            <v>96</v>
          </cell>
          <cell r="O48">
            <v>269901</v>
          </cell>
          <cell r="P48">
            <v>92</v>
          </cell>
          <cell r="Q48">
            <v>270007</v>
          </cell>
          <cell r="R48">
            <v>106</v>
          </cell>
          <cell r="S48">
            <v>270107</v>
          </cell>
          <cell r="T48">
            <v>100</v>
          </cell>
          <cell r="U48">
            <v>270184</v>
          </cell>
          <cell r="V48">
            <v>77</v>
          </cell>
          <cell r="W48">
            <v>270280</v>
          </cell>
          <cell r="X48">
            <v>96</v>
          </cell>
          <cell r="Y48">
            <v>270373</v>
          </cell>
          <cell r="Z48">
            <v>93</v>
          </cell>
          <cell r="AA48">
            <v>270547</v>
          </cell>
          <cell r="AB48">
            <v>174</v>
          </cell>
          <cell r="AC48">
            <v>270669</v>
          </cell>
          <cell r="AD48">
            <v>122</v>
          </cell>
          <cell r="AE48">
            <v>270800</v>
          </cell>
          <cell r="AF48">
            <v>131</v>
          </cell>
          <cell r="AG48">
            <v>270878</v>
          </cell>
          <cell r="AH48">
            <v>78</v>
          </cell>
          <cell r="AI48">
            <v>271020</v>
          </cell>
          <cell r="AJ48">
            <v>142</v>
          </cell>
          <cell r="AK48">
            <v>271147</v>
          </cell>
          <cell r="AL48">
            <v>127</v>
          </cell>
          <cell r="AM48">
            <v>271237</v>
          </cell>
          <cell r="AN48">
            <v>90</v>
          </cell>
          <cell r="AO48">
            <v>271429</v>
          </cell>
          <cell r="AP48">
            <v>192</v>
          </cell>
          <cell r="AQ48">
            <v>271429</v>
          </cell>
          <cell r="AR48">
            <v>0</v>
          </cell>
          <cell r="AS48">
            <v>271436</v>
          </cell>
        </row>
        <row r="49">
          <cell r="G49" t="str">
            <v>10.10.48.200</v>
          </cell>
          <cell r="H49">
            <v>213278</v>
          </cell>
          <cell r="I49">
            <v>213440</v>
          </cell>
          <cell r="J49">
            <v>162</v>
          </cell>
          <cell r="K49">
            <v>213440</v>
          </cell>
          <cell r="L49">
            <v>0</v>
          </cell>
          <cell r="M49">
            <v>213494</v>
          </cell>
          <cell r="N49">
            <v>54</v>
          </cell>
          <cell r="O49">
            <v>213562</v>
          </cell>
          <cell r="P49">
            <v>68</v>
          </cell>
          <cell r="Q49">
            <v>213597</v>
          </cell>
          <cell r="R49">
            <v>35</v>
          </cell>
          <cell r="S49">
            <v>213653</v>
          </cell>
          <cell r="T49">
            <v>56</v>
          </cell>
          <cell r="U49">
            <v>213711</v>
          </cell>
          <cell r="V49">
            <v>58</v>
          </cell>
          <cell r="W49">
            <v>213757</v>
          </cell>
          <cell r="X49">
            <v>46</v>
          </cell>
          <cell r="Y49">
            <v>213843</v>
          </cell>
          <cell r="Z49">
            <v>86</v>
          </cell>
          <cell r="AA49">
            <v>213924</v>
          </cell>
          <cell r="AB49">
            <v>81</v>
          </cell>
          <cell r="AC49">
            <v>214037</v>
          </cell>
          <cell r="AD49">
            <v>113</v>
          </cell>
          <cell r="AE49">
            <v>214122</v>
          </cell>
          <cell r="AF49">
            <v>85</v>
          </cell>
          <cell r="AG49">
            <v>214201</v>
          </cell>
          <cell r="AH49">
            <v>79</v>
          </cell>
          <cell r="AI49">
            <v>214323</v>
          </cell>
          <cell r="AJ49">
            <v>122</v>
          </cell>
          <cell r="AK49">
            <v>214418</v>
          </cell>
          <cell r="AL49">
            <v>95</v>
          </cell>
          <cell r="AM49">
            <v>214526</v>
          </cell>
          <cell r="AN49">
            <v>108</v>
          </cell>
          <cell r="AO49">
            <v>214683</v>
          </cell>
          <cell r="AP49">
            <v>157</v>
          </cell>
          <cell r="AQ49">
            <v>214683</v>
          </cell>
          <cell r="AR49">
            <v>0</v>
          </cell>
          <cell r="AS49">
            <v>214772</v>
          </cell>
        </row>
        <row r="50">
          <cell r="G50" t="str">
            <v>10.11.6.201</v>
          </cell>
          <cell r="H50">
            <v>207152</v>
          </cell>
          <cell r="I50">
            <v>207159</v>
          </cell>
          <cell r="J50">
            <v>7</v>
          </cell>
          <cell r="K50">
            <v>207159</v>
          </cell>
          <cell r="L50">
            <v>0</v>
          </cell>
          <cell r="M50">
            <v>207166</v>
          </cell>
          <cell r="N50">
            <v>7</v>
          </cell>
          <cell r="O50">
            <v>207210</v>
          </cell>
          <cell r="P50">
            <v>44</v>
          </cell>
          <cell r="Q50">
            <v>207229</v>
          </cell>
          <cell r="R50">
            <v>19</v>
          </cell>
          <cell r="S50">
            <v>207235</v>
          </cell>
          <cell r="T50">
            <v>6</v>
          </cell>
          <cell r="U50">
            <v>207245</v>
          </cell>
          <cell r="V50">
            <v>10</v>
          </cell>
          <cell r="W50">
            <v>207249</v>
          </cell>
          <cell r="X50">
            <v>4</v>
          </cell>
          <cell r="Y50">
            <v>207249</v>
          </cell>
          <cell r="Z50">
            <v>0</v>
          </cell>
          <cell r="AA50">
            <v>207250</v>
          </cell>
          <cell r="AB50">
            <v>1</v>
          </cell>
          <cell r="AC50">
            <v>207252</v>
          </cell>
          <cell r="AD50">
            <v>2</v>
          </cell>
          <cell r="AE50">
            <v>207252</v>
          </cell>
          <cell r="AF50">
            <v>0</v>
          </cell>
          <cell r="AG50">
            <v>207259</v>
          </cell>
          <cell r="AH50">
            <v>7</v>
          </cell>
          <cell r="AI50">
            <v>207259</v>
          </cell>
          <cell r="AJ50">
            <v>0</v>
          </cell>
          <cell r="AK50">
            <v>207264</v>
          </cell>
          <cell r="AL50">
            <v>5</v>
          </cell>
          <cell r="AM50">
            <v>207287</v>
          </cell>
          <cell r="AN50">
            <v>23</v>
          </cell>
          <cell r="AO50">
            <v>207293</v>
          </cell>
          <cell r="AP50">
            <v>6</v>
          </cell>
          <cell r="AQ50">
            <v>207293</v>
          </cell>
          <cell r="AR50">
            <v>0</v>
          </cell>
          <cell r="AS50">
            <v>207303</v>
          </cell>
        </row>
        <row r="51">
          <cell r="G51" t="str">
            <v>10.10.166.200</v>
          </cell>
          <cell r="H51">
            <v>376025</v>
          </cell>
          <cell r="I51">
            <v>376036</v>
          </cell>
          <cell r="J51">
            <v>11</v>
          </cell>
          <cell r="K51">
            <v>376036</v>
          </cell>
          <cell r="L51">
            <v>0</v>
          </cell>
          <cell r="M51">
            <v>376044</v>
          </cell>
          <cell r="N51">
            <v>8</v>
          </cell>
          <cell r="O51">
            <v>376044</v>
          </cell>
          <cell r="P51">
            <v>0</v>
          </cell>
          <cell r="Q51">
            <v>376052</v>
          </cell>
          <cell r="R51">
            <v>8</v>
          </cell>
          <cell r="S51">
            <v>376054</v>
          </cell>
          <cell r="T51">
            <v>2</v>
          </cell>
          <cell r="U51">
            <v>376055</v>
          </cell>
          <cell r="V51">
            <v>1</v>
          </cell>
          <cell r="W51">
            <v>376071</v>
          </cell>
          <cell r="X51">
            <v>16</v>
          </cell>
          <cell r="Y51">
            <v>376074</v>
          </cell>
          <cell r="Z51">
            <v>3</v>
          </cell>
          <cell r="AA51">
            <v>376086</v>
          </cell>
          <cell r="AB51">
            <v>12</v>
          </cell>
          <cell r="AC51">
            <v>376098</v>
          </cell>
          <cell r="AD51">
            <v>12</v>
          </cell>
          <cell r="AE51">
            <v>376101</v>
          </cell>
          <cell r="AF51">
            <v>3</v>
          </cell>
          <cell r="AG51">
            <v>376106</v>
          </cell>
          <cell r="AH51">
            <v>5</v>
          </cell>
          <cell r="AI51">
            <v>376112</v>
          </cell>
          <cell r="AJ51">
            <v>6</v>
          </cell>
          <cell r="AK51">
            <v>376121</v>
          </cell>
          <cell r="AL51">
            <v>9</v>
          </cell>
          <cell r="AM51">
            <v>376127</v>
          </cell>
          <cell r="AN51">
            <v>6</v>
          </cell>
          <cell r="AO51">
            <v>376139</v>
          </cell>
          <cell r="AP51">
            <v>12</v>
          </cell>
          <cell r="AQ51">
            <v>376139</v>
          </cell>
          <cell r="AR51">
            <v>0</v>
          </cell>
          <cell r="AS51">
            <v>376149</v>
          </cell>
        </row>
        <row r="52">
          <cell r="G52" t="str">
            <v>10.10.7.201</v>
          </cell>
          <cell r="H52">
            <v>260014</v>
          </cell>
          <cell r="I52">
            <v>260251</v>
          </cell>
          <cell r="J52">
            <v>237</v>
          </cell>
          <cell r="K52">
            <v>260251</v>
          </cell>
          <cell r="L52">
            <v>0</v>
          </cell>
          <cell r="M52">
            <v>260439</v>
          </cell>
          <cell r="N52">
            <v>188</v>
          </cell>
          <cell r="O52">
            <v>260650</v>
          </cell>
          <cell r="P52">
            <v>211</v>
          </cell>
          <cell r="Q52">
            <v>260669</v>
          </cell>
          <cell r="R52">
            <v>19</v>
          </cell>
          <cell r="S52">
            <v>260865</v>
          </cell>
          <cell r="T52">
            <v>196</v>
          </cell>
          <cell r="U52">
            <v>261085</v>
          </cell>
          <cell r="V52">
            <v>220</v>
          </cell>
          <cell r="W52">
            <v>261163</v>
          </cell>
          <cell r="X52">
            <v>78</v>
          </cell>
          <cell r="Y52">
            <v>261308</v>
          </cell>
          <cell r="Z52">
            <v>145</v>
          </cell>
          <cell r="AA52">
            <v>261389</v>
          </cell>
          <cell r="AB52">
            <v>81</v>
          </cell>
          <cell r="AC52">
            <v>261431</v>
          </cell>
          <cell r="AD52">
            <v>42</v>
          </cell>
          <cell r="AE52">
            <v>261565</v>
          </cell>
          <cell r="AF52">
            <v>134</v>
          </cell>
          <cell r="AG52">
            <v>261874</v>
          </cell>
          <cell r="AH52">
            <v>309</v>
          </cell>
          <cell r="AI52">
            <v>262277</v>
          </cell>
          <cell r="AJ52">
            <v>403</v>
          </cell>
          <cell r="AK52">
            <v>262406</v>
          </cell>
          <cell r="AL52">
            <v>129</v>
          </cell>
          <cell r="AM52">
            <v>262552</v>
          </cell>
          <cell r="AN52">
            <v>146</v>
          </cell>
          <cell r="AO52">
            <v>262722</v>
          </cell>
          <cell r="AP52">
            <v>170</v>
          </cell>
          <cell r="AQ52">
            <v>262722</v>
          </cell>
          <cell r="AR52">
            <v>0</v>
          </cell>
          <cell r="AS52">
            <v>262787</v>
          </cell>
        </row>
        <row r="53">
          <cell r="G53" t="str">
            <v>10.10.251.200</v>
          </cell>
          <cell r="H53">
            <v>325531</v>
          </cell>
          <cell r="I53">
            <v>325597</v>
          </cell>
          <cell r="J53">
            <v>66</v>
          </cell>
          <cell r="K53">
            <v>325597</v>
          </cell>
          <cell r="L53">
            <v>0</v>
          </cell>
          <cell r="M53">
            <v>325642</v>
          </cell>
          <cell r="N53">
            <v>45</v>
          </cell>
          <cell r="O53">
            <v>325642</v>
          </cell>
          <cell r="P53">
            <v>0</v>
          </cell>
          <cell r="Q53">
            <v>325792</v>
          </cell>
          <cell r="R53">
            <v>150</v>
          </cell>
          <cell r="S53">
            <v>325906</v>
          </cell>
          <cell r="T53">
            <v>114</v>
          </cell>
          <cell r="U53">
            <v>325916</v>
          </cell>
          <cell r="V53">
            <v>10</v>
          </cell>
          <cell r="W53">
            <v>325928</v>
          </cell>
          <cell r="X53">
            <v>12</v>
          </cell>
          <cell r="Y53">
            <v>325929</v>
          </cell>
          <cell r="Z53">
            <v>1</v>
          </cell>
          <cell r="AA53">
            <v>326013</v>
          </cell>
          <cell r="AB53">
            <v>84</v>
          </cell>
          <cell r="AC53">
            <v>326026</v>
          </cell>
          <cell r="AD53">
            <v>13</v>
          </cell>
          <cell r="AE53">
            <v>326036</v>
          </cell>
          <cell r="AF53">
            <v>10</v>
          </cell>
          <cell r="AG53">
            <v>326104</v>
          </cell>
          <cell r="AH53">
            <v>68</v>
          </cell>
          <cell r="AI53">
            <v>326143</v>
          </cell>
          <cell r="AJ53">
            <v>39</v>
          </cell>
          <cell r="AK53">
            <v>326169</v>
          </cell>
          <cell r="AL53">
            <v>26</v>
          </cell>
          <cell r="AM53">
            <v>326226</v>
          </cell>
          <cell r="AN53">
            <v>57</v>
          </cell>
          <cell r="AO53">
            <v>326281</v>
          </cell>
          <cell r="AP53">
            <v>55</v>
          </cell>
          <cell r="AQ53">
            <v>326281</v>
          </cell>
          <cell r="AR53">
            <v>0</v>
          </cell>
          <cell r="AS53">
            <v>326281</v>
          </cell>
        </row>
        <row r="54">
          <cell r="G54" t="str">
            <v>10.10.16.201</v>
          </cell>
          <cell r="H54">
            <v>241571</v>
          </cell>
          <cell r="I54">
            <v>241751</v>
          </cell>
          <cell r="J54">
            <v>180</v>
          </cell>
          <cell r="K54">
            <v>241751</v>
          </cell>
          <cell r="L54">
            <v>0</v>
          </cell>
          <cell r="M54">
            <v>241909</v>
          </cell>
          <cell r="N54">
            <v>158</v>
          </cell>
          <cell r="O54">
            <v>241940</v>
          </cell>
          <cell r="P54">
            <v>31</v>
          </cell>
          <cell r="Q54">
            <v>242101</v>
          </cell>
          <cell r="R54">
            <v>161</v>
          </cell>
          <cell r="S54">
            <v>242221</v>
          </cell>
          <cell r="T54">
            <v>120</v>
          </cell>
          <cell r="U54">
            <v>242337</v>
          </cell>
          <cell r="V54">
            <v>116</v>
          </cell>
          <cell r="W54">
            <v>242389</v>
          </cell>
          <cell r="X54">
            <v>52</v>
          </cell>
          <cell r="Y54">
            <v>242504</v>
          </cell>
          <cell r="Z54">
            <v>115</v>
          </cell>
          <cell r="AA54">
            <v>242544</v>
          </cell>
          <cell r="AB54">
            <v>40</v>
          </cell>
          <cell r="AC54">
            <v>242631</v>
          </cell>
          <cell r="AD54">
            <v>87</v>
          </cell>
          <cell r="AE54">
            <v>242784</v>
          </cell>
          <cell r="AF54">
            <v>153</v>
          </cell>
          <cell r="AG54">
            <v>242861</v>
          </cell>
          <cell r="AH54">
            <v>77</v>
          </cell>
          <cell r="AI54">
            <v>242958</v>
          </cell>
          <cell r="AJ54">
            <v>97</v>
          </cell>
          <cell r="AK54">
            <v>242974</v>
          </cell>
          <cell r="AL54">
            <v>16</v>
          </cell>
          <cell r="AM54">
            <v>243144</v>
          </cell>
          <cell r="AN54">
            <v>170</v>
          </cell>
          <cell r="AO54">
            <v>243358</v>
          </cell>
          <cell r="AP54">
            <v>214</v>
          </cell>
          <cell r="AQ54">
            <v>243358</v>
          </cell>
          <cell r="AR54">
            <v>0</v>
          </cell>
          <cell r="AS54">
            <v>243538</v>
          </cell>
        </row>
        <row r="55">
          <cell r="G55" t="str">
            <v>10.10.186.203</v>
          </cell>
          <cell r="H55">
            <v>379089</v>
          </cell>
          <cell r="I55">
            <v>379116</v>
          </cell>
          <cell r="J55">
            <v>27</v>
          </cell>
          <cell r="K55">
            <v>379116</v>
          </cell>
          <cell r="L55">
            <v>0</v>
          </cell>
          <cell r="M55">
            <v>379143</v>
          </cell>
          <cell r="N55">
            <v>27</v>
          </cell>
          <cell r="O55">
            <v>379144</v>
          </cell>
          <cell r="P55">
            <v>1</v>
          </cell>
          <cell r="Q55">
            <v>379147</v>
          </cell>
          <cell r="R55">
            <v>3</v>
          </cell>
          <cell r="S55">
            <v>379155</v>
          </cell>
          <cell r="T55">
            <v>8</v>
          </cell>
          <cell r="U55">
            <v>379207</v>
          </cell>
          <cell r="V55">
            <v>52</v>
          </cell>
          <cell r="W55">
            <v>379223</v>
          </cell>
          <cell r="X55">
            <v>16</v>
          </cell>
          <cell r="Y55">
            <v>379231</v>
          </cell>
          <cell r="Z55">
            <v>8</v>
          </cell>
          <cell r="AA55">
            <v>379234</v>
          </cell>
          <cell r="AB55">
            <v>3</v>
          </cell>
          <cell r="AC55">
            <v>379272</v>
          </cell>
          <cell r="AD55">
            <v>38</v>
          </cell>
          <cell r="AE55">
            <v>379295</v>
          </cell>
          <cell r="AF55">
            <v>23</v>
          </cell>
          <cell r="AG55">
            <v>379314</v>
          </cell>
          <cell r="AH55">
            <v>19</v>
          </cell>
          <cell r="AI55">
            <v>379348</v>
          </cell>
          <cell r="AJ55">
            <v>34</v>
          </cell>
          <cell r="AK55">
            <v>379394</v>
          </cell>
          <cell r="AL55">
            <v>46</v>
          </cell>
          <cell r="AM55">
            <v>379455</v>
          </cell>
          <cell r="AN55">
            <v>61</v>
          </cell>
          <cell r="AO55">
            <v>379534</v>
          </cell>
          <cell r="AP55">
            <v>79</v>
          </cell>
          <cell r="AQ55">
            <v>379534</v>
          </cell>
          <cell r="AR55">
            <v>0</v>
          </cell>
          <cell r="AS55">
            <v>379565</v>
          </cell>
        </row>
        <row r="56">
          <cell r="G56" t="str">
            <v>10.10.75.200</v>
          </cell>
          <cell r="H56">
            <v>171616</v>
          </cell>
          <cell r="I56">
            <v>171716</v>
          </cell>
          <cell r="J56">
            <v>100</v>
          </cell>
          <cell r="K56">
            <v>171716</v>
          </cell>
          <cell r="L56">
            <v>0</v>
          </cell>
          <cell r="M56">
            <v>171747</v>
          </cell>
          <cell r="N56">
            <v>31</v>
          </cell>
          <cell r="O56">
            <v>171788</v>
          </cell>
          <cell r="P56">
            <v>41</v>
          </cell>
          <cell r="Q56">
            <v>171835</v>
          </cell>
          <cell r="R56">
            <v>47</v>
          </cell>
          <cell r="S56">
            <v>171885</v>
          </cell>
          <cell r="T56">
            <v>50</v>
          </cell>
          <cell r="U56">
            <v>171988</v>
          </cell>
          <cell r="V56">
            <v>103</v>
          </cell>
          <cell r="W56">
            <v>172037</v>
          </cell>
          <cell r="X56">
            <v>49</v>
          </cell>
          <cell r="Y56">
            <v>172064</v>
          </cell>
          <cell r="Z56">
            <v>27</v>
          </cell>
          <cell r="AA56">
            <v>172117</v>
          </cell>
          <cell r="AB56">
            <v>53</v>
          </cell>
          <cell r="AC56">
            <v>172149</v>
          </cell>
          <cell r="AD56">
            <v>32</v>
          </cell>
          <cell r="AE56">
            <v>172195</v>
          </cell>
          <cell r="AF56">
            <v>46</v>
          </cell>
          <cell r="AG56">
            <v>172337</v>
          </cell>
          <cell r="AH56">
            <v>142</v>
          </cell>
          <cell r="AI56">
            <v>172384</v>
          </cell>
          <cell r="AJ56">
            <v>47</v>
          </cell>
          <cell r="AK56">
            <v>172429</v>
          </cell>
          <cell r="AL56">
            <v>45</v>
          </cell>
          <cell r="AM56">
            <v>172449</v>
          </cell>
          <cell r="AN56">
            <v>20</v>
          </cell>
          <cell r="AO56">
            <v>172549</v>
          </cell>
          <cell r="AP56">
            <v>100</v>
          </cell>
          <cell r="AQ56">
            <v>172549</v>
          </cell>
          <cell r="AR56">
            <v>0</v>
          </cell>
          <cell r="AS56">
            <v>172678</v>
          </cell>
        </row>
        <row r="57">
          <cell r="G57" t="str">
            <v>10.11.31.201</v>
          </cell>
          <cell r="H57">
            <v>407701</v>
          </cell>
          <cell r="I57">
            <v>407736</v>
          </cell>
          <cell r="J57">
            <v>35</v>
          </cell>
          <cell r="K57">
            <v>407736</v>
          </cell>
          <cell r="L57">
            <v>0</v>
          </cell>
          <cell r="M57">
            <v>407742</v>
          </cell>
          <cell r="N57">
            <v>6</v>
          </cell>
          <cell r="O57">
            <v>407765</v>
          </cell>
          <cell r="P57">
            <v>23</v>
          </cell>
          <cell r="Q57">
            <v>407768</v>
          </cell>
          <cell r="R57">
            <v>3</v>
          </cell>
          <cell r="S57">
            <v>407820</v>
          </cell>
          <cell r="T57">
            <v>52</v>
          </cell>
          <cell r="U57">
            <v>407828</v>
          </cell>
          <cell r="V57">
            <v>8</v>
          </cell>
          <cell r="W57">
            <v>407832</v>
          </cell>
          <cell r="X57">
            <v>4</v>
          </cell>
          <cell r="Y57">
            <v>407837</v>
          </cell>
          <cell r="Z57">
            <v>5</v>
          </cell>
          <cell r="AA57">
            <v>407840</v>
          </cell>
          <cell r="AB57">
            <v>3</v>
          </cell>
          <cell r="AC57">
            <v>407847</v>
          </cell>
          <cell r="AD57">
            <v>7</v>
          </cell>
          <cell r="AE57">
            <v>407856</v>
          </cell>
          <cell r="AF57">
            <v>9</v>
          </cell>
          <cell r="AG57">
            <v>407856</v>
          </cell>
          <cell r="AH57">
            <v>0</v>
          </cell>
          <cell r="AI57">
            <v>407858</v>
          </cell>
          <cell r="AJ57">
            <v>2</v>
          </cell>
          <cell r="AK57">
            <v>407860</v>
          </cell>
          <cell r="AL57">
            <v>2</v>
          </cell>
          <cell r="AM57">
            <v>407869</v>
          </cell>
          <cell r="AN57">
            <v>9</v>
          </cell>
          <cell r="AO57">
            <v>407878</v>
          </cell>
          <cell r="AP57">
            <v>9</v>
          </cell>
          <cell r="AQ57">
            <v>407878</v>
          </cell>
          <cell r="AR57">
            <v>0</v>
          </cell>
          <cell r="AS57">
            <v>407887</v>
          </cell>
        </row>
        <row r="58">
          <cell r="G58" t="str">
            <v>10.10.108.200</v>
          </cell>
          <cell r="H58">
            <v>292235</v>
          </cell>
          <cell r="I58">
            <v>292235</v>
          </cell>
          <cell r="J58">
            <v>0</v>
          </cell>
          <cell r="K58">
            <v>292235</v>
          </cell>
          <cell r="L58">
            <v>0</v>
          </cell>
          <cell r="M58">
            <v>292235</v>
          </cell>
          <cell r="N58">
            <v>0</v>
          </cell>
          <cell r="O58">
            <v>292235</v>
          </cell>
          <cell r="P58">
            <v>0</v>
          </cell>
          <cell r="Q58">
            <v>292235</v>
          </cell>
          <cell r="R58">
            <v>0</v>
          </cell>
          <cell r="S58">
            <v>292235</v>
          </cell>
          <cell r="T58">
            <v>0</v>
          </cell>
          <cell r="U58">
            <v>292235</v>
          </cell>
          <cell r="V58">
            <v>0</v>
          </cell>
          <cell r="W58">
            <v>292235</v>
          </cell>
          <cell r="X58">
            <v>0</v>
          </cell>
          <cell r="Y58">
            <v>292235</v>
          </cell>
          <cell r="Z58">
            <v>0</v>
          </cell>
          <cell r="AA58">
            <v>292235</v>
          </cell>
          <cell r="AB58">
            <v>0</v>
          </cell>
          <cell r="AC58">
            <v>292235</v>
          </cell>
          <cell r="AD58">
            <v>0</v>
          </cell>
          <cell r="AE58">
            <v>292235</v>
          </cell>
          <cell r="AF58">
            <v>0</v>
          </cell>
          <cell r="AG58">
            <v>292235</v>
          </cell>
          <cell r="AH58">
            <v>0</v>
          </cell>
          <cell r="AI58">
            <v>292235</v>
          </cell>
          <cell r="AJ58">
            <v>0</v>
          </cell>
          <cell r="AK58">
            <v>292235</v>
          </cell>
          <cell r="AL58">
            <v>0</v>
          </cell>
          <cell r="AM58">
            <v>292235</v>
          </cell>
          <cell r="AN58">
            <v>0</v>
          </cell>
          <cell r="AO58">
            <v>292235</v>
          </cell>
          <cell r="AP58">
            <v>0</v>
          </cell>
          <cell r="AQ58">
            <v>292235</v>
          </cell>
          <cell r="AR58">
            <v>0</v>
          </cell>
          <cell r="AS58">
            <v>292235</v>
          </cell>
        </row>
        <row r="59">
          <cell r="G59" t="str">
            <v>10.10.185.200</v>
          </cell>
          <cell r="H59">
            <v>58029</v>
          </cell>
          <cell r="I59">
            <v>58038</v>
          </cell>
          <cell r="J59">
            <v>9</v>
          </cell>
          <cell r="K59">
            <v>58038</v>
          </cell>
          <cell r="L59">
            <v>0</v>
          </cell>
          <cell r="M59">
            <v>58038</v>
          </cell>
          <cell r="N59">
            <v>0</v>
          </cell>
          <cell r="O59">
            <v>58045</v>
          </cell>
          <cell r="P59">
            <v>7</v>
          </cell>
          <cell r="Q59">
            <v>58045</v>
          </cell>
          <cell r="R59">
            <v>0</v>
          </cell>
          <cell r="S59">
            <v>58045</v>
          </cell>
          <cell r="T59">
            <v>0</v>
          </cell>
          <cell r="U59">
            <v>58045</v>
          </cell>
          <cell r="V59">
            <v>0</v>
          </cell>
          <cell r="W59">
            <v>58071</v>
          </cell>
          <cell r="X59">
            <v>26</v>
          </cell>
          <cell r="Y59">
            <v>58079</v>
          </cell>
          <cell r="Z59">
            <v>8</v>
          </cell>
          <cell r="AA59">
            <v>58079</v>
          </cell>
          <cell r="AB59">
            <v>0</v>
          </cell>
          <cell r="AC59">
            <v>58105</v>
          </cell>
          <cell r="AD59">
            <v>26</v>
          </cell>
          <cell r="AE59">
            <v>58105</v>
          </cell>
          <cell r="AF59">
            <v>0</v>
          </cell>
          <cell r="AG59">
            <v>58111</v>
          </cell>
          <cell r="AH59">
            <v>6</v>
          </cell>
          <cell r="AI59">
            <v>58111</v>
          </cell>
          <cell r="AJ59">
            <v>0</v>
          </cell>
          <cell r="AK59">
            <v>58111</v>
          </cell>
          <cell r="AL59">
            <v>0</v>
          </cell>
          <cell r="AM59">
            <v>58121</v>
          </cell>
          <cell r="AN59">
            <v>10</v>
          </cell>
          <cell r="AO59">
            <v>58131</v>
          </cell>
          <cell r="AP59">
            <v>10</v>
          </cell>
          <cell r="AQ59">
            <v>58131</v>
          </cell>
          <cell r="AR59">
            <v>0</v>
          </cell>
          <cell r="AS59">
            <v>58131</v>
          </cell>
        </row>
        <row r="60">
          <cell r="G60" t="str">
            <v>10.11.92.200</v>
          </cell>
          <cell r="H60">
            <v>120920</v>
          </cell>
          <cell r="I60">
            <v>120928</v>
          </cell>
          <cell r="J60">
            <v>8</v>
          </cell>
          <cell r="K60">
            <v>120928</v>
          </cell>
          <cell r="L60">
            <v>0</v>
          </cell>
          <cell r="M60">
            <v>120978</v>
          </cell>
          <cell r="N60">
            <v>50</v>
          </cell>
          <cell r="O60">
            <v>121085</v>
          </cell>
          <cell r="P60">
            <v>107</v>
          </cell>
          <cell r="Q60">
            <v>121159</v>
          </cell>
          <cell r="R60">
            <v>74</v>
          </cell>
          <cell r="S60">
            <v>121245</v>
          </cell>
          <cell r="T60">
            <v>86</v>
          </cell>
          <cell r="U60">
            <v>121290</v>
          </cell>
          <cell r="V60">
            <v>45</v>
          </cell>
          <cell r="W60">
            <v>121364</v>
          </cell>
          <cell r="X60">
            <v>74</v>
          </cell>
          <cell r="Y60">
            <v>121398</v>
          </cell>
          <cell r="Z60">
            <v>34</v>
          </cell>
          <cell r="AA60">
            <v>121435</v>
          </cell>
          <cell r="AB60">
            <v>37</v>
          </cell>
          <cell r="AC60">
            <v>121515</v>
          </cell>
          <cell r="AD60">
            <v>80</v>
          </cell>
          <cell r="AE60">
            <v>121555</v>
          </cell>
          <cell r="AF60">
            <v>40</v>
          </cell>
          <cell r="AG60">
            <v>121574</v>
          </cell>
          <cell r="AH60">
            <v>19</v>
          </cell>
          <cell r="AI60">
            <v>121580</v>
          </cell>
          <cell r="AJ60">
            <v>6</v>
          </cell>
          <cell r="AK60">
            <v>121622</v>
          </cell>
          <cell r="AL60">
            <v>42</v>
          </cell>
          <cell r="AM60">
            <v>121659</v>
          </cell>
          <cell r="AN60">
            <v>37</v>
          </cell>
          <cell r="AO60">
            <v>121698</v>
          </cell>
          <cell r="AP60">
            <v>39</v>
          </cell>
          <cell r="AQ60">
            <v>121698</v>
          </cell>
          <cell r="AR60">
            <v>0</v>
          </cell>
          <cell r="AS60">
            <v>121735</v>
          </cell>
        </row>
        <row r="61">
          <cell r="G61" t="str">
            <v>10.10.168.203</v>
          </cell>
          <cell r="H61">
            <v>179274</v>
          </cell>
          <cell r="I61">
            <v>179338</v>
          </cell>
          <cell r="J61">
            <v>64</v>
          </cell>
          <cell r="K61">
            <v>179338</v>
          </cell>
          <cell r="L61">
            <v>0</v>
          </cell>
          <cell r="M61">
            <v>179357</v>
          </cell>
          <cell r="N61">
            <v>19</v>
          </cell>
          <cell r="O61">
            <v>179380</v>
          </cell>
          <cell r="P61">
            <v>23</v>
          </cell>
          <cell r="Q61">
            <v>179409</v>
          </cell>
          <cell r="R61">
            <v>29</v>
          </cell>
          <cell r="S61">
            <v>179427</v>
          </cell>
          <cell r="T61">
            <v>18</v>
          </cell>
          <cell r="U61">
            <v>179519</v>
          </cell>
          <cell r="V61">
            <v>92</v>
          </cell>
          <cell r="W61">
            <v>179551</v>
          </cell>
          <cell r="X61">
            <v>32</v>
          </cell>
          <cell r="Y61">
            <v>179581</v>
          </cell>
          <cell r="Z61">
            <v>30</v>
          </cell>
          <cell r="AA61">
            <v>179618</v>
          </cell>
          <cell r="AB61">
            <v>37</v>
          </cell>
          <cell r="AC61">
            <v>179663</v>
          </cell>
          <cell r="AD61">
            <v>45</v>
          </cell>
          <cell r="AE61">
            <v>179703</v>
          </cell>
          <cell r="AF61">
            <v>40</v>
          </cell>
          <cell r="AG61">
            <v>179763</v>
          </cell>
          <cell r="AH61">
            <v>60</v>
          </cell>
          <cell r="AI61">
            <v>179777</v>
          </cell>
          <cell r="AJ61">
            <v>14</v>
          </cell>
          <cell r="AK61">
            <v>179827</v>
          </cell>
          <cell r="AL61">
            <v>50</v>
          </cell>
          <cell r="AM61">
            <v>179858</v>
          </cell>
          <cell r="AN61">
            <v>31</v>
          </cell>
          <cell r="AO61">
            <v>179898</v>
          </cell>
          <cell r="AP61">
            <v>40</v>
          </cell>
          <cell r="AQ61">
            <v>179898</v>
          </cell>
          <cell r="AR61">
            <v>0</v>
          </cell>
          <cell r="AS61">
            <v>179954</v>
          </cell>
        </row>
        <row r="62">
          <cell r="G62" t="str">
            <v>10.14.47.201</v>
          </cell>
          <cell r="H62">
            <v>156690</v>
          </cell>
          <cell r="I62">
            <v>156760</v>
          </cell>
          <cell r="J62">
            <v>70</v>
          </cell>
          <cell r="K62">
            <v>156760</v>
          </cell>
          <cell r="L62">
            <v>0</v>
          </cell>
          <cell r="M62">
            <v>156776</v>
          </cell>
          <cell r="N62">
            <v>16</v>
          </cell>
          <cell r="O62">
            <v>156809</v>
          </cell>
          <cell r="P62">
            <v>33</v>
          </cell>
          <cell r="Q62">
            <v>156833</v>
          </cell>
          <cell r="R62">
            <v>24</v>
          </cell>
          <cell r="S62">
            <v>156857</v>
          </cell>
          <cell r="T62">
            <v>24</v>
          </cell>
          <cell r="U62">
            <v>156909</v>
          </cell>
          <cell r="V62">
            <v>52</v>
          </cell>
          <cell r="W62">
            <v>156929</v>
          </cell>
          <cell r="X62">
            <v>20</v>
          </cell>
          <cell r="Y62">
            <v>156950</v>
          </cell>
          <cell r="Z62">
            <v>21</v>
          </cell>
          <cell r="AA62">
            <v>156977</v>
          </cell>
          <cell r="AB62">
            <v>27</v>
          </cell>
          <cell r="AC62">
            <v>157066</v>
          </cell>
          <cell r="AD62">
            <v>89</v>
          </cell>
          <cell r="AE62">
            <v>157136</v>
          </cell>
          <cell r="AF62">
            <v>70</v>
          </cell>
          <cell r="AG62">
            <v>157214</v>
          </cell>
          <cell r="AH62">
            <v>78</v>
          </cell>
          <cell r="AI62">
            <v>157299</v>
          </cell>
          <cell r="AJ62">
            <v>85</v>
          </cell>
          <cell r="AK62">
            <v>157341</v>
          </cell>
          <cell r="AL62">
            <v>42</v>
          </cell>
          <cell r="AM62">
            <v>157386</v>
          </cell>
          <cell r="AN62">
            <v>45</v>
          </cell>
          <cell r="AO62">
            <v>157554</v>
          </cell>
          <cell r="AP62">
            <v>168</v>
          </cell>
          <cell r="AQ62">
            <v>157554</v>
          </cell>
          <cell r="AR62">
            <v>0</v>
          </cell>
          <cell r="AS62">
            <v>157673</v>
          </cell>
        </row>
        <row r="63">
          <cell r="G63" t="str">
            <v>10.10.227.204</v>
          </cell>
          <cell r="H63">
            <v>51523</v>
          </cell>
          <cell r="I63">
            <v>51619</v>
          </cell>
          <cell r="J63">
            <v>96</v>
          </cell>
          <cell r="K63">
            <v>51619</v>
          </cell>
          <cell r="L63">
            <v>0</v>
          </cell>
          <cell r="M63">
            <v>51625</v>
          </cell>
          <cell r="N63">
            <v>6</v>
          </cell>
          <cell r="O63">
            <v>51641</v>
          </cell>
          <cell r="P63">
            <v>16</v>
          </cell>
          <cell r="Q63">
            <v>51649</v>
          </cell>
          <cell r="R63">
            <v>8</v>
          </cell>
          <cell r="S63">
            <v>51682</v>
          </cell>
          <cell r="T63">
            <v>33</v>
          </cell>
          <cell r="U63">
            <v>51689</v>
          </cell>
          <cell r="V63">
            <v>7</v>
          </cell>
          <cell r="W63">
            <v>51700</v>
          </cell>
          <cell r="X63">
            <v>11</v>
          </cell>
          <cell r="Y63">
            <v>51708</v>
          </cell>
          <cell r="Z63">
            <v>8</v>
          </cell>
          <cell r="AA63">
            <v>51731</v>
          </cell>
          <cell r="AB63">
            <v>23</v>
          </cell>
          <cell r="AC63">
            <v>51740</v>
          </cell>
          <cell r="AD63">
            <v>9</v>
          </cell>
          <cell r="AE63">
            <v>51751</v>
          </cell>
          <cell r="AF63">
            <v>11</v>
          </cell>
          <cell r="AG63">
            <v>51768</v>
          </cell>
          <cell r="AH63">
            <v>17</v>
          </cell>
          <cell r="AI63">
            <v>51773</v>
          </cell>
          <cell r="AJ63">
            <v>5</v>
          </cell>
          <cell r="AK63">
            <v>51785</v>
          </cell>
          <cell r="AL63">
            <v>12</v>
          </cell>
          <cell r="AM63">
            <v>51803</v>
          </cell>
          <cell r="AN63">
            <v>18</v>
          </cell>
          <cell r="AO63">
            <v>51847</v>
          </cell>
          <cell r="AP63">
            <v>44</v>
          </cell>
          <cell r="AQ63">
            <v>51847</v>
          </cell>
          <cell r="AR63">
            <v>0</v>
          </cell>
          <cell r="AS63">
            <v>51874</v>
          </cell>
        </row>
        <row r="64">
          <cell r="G64" t="str">
            <v>10.10.84.202</v>
          </cell>
          <cell r="H64">
            <v>173123</v>
          </cell>
          <cell r="I64">
            <v>173231</v>
          </cell>
          <cell r="J64">
            <v>108</v>
          </cell>
          <cell r="K64">
            <v>173231</v>
          </cell>
          <cell r="L64">
            <v>0</v>
          </cell>
          <cell r="M64">
            <v>173304</v>
          </cell>
          <cell r="N64">
            <v>73</v>
          </cell>
          <cell r="O64">
            <v>173339</v>
          </cell>
          <cell r="P64">
            <v>35</v>
          </cell>
          <cell r="Q64">
            <v>173417</v>
          </cell>
          <cell r="R64">
            <v>78</v>
          </cell>
          <cell r="S64">
            <v>173478</v>
          </cell>
          <cell r="T64">
            <v>61</v>
          </cell>
          <cell r="U64">
            <v>173543</v>
          </cell>
          <cell r="V64">
            <v>65</v>
          </cell>
          <cell r="W64">
            <v>173595</v>
          </cell>
          <cell r="X64">
            <v>52</v>
          </cell>
          <cell r="Y64">
            <v>173618</v>
          </cell>
          <cell r="Z64">
            <v>23</v>
          </cell>
          <cell r="AA64">
            <v>173709</v>
          </cell>
          <cell r="AB64">
            <v>91</v>
          </cell>
          <cell r="AC64">
            <v>173790</v>
          </cell>
          <cell r="AD64">
            <v>81</v>
          </cell>
          <cell r="AE64">
            <v>173867</v>
          </cell>
          <cell r="AF64">
            <v>77</v>
          </cell>
          <cell r="AG64">
            <v>173912</v>
          </cell>
          <cell r="AH64">
            <v>45</v>
          </cell>
          <cell r="AI64">
            <v>173994</v>
          </cell>
          <cell r="AJ64">
            <v>82</v>
          </cell>
          <cell r="AK64">
            <v>174064</v>
          </cell>
          <cell r="AL64">
            <v>70</v>
          </cell>
          <cell r="AM64">
            <v>174085</v>
          </cell>
          <cell r="AN64">
            <v>21</v>
          </cell>
          <cell r="AO64">
            <v>174182</v>
          </cell>
          <cell r="AP64">
            <v>97</v>
          </cell>
          <cell r="AQ64">
            <v>174182</v>
          </cell>
          <cell r="AR64">
            <v>0</v>
          </cell>
          <cell r="AS64">
            <v>174208</v>
          </cell>
        </row>
        <row r="65">
          <cell r="G65" t="str">
            <v>10.10.89.200</v>
          </cell>
          <cell r="H65">
            <v>208233</v>
          </cell>
          <cell r="I65">
            <v>208294</v>
          </cell>
          <cell r="J65">
            <v>61</v>
          </cell>
          <cell r="K65">
            <v>208294</v>
          </cell>
          <cell r="L65">
            <v>0</v>
          </cell>
          <cell r="M65">
            <v>208312</v>
          </cell>
          <cell r="N65">
            <v>18</v>
          </cell>
          <cell r="O65">
            <v>208343</v>
          </cell>
          <cell r="P65">
            <v>31</v>
          </cell>
          <cell r="Q65">
            <v>208360</v>
          </cell>
          <cell r="R65">
            <v>17</v>
          </cell>
          <cell r="S65">
            <v>208380</v>
          </cell>
          <cell r="T65">
            <v>20</v>
          </cell>
          <cell r="U65">
            <v>208405</v>
          </cell>
          <cell r="V65">
            <v>25</v>
          </cell>
          <cell r="W65">
            <v>208413</v>
          </cell>
          <cell r="X65">
            <v>8</v>
          </cell>
          <cell r="Y65">
            <v>208426</v>
          </cell>
          <cell r="Z65">
            <v>13</v>
          </cell>
          <cell r="AA65">
            <v>208436</v>
          </cell>
          <cell r="AB65">
            <v>10</v>
          </cell>
          <cell r="AC65">
            <v>208448</v>
          </cell>
          <cell r="AD65">
            <v>12</v>
          </cell>
          <cell r="AE65">
            <v>208509</v>
          </cell>
          <cell r="AF65">
            <v>61</v>
          </cell>
          <cell r="AG65">
            <v>208592</v>
          </cell>
          <cell r="AH65">
            <v>83</v>
          </cell>
          <cell r="AI65">
            <v>208594</v>
          </cell>
          <cell r="AJ65">
            <v>2</v>
          </cell>
          <cell r="AK65">
            <v>208634</v>
          </cell>
          <cell r="AL65">
            <v>40</v>
          </cell>
          <cell r="AM65">
            <v>208703</v>
          </cell>
          <cell r="AN65">
            <v>69</v>
          </cell>
          <cell r="AO65">
            <v>208786</v>
          </cell>
          <cell r="AP65">
            <v>83</v>
          </cell>
          <cell r="AQ65">
            <v>208786</v>
          </cell>
          <cell r="AR65">
            <v>0</v>
          </cell>
          <cell r="AS65">
            <v>208808</v>
          </cell>
        </row>
        <row r="66">
          <cell r="G66" t="str">
            <v>10.0.20.206</v>
          </cell>
          <cell r="H66">
            <v>58154</v>
          </cell>
          <cell r="I66">
            <v>58243</v>
          </cell>
          <cell r="J66">
            <v>89</v>
          </cell>
          <cell r="K66">
            <v>58243</v>
          </cell>
          <cell r="L66">
            <v>0</v>
          </cell>
          <cell r="M66">
            <v>58249</v>
          </cell>
          <cell r="N66">
            <v>6</v>
          </cell>
          <cell r="O66">
            <v>58328</v>
          </cell>
          <cell r="P66">
            <v>79</v>
          </cell>
          <cell r="Q66">
            <v>58346</v>
          </cell>
          <cell r="R66">
            <v>18</v>
          </cell>
          <cell r="S66">
            <v>58361</v>
          </cell>
          <cell r="T66">
            <v>15</v>
          </cell>
          <cell r="U66">
            <v>58391</v>
          </cell>
          <cell r="V66">
            <v>30</v>
          </cell>
          <cell r="W66">
            <v>58409</v>
          </cell>
          <cell r="X66">
            <v>18</v>
          </cell>
          <cell r="Y66">
            <v>58458</v>
          </cell>
          <cell r="Z66">
            <v>49</v>
          </cell>
          <cell r="AA66">
            <v>58507</v>
          </cell>
          <cell r="AB66">
            <v>49</v>
          </cell>
          <cell r="AC66">
            <v>58536</v>
          </cell>
          <cell r="AD66">
            <v>29</v>
          </cell>
          <cell r="AE66">
            <v>58550</v>
          </cell>
          <cell r="AF66">
            <v>14</v>
          </cell>
          <cell r="AG66">
            <v>58608</v>
          </cell>
          <cell r="AH66">
            <v>58</v>
          </cell>
          <cell r="AI66">
            <v>58630</v>
          </cell>
          <cell r="AJ66">
            <v>22</v>
          </cell>
          <cell r="AK66">
            <v>58641</v>
          </cell>
          <cell r="AL66">
            <v>11</v>
          </cell>
          <cell r="AM66">
            <v>58676</v>
          </cell>
          <cell r="AN66">
            <v>35</v>
          </cell>
          <cell r="AO66">
            <v>58726</v>
          </cell>
          <cell r="AP66">
            <v>50</v>
          </cell>
          <cell r="AQ66">
            <v>58726</v>
          </cell>
          <cell r="AR66">
            <v>0</v>
          </cell>
          <cell r="AS66">
            <v>58801</v>
          </cell>
        </row>
        <row r="67">
          <cell r="G67" t="str">
            <v>10.10.211.202</v>
          </cell>
          <cell r="H67">
            <v>304172</v>
          </cell>
          <cell r="I67">
            <v>304489</v>
          </cell>
          <cell r="J67">
            <v>317</v>
          </cell>
          <cell r="K67">
            <v>304489</v>
          </cell>
          <cell r="L67">
            <v>0</v>
          </cell>
          <cell r="M67">
            <v>304638</v>
          </cell>
          <cell r="N67">
            <v>149</v>
          </cell>
          <cell r="O67">
            <v>304882</v>
          </cell>
          <cell r="P67">
            <v>244</v>
          </cell>
          <cell r="Q67">
            <v>305089</v>
          </cell>
          <cell r="R67">
            <v>207</v>
          </cell>
          <cell r="S67">
            <v>305289</v>
          </cell>
          <cell r="T67">
            <v>200</v>
          </cell>
          <cell r="U67">
            <v>305393</v>
          </cell>
          <cell r="V67">
            <v>104</v>
          </cell>
          <cell r="W67">
            <v>305513</v>
          </cell>
          <cell r="X67">
            <v>120</v>
          </cell>
          <cell r="Y67">
            <v>305628</v>
          </cell>
          <cell r="Z67">
            <v>115</v>
          </cell>
          <cell r="AA67">
            <v>305731</v>
          </cell>
          <cell r="AB67">
            <v>103</v>
          </cell>
          <cell r="AC67">
            <v>305970</v>
          </cell>
          <cell r="AD67">
            <v>239</v>
          </cell>
          <cell r="AE67">
            <v>306135</v>
          </cell>
          <cell r="AF67">
            <v>165</v>
          </cell>
          <cell r="AG67">
            <v>306311</v>
          </cell>
          <cell r="AH67">
            <v>176</v>
          </cell>
          <cell r="AI67">
            <v>306549</v>
          </cell>
          <cell r="AJ67">
            <v>238</v>
          </cell>
          <cell r="AK67">
            <v>306684</v>
          </cell>
          <cell r="AL67">
            <v>135</v>
          </cell>
          <cell r="AM67">
            <v>306820</v>
          </cell>
          <cell r="AN67">
            <v>136</v>
          </cell>
          <cell r="AO67">
            <v>307237</v>
          </cell>
          <cell r="AP67">
            <v>417</v>
          </cell>
          <cell r="AQ67">
            <v>307237</v>
          </cell>
          <cell r="AR67">
            <v>0</v>
          </cell>
          <cell r="AS67">
            <v>307452</v>
          </cell>
        </row>
        <row r="68">
          <cell r="G68" t="str">
            <v>10.10.59.202</v>
          </cell>
          <cell r="H68">
            <v>138565</v>
          </cell>
          <cell r="I68">
            <v>138618</v>
          </cell>
          <cell r="J68">
            <v>53</v>
          </cell>
          <cell r="K68">
            <v>138618</v>
          </cell>
          <cell r="L68">
            <v>0</v>
          </cell>
          <cell r="M68">
            <v>138639</v>
          </cell>
          <cell r="N68">
            <v>21</v>
          </cell>
          <cell r="O68">
            <v>138671</v>
          </cell>
          <cell r="P68">
            <v>32</v>
          </cell>
          <cell r="Q68">
            <v>138698</v>
          </cell>
          <cell r="R68">
            <v>27</v>
          </cell>
          <cell r="S68">
            <v>138795</v>
          </cell>
          <cell r="T68">
            <v>97</v>
          </cell>
          <cell r="U68">
            <v>138857</v>
          </cell>
          <cell r="V68">
            <v>62</v>
          </cell>
          <cell r="W68">
            <v>138905</v>
          </cell>
          <cell r="X68">
            <v>48</v>
          </cell>
          <cell r="Y68">
            <v>138930</v>
          </cell>
          <cell r="Z68">
            <v>25</v>
          </cell>
          <cell r="AA68">
            <v>138945</v>
          </cell>
          <cell r="AB68">
            <v>15</v>
          </cell>
          <cell r="AC68">
            <v>138968</v>
          </cell>
          <cell r="AD68">
            <v>23</v>
          </cell>
          <cell r="AE68">
            <v>139036</v>
          </cell>
          <cell r="AF68">
            <v>68</v>
          </cell>
          <cell r="AG68">
            <v>139057</v>
          </cell>
          <cell r="AH68">
            <v>21</v>
          </cell>
          <cell r="AI68">
            <v>139071</v>
          </cell>
          <cell r="AJ68">
            <v>14</v>
          </cell>
          <cell r="AK68">
            <v>139072</v>
          </cell>
          <cell r="AL68">
            <v>1</v>
          </cell>
          <cell r="AM68">
            <v>139094</v>
          </cell>
          <cell r="AN68">
            <v>22</v>
          </cell>
          <cell r="AO68">
            <v>139125</v>
          </cell>
          <cell r="AP68">
            <v>31</v>
          </cell>
          <cell r="AQ68">
            <v>139125</v>
          </cell>
          <cell r="AR68">
            <v>0</v>
          </cell>
          <cell r="AS68">
            <v>139145</v>
          </cell>
        </row>
        <row r="69">
          <cell r="G69" t="str">
            <v>10.10.159.201</v>
          </cell>
          <cell r="H69">
            <v>84935</v>
          </cell>
          <cell r="I69">
            <v>85001</v>
          </cell>
          <cell r="J69">
            <v>66</v>
          </cell>
          <cell r="K69">
            <v>85001</v>
          </cell>
          <cell r="L69">
            <v>0</v>
          </cell>
          <cell r="M69">
            <v>85013</v>
          </cell>
          <cell r="N69">
            <v>12</v>
          </cell>
          <cell r="O69">
            <v>85015</v>
          </cell>
          <cell r="P69">
            <v>2</v>
          </cell>
          <cell r="Q69">
            <v>85030</v>
          </cell>
          <cell r="R69">
            <v>15</v>
          </cell>
          <cell r="S69">
            <v>85073</v>
          </cell>
          <cell r="T69">
            <v>43</v>
          </cell>
          <cell r="U69">
            <v>85083</v>
          </cell>
          <cell r="V69">
            <v>10</v>
          </cell>
          <cell r="W69">
            <v>85119</v>
          </cell>
          <cell r="X69">
            <v>36</v>
          </cell>
          <cell r="Y69">
            <v>85125</v>
          </cell>
          <cell r="Z69">
            <v>6</v>
          </cell>
          <cell r="AA69">
            <v>85128</v>
          </cell>
          <cell r="AB69">
            <v>3</v>
          </cell>
          <cell r="AC69">
            <v>85147</v>
          </cell>
          <cell r="AD69">
            <v>19</v>
          </cell>
          <cell r="AE69">
            <v>85320</v>
          </cell>
          <cell r="AF69">
            <v>173</v>
          </cell>
          <cell r="AG69">
            <v>85324</v>
          </cell>
          <cell r="AH69">
            <v>4</v>
          </cell>
          <cell r="AI69">
            <v>85327</v>
          </cell>
          <cell r="AJ69">
            <v>3</v>
          </cell>
          <cell r="AK69">
            <v>85346</v>
          </cell>
          <cell r="AL69">
            <v>19</v>
          </cell>
          <cell r="AM69">
            <v>85355</v>
          </cell>
          <cell r="AN69">
            <v>9</v>
          </cell>
          <cell r="AO69">
            <v>85422</v>
          </cell>
          <cell r="AP69">
            <v>67</v>
          </cell>
          <cell r="AQ69">
            <v>85422</v>
          </cell>
          <cell r="AR69">
            <v>0</v>
          </cell>
          <cell r="AS69">
            <v>85438</v>
          </cell>
        </row>
        <row r="70">
          <cell r="G70" t="str">
            <v>10.10.252.200</v>
          </cell>
          <cell r="H70">
            <v>285144</v>
          </cell>
          <cell r="I70">
            <v>285360</v>
          </cell>
          <cell r="J70">
            <v>216</v>
          </cell>
          <cell r="K70">
            <v>285360</v>
          </cell>
          <cell r="L70">
            <v>0</v>
          </cell>
          <cell r="M70">
            <v>285551</v>
          </cell>
          <cell r="N70">
            <v>191</v>
          </cell>
          <cell r="O70">
            <v>285614</v>
          </cell>
          <cell r="P70">
            <v>63</v>
          </cell>
          <cell r="Q70">
            <v>285660</v>
          </cell>
          <cell r="R70">
            <v>46</v>
          </cell>
          <cell r="S70">
            <v>285787</v>
          </cell>
          <cell r="T70">
            <v>127</v>
          </cell>
          <cell r="U70">
            <v>285934</v>
          </cell>
          <cell r="V70">
            <v>147</v>
          </cell>
          <cell r="W70">
            <v>286011</v>
          </cell>
          <cell r="X70">
            <v>77</v>
          </cell>
          <cell r="Y70">
            <v>286128</v>
          </cell>
          <cell r="Z70">
            <v>117</v>
          </cell>
          <cell r="AA70">
            <v>286325</v>
          </cell>
          <cell r="AB70">
            <v>197</v>
          </cell>
          <cell r="AC70">
            <v>286576</v>
          </cell>
          <cell r="AD70">
            <v>251</v>
          </cell>
          <cell r="AE70">
            <v>286769</v>
          </cell>
          <cell r="AF70">
            <v>193</v>
          </cell>
          <cell r="AG70">
            <v>286992</v>
          </cell>
          <cell r="AH70">
            <v>223</v>
          </cell>
          <cell r="AI70">
            <v>287290</v>
          </cell>
          <cell r="AJ70">
            <v>298</v>
          </cell>
          <cell r="AK70">
            <v>287506</v>
          </cell>
          <cell r="AL70">
            <v>216</v>
          </cell>
          <cell r="AM70">
            <v>287754</v>
          </cell>
          <cell r="AN70">
            <v>248</v>
          </cell>
          <cell r="AO70">
            <v>288128</v>
          </cell>
          <cell r="AP70">
            <v>374</v>
          </cell>
          <cell r="AQ70">
            <v>288128</v>
          </cell>
          <cell r="AR70">
            <v>0</v>
          </cell>
          <cell r="AS70">
            <v>288343</v>
          </cell>
        </row>
        <row r="71">
          <cell r="G71" t="str">
            <v>10.10.9.200</v>
          </cell>
          <cell r="H71">
            <v>113822</v>
          </cell>
          <cell r="I71">
            <v>113869</v>
          </cell>
          <cell r="J71">
            <v>47</v>
          </cell>
          <cell r="K71">
            <v>113869</v>
          </cell>
          <cell r="L71">
            <v>0</v>
          </cell>
          <cell r="M71">
            <v>113931</v>
          </cell>
          <cell r="N71">
            <v>62</v>
          </cell>
          <cell r="O71">
            <v>113970</v>
          </cell>
          <cell r="P71">
            <v>39</v>
          </cell>
          <cell r="Q71">
            <v>113987</v>
          </cell>
          <cell r="R71">
            <v>17</v>
          </cell>
          <cell r="S71">
            <v>114018</v>
          </cell>
          <cell r="T71">
            <v>31</v>
          </cell>
          <cell r="U71">
            <v>114028</v>
          </cell>
          <cell r="V71">
            <v>10</v>
          </cell>
          <cell r="W71">
            <v>114034</v>
          </cell>
          <cell r="X71">
            <v>6</v>
          </cell>
          <cell r="Y71">
            <v>114079</v>
          </cell>
          <cell r="Z71">
            <v>45</v>
          </cell>
          <cell r="AA71">
            <v>114101</v>
          </cell>
          <cell r="AB71">
            <v>22</v>
          </cell>
          <cell r="AC71">
            <v>114105</v>
          </cell>
          <cell r="AD71">
            <v>4</v>
          </cell>
          <cell r="AE71">
            <v>114141</v>
          </cell>
          <cell r="AF71">
            <v>36</v>
          </cell>
          <cell r="AG71">
            <v>114143</v>
          </cell>
          <cell r="AH71">
            <v>2</v>
          </cell>
          <cell r="AI71">
            <v>114155</v>
          </cell>
          <cell r="AJ71">
            <v>12</v>
          </cell>
          <cell r="AK71">
            <v>114168</v>
          </cell>
          <cell r="AL71">
            <v>13</v>
          </cell>
          <cell r="AM71">
            <v>114169</v>
          </cell>
          <cell r="AN71">
            <v>1</v>
          </cell>
          <cell r="AO71">
            <v>114207</v>
          </cell>
          <cell r="AP71">
            <v>38</v>
          </cell>
          <cell r="AQ71">
            <v>114207</v>
          </cell>
          <cell r="AR71">
            <v>0</v>
          </cell>
          <cell r="AS71">
            <v>114208</v>
          </cell>
        </row>
        <row r="72">
          <cell r="G72" t="str">
            <v>10.10.145.202</v>
          </cell>
          <cell r="H72">
            <v>85823</v>
          </cell>
          <cell r="I72">
            <v>85823</v>
          </cell>
          <cell r="J72">
            <v>0</v>
          </cell>
          <cell r="K72">
            <v>85823</v>
          </cell>
          <cell r="L72">
            <v>0</v>
          </cell>
          <cell r="M72">
            <v>85823</v>
          </cell>
          <cell r="N72">
            <v>0</v>
          </cell>
          <cell r="O72">
            <v>85823</v>
          </cell>
          <cell r="P72">
            <v>0</v>
          </cell>
          <cell r="Q72">
            <v>85823</v>
          </cell>
          <cell r="R72">
            <v>0</v>
          </cell>
          <cell r="S72">
            <v>85823</v>
          </cell>
          <cell r="T72">
            <v>0</v>
          </cell>
          <cell r="U72">
            <v>85823</v>
          </cell>
          <cell r="V72">
            <v>0</v>
          </cell>
          <cell r="W72">
            <v>85823</v>
          </cell>
          <cell r="X72">
            <v>0</v>
          </cell>
          <cell r="Y72">
            <v>85823</v>
          </cell>
          <cell r="Z72">
            <v>0</v>
          </cell>
          <cell r="AA72">
            <v>85823</v>
          </cell>
          <cell r="AB72">
            <v>0</v>
          </cell>
          <cell r="AC72">
            <v>85823</v>
          </cell>
          <cell r="AD72">
            <v>0</v>
          </cell>
          <cell r="AE72">
            <v>85823</v>
          </cell>
          <cell r="AF72">
            <v>0</v>
          </cell>
          <cell r="AG72">
            <v>85823</v>
          </cell>
          <cell r="AH72">
            <v>0</v>
          </cell>
          <cell r="AI72">
            <v>85823</v>
          </cell>
          <cell r="AJ72">
            <v>0</v>
          </cell>
          <cell r="AK72">
            <v>85823</v>
          </cell>
          <cell r="AL72">
            <v>0</v>
          </cell>
          <cell r="AM72">
            <v>85823</v>
          </cell>
          <cell r="AN72">
            <v>0</v>
          </cell>
          <cell r="AO72">
            <v>85823</v>
          </cell>
          <cell r="AP72">
            <v>0</v>
          </cell>
          <cell r="AQ72">
            <v>85823</v>
          </cell>
          <cell r="AR72">
            <v>0</v>
          </cell>
          <cell r="AS72">
            <v>85823</v>
          </cell>
        </row>
        <row r="73">
          <cell r="G73" t="str">
            <v>10.10.142.200</v>
          </cell>
          <cell r="H73">
            <v>314250</v>
          </cell>
          <cell r="I73">
            <v>314488</v>
          </cell>
          <cell r="J73">
            <v>238</v>
          </cell>
          <cell r="K73">
            <v>314488</v>
          </cell>
          <cell r="L73">
            <v>0</v>
          </cell>
          <cell r="M73">
            <v>314556</v>
          </cell>
          <cell r="N73">
            <v>68</v>
          </cell>
          <cell r="O73">
            <v>314693</v>
          </cell>
          <cell r="P73">
            <v>137</v>
          </cell>
          <cell r="Q73">
            <v>314807</v>
          </cell>
          <cell r="R73">
            <v>114</v>
          </cell>
          <cell r="S73">
            <v>314928</v>
          </cell>
          <cell r="T73">
            <v>121</v>
          </cell>
          <cell r="U73">
            <v>315013</v>
          </cell>
          <cell r="V73">
            <v>85</v>
          </cell>
          <cell r="W73">
            <v>315084</v>
          </cell>
          <cell r="X73">
            <v>71</v>
          </cell>
          <cell r="Y73">
            <v>315173</v>
          </cell>
          <cell r="Z73">
            <v>89</v>
          </cell>
          <cell r="AA73">
            <v>315277</v>
          </cell>
          <cell r="AB73">
            <v>104</v>
          </cell>
          <cell r="AC73">
            <v>315411</v>
          </cell>
          <cell r="AD73">
            <v>134</v>
          </cell>
          <cell r="AE73">
            <v>315559</v>
          </cell>
          <cell r="AF73">
            <v>148</v>
          </cell>
          <cell r="AG73">
            <v>315679</v>
          </cell>
          <cell r="AH73">
            <v>120</v>
          </cell>
          <cell r="AI73">
            <v>315821</v>
          </cell>
          <cell r="AJ73">
            <v>142</v>
          </cell>
          <cell r="AK73">
            <v>315943</v>
          </cell>
          <cell r="AL73">
            <v>122</v>
          </cell>
          <cell r="AM73">
            <v>316042</v>
          </cell>
          <cell r="AN73">
            <v>99</v>
          </cell>
          <cell r="AO73">
            <v>316229</v>
          </cell>
          <cell r="AP73">
            <v>187</v>
          </cell>
          <cell r="AQ73">
            <v>316229</v>
          </cell>
          <cell r="AR73">
            <v>0</v>
          </cell>
          <cell r="AS73">
            <v>316374</v>
          </cell>
        </row>
        <row r="74">
          <cell r="G74" t="str">
            <v>10.10.23.200</v>
          </cell>
          <cell r="H74">
            <v>130637</v>
          </cell>
          <cell r="I74">
            <v>130668</v>
          </cell>
          <cell r="J74">
            <v>31</v>
          </cell>
          <cell r="K74">
            <v>130668</v>
          </cell>
          <cell r="L74">
            <v>0</v>
          </cell>
          <cell r="M74">
            <v>130706</v>
          </cell>
          <cell r="N74">
            <v>38</v>
          </cell>
          <cell r="O74">
            <v>130742</v>
          </cell>
          <cell r="P74">
            <v>36</v>
          </cell>
          <cell r="Q74">
            <v>130759</v>
          </cell>
          <cell r="R74">
            <v>17</v>
          </cell>
          <cell r="S74">
            <v>130769</v>
          </cell>
          <cell r="T74">
            <v>10</v>
          </cell>
          <cell r="U74">
            <v>130780</v>
          </cell>
          <cell r="V74">
            <v>11</v>
          </cell>
          <cell r="W74">
            <v>130788</v>
          </cell>
          <cell r="X74">
            <v>8</v>
          </cell>
          <cell r="Y74">
            <v>130818</v>
          </cell>
          <cell r="Z74">
            <v>30</v>
          </cell>
          <cell r="AA74">
            <v>130828</v>
          </cell>
          <cell r="AB74">
            <v>10</v>
          </cell>
          <cell r="AC74">
            <v>130869</v>
          </cell>
          <cell r="AD74">
            <v>41</v>
          </cell>
          <cell r="AE74">
            <v>130872</v>
          </cell>
          <cell r="AF74">
            <v>3</v>
          </cell>
          <cell r="AG74">
            <v>130881</v>
          </cell>
          <cell r="AH74">
            <v>9</v>
          </cell>
          <cell r="AI74">
            <v>130887</v>
          </cell>
          <cell r="AJ74">
            <v>6</v>
          </cell>
          <cell r="AK74">
            <v>130922</v>
          </cell>
          <cell r="AL74">
            <v>35</v>
          </cell>
          <cell r="AM74">
            <v>130954</v>
          </cell>
          <cell r="AN74">
            <v>32</v>
          </cell>
          <cell r="AO74">
            <v>131002</v>
          </cell>
          <cell r="AP74">
            <v>48</v>
          </cell>
          <cell r="AQ74">
            <v>131002</v>
          </cell>
          <cell r="AR74">
            <v>0</v>
          </cell>
          <cell r="AS74">
            <v>131009</v>
          </cell>
        </row>
        <row r="75">
          <cell r="G75" t="str">
            <v>10.10.135.200</v>
          </cell>
          <cell r="H75">
            <v>160617</v>
          </cell>
          <cell r="I75">
            <v>160696</v>
          </cell>
          <cell r="J75">
            <v>79</v>
          </cell>
          <cell r="K75">
            <v>160696</v>
          </cell>
          <cell r="L75">
            <v>0</v>
          </cell>
          <cell r="M75">
            <v>160705</v>
          </cell>
          <cell r="N75">
            <v>9</v>
          </cell>
          <cell r="O75">
            <v>160757</v>
          </cell>
          <cell r="P75">
            <v>52</v>
          </cell>
          <cell r="Q75">
            <v>160765</v>
          </cell>
          <cell r="R75">
            <v>8</v>
          </cell>
          <cell r="S75">
            <v>160773</v>
          </cell>
          <cell r="T75">
            <v>8</v>
          </cell>
          <cell r="U75">
            <v>160777</v>
          </cell>
          <cell r="V75">
            <v>4</v>
          </cell>
          <cell r="W75">
            <v>160786</v>
          </cell>
          <cell r="X75">
            <v>9</v>
          </cell>
          <cell r="Y75">
            <v>160798</v>
          </cell>
          <cell r="Z75">
            <v>12</v>
          </cell>
          <cell r="AA75">
            <v>160808</v>
          </cell>
          <cell r="AB75">
            <v>10</v>
          </cell>
          <cell r="AC75">
            <v>160814</v>
          </cell>
          <cell r="AD75">
            <v>6</v>
          </cell>
          <cell r="AE75">
            <v>160837</v>
          </cell>
          <cell r="AF75">
            <v>23</v>
          </cell>
          <cell r="AG75">
            <v>160850</v>
          </cell>
          <cell r="AH75">
            <v>13</v>
          </cell>
          <cell r="AI75">
            <v>160851</v>
          </cell>
          <cell r="AJ75">
            <v>1</v>
          </cell>
          <cell r="AK75">
            <v>160857</v>
          </cell>
          <cell r="AL75">
            <v>6</v>
          </cell>
          <cell r="AM75">
            <v>160901</v>
          </cell>
          <cell r="AN75">
            <v>44</v>
          </cell>
          <cell r="AO75">
            <v>160952</v>
          </cell>
          <cell r="AP75">
            <v>51</v>
          </cell>
          <cell r="AQ75">
            <v>160952</v>
          </cell>
          <cell r="AR75">
            <v>0</v>
          </cell>
          <cell r="AS75">
            <v>160994</v>
          </cell>
        </row>
        <row r="76">
          <cell r="G76" t="str">
            <v>10.10.171.10</v>
          </cell>
          <cell r="H76">
            <v>171228</v>
          </cell>
          <cell r="I76">
            <v>171643</v>
          </cell>
          <cell r="J76">
            <v>415</v>
          </cell>
          <cell r="K76">
            <v>171643</v>
          </cell>
          <cell r="L76">
            <v>0</v>
          </cell>
          <cell r="M76">
            <v>171708</v>
          </cell>
          <cell r="N76">
            <v>65</v>
          </cell>
          <cell r="O76">
            <v>171768</v>
          </cell>
          <cell r="P76">
            <v>60</v>
          </cell>
          <cell r="Q76">
            <v>171768</v>
          </cell>
          <cell r="R76">
            <v>0</v>
          </cell>
          <cell r="S76">
            <v>171768</v>
          </cell>
          <cell r="T76">
            <v>0</v>
          </cell>
          <cell r="U76">
            <v>171768</v>
          </cell>
          <cell r="V76">
            <v>0</v>
          </cell>
          <cell r="W76">
            <v>171768</v>
          </cell>
          <cell r="X76">
            <v>0</v>
          </cell>
          <cell r="Y76">
            <v>171768</v>
          </cell>
          <cell r="Z76">
            <v>0</v>
          </cell>
          <cell r="AA76">
            <v>171786</v>
          </cell>
          <cell r="AB76">
            <v>18</v>
          </cell>
          <cell r="AC76">
            <v>171806</v>
          </cell>
          <cell r="AD76">
            <v>20</v>
          </cell>
          <cell r="AE76">
            <v>171867</v>
          </cell>
          <cell r="AF76">
            <v>61</v>
          </cell>
          <cell r="AG76">
            <v>171897</v>
          </cell>
          <cell r="AH76">
            <v>30</v>
          </cell>
          <cell r="AI76">
            <v>171939</v>
          </cell>
          <cell r="AJ76">
            <v>42</v>
          </cell>
          <cell r="AK76">
            <v>171992</v>
          </cell>
          <cell r="AL76">
            <v>53</v>
          </cell>
          <cell r="AM76">
            <v>172110</v>
          </cell>
          <cell r="AN76">
            <v>118</v>
          </cell>
          <cell r="AO76">
            <v>172205</v>
          </cell>
          <cell r="AP76">
            <v>95</v>
          </cell>
          <cell r="AQ76">
            <v>172205</v>
          </cell>
          <cell r="AR76">
            <v>0</v>
          </cell>
          <cell r="AS76">
            <v>172278</v>
          </cell>
        </row>
        <row r="77">
          <cell r="G77" t="str">
            <v>10.10.59.201</v>
          </cell>
          <cell r="H77">
            <v>300977</v>
          </cell>
          <cell r="I77">
            <v>300977</v>
          </cell>
          <cell r="J77">
            <v>0</v>
          </cell>
          <cell r="K77">
            <v>300977</v>
          </cell>
          <cell r="L77">
            <v>0</v>
          </cell>
          <cell r="M77">
            <v>300977</v>
          </cell>
          <cell r="N77">
            <v>0</v>
          </cell>
          <cell r="O77">
            <v>300977</v>
          </cell>
          <cell r="P77">
            <v>0</v>
          </cell>
          <cell r="Q77">
            <v>300977</v>
          </cell>
          <cell r="R77">
            <v>0</v>
          </cell>
          <cell r="S77">
            <v>300977</v>
          </cell>
          <cell r="T77">
            <v>0</v>
          </cell>
          <cell r="U77">
            <v>300977</v>
          </cell>
          <cell r="V77">
            <v>0</v>
          </cell>
          <cell r="W77">
            <v>300977</v>
          </cell>
          <cell r="X77">
            <v>0</v>
          </cell>
          <cell r="Y77">
            <v>300977</v>
          </cell>
          <cell r="Z77">
            <v>0</v>
          </cell>
          <cell r="AA77">
            <v>300977</v>
          </cell>
          <cell r="AB77">
            <v>0</v>
          </cell>
          <cell r="AC77">
            <v>300977</v>
          </cell>
          <cell r="AD77">
            <v>0</v>
          </cell>
          <cell r="AE77">
            <v>300977</v>
          </cell>
          <cell r="AF77">
            <v>0</v>
          </cell>
          <cell r="AG77">
            <v>300977</v>
          </cell>
          <cell r="AH77">
            <v>0</v>
          </cell>
          <cell r="AI77">
            <v>300977</v>
          </cell>
          <cell r="AJ77">
            <v>0</v>
          </cell>
          <cell r="AK77">
            <v>300977</v>
          </cell>
          <cell r="AL77">
            <v>0</v>
          </cell>
          <cell r="AM77">
            <v>300977</v>
          </cell>
          <cell r="AN77">
            <v>0</v>
          </cell>
          <cell r="AO77">
            <v>300977</v>
          </cell>
          <cell r="AP77">
            <v>0</v>
          </cell>
          <cell r="AQ77">
            <v>300977</v>
          </cell>
          <cell r="AR77">
            <v>0</v>
          </cell>
          <cell r="AS77">
            <v>300977</v>
          </cell>
        </row>
        <row r="78">
          <cell r="G78" t="str">
            <v>10.10.90.201</v>
          </cell>
          <cell r="H78">
            <v>228976</v>
          </cell>
          <cell r="I78">
            <v>229219</v>
          </cell>
          <cell r="J78">
            <v>243</v>
          </cell>
          <cell r="K78">
            <v>229219</v>
          </cell>
          <cell r="L78">
            <v>0</v>
          </cell>
          <cell r="M78">
            <v>229253</v>
          </cell>
          <cell r="N78">
            <v>34</v>
          </cell>
          <cell r="O78">
            <v>229412</v>
          </cell>
          <cell r="P78">
            <v>159</v>
          </cell>
          <cell r="Q78">
            <v>229453</v>
          </cell>
          <cell r="R78">
            <v>41</v>
          </cell>
          <cell r="S78">
            <v>229604</v>
          </cell>
          <cell r="T78">
            <v>151</v>
          </cell>
          <cell r="U78">
            <v>229763</v>
          </cell>
          <cell r="V78">
            <v>159</v>
          </cell>
          <cell r="W78">
            <v>229910</v>
          </cell>
          <cell r="X78">
            <v>147</v>
          </cell>
          <cell r="Y78">
            <v>229979</v>
          </cell>
          <cell r="Z78">
            <v>69</v>
          </cell>
          <cell r="AA78">
            <v>230009</v>
          </cell>
          <cell r="AB78">
            <v>30</v>
          </cell>
          <cell r="AC78">
            <v>230064</v>
          </cell>
          <cell r="AD78">
            <v>55</v>
          </cell>
          <cell r="AE78">
            <v>230108</v>
          </cell>
          <cell r="AF78">
            <v>44</v>
          </cell>
          <cell r="AG78">
            <v>230165</v>
          </cell>
          <cell r="AH78">
            <v>57</v>
          </cell>
          <cell r="AI78">
            <v>230219</v>
          </cell>
          <cell r="AJ78">
            <v>54</v>
          </cell>
          <cell r="AK78">
            <v>230278</v>
          </cell>
          <cell r="AL78">
            <v>59</v>
          </cell>
          <cell r="AM78">
            <v>230336</v>
          </cell>
          <cell r="AN78">
            <v>58</v>
          </cell>
          <cell r="AO78">
            <v>230481</v>
          </cell>
          <cell r="AP78">
            <v>145</v>
          </cell>
          <cell r="AQ78">
            <v>230481</v>
          </cell>
          <cell r="AR78">
            <v>0</v>
          </cell>
          <cell r="AS78">
            <v>230544</v>
          </cell>
        </row>
        <row r="79">
          <cell r="G79" t="str">
            <v>10.10.63.200</v>
          </cell>
          <cell r="H79">
            <v>149957</v>
          </cell>
          <cell r="I79">
            <v>150083</v>
          </cell>
          <cell r="J79">
            <v>126</v>
          </cell>
          <cell r="K79">
            <v>150083</v>
          </cell>
          <cell r="L79">
            <v>0</v>
          </cell>
          <cell r="M79">
            <v>150217</v>
          </cell>
          <cell r="N79">
            <v>134</v>
          </cell>
          <cell r="O79">
            <v>150273</v>
          </cell>
          <cell r="P79">
            <v>56</v>
          </cell>
          <cell r="Q79">
            <v>150312</v>
          </cell>
          <cell r="R79">
            <v>39</v>
          </cell>
          <cell r="S79">
            <v>150353</v>
          </cell>
          <cell r="T79">
            <v>41</v>
          </cell>
          <cell r="U79">
            <v>150381</v>
          </cell>
          <cell r="V79">
            <v>28</v>
          </cell>
          <cell r="W79">
            <v>150434</v>
          </cell>
          <cell r="X79">
            <v>53</v>
          </cell>
          <cell r="Y79">
            <v>150684</v>
          </cell>
          <cell r="Z79">
            <v>250</v>
          </cell>
          <cell r="AA79">
            <v>150720</v>
          </cell>
          <cell r="AB79">
            <v>36</v>
          </cell>
          <cell r="AC79">
            <v>150741</v>
          </cell>
          <cell r="AD79">
            <v>21</v>
          </cell>
          <cell r="AE79">
            <v>150805</v>
          </cell>
          <cell r="AF79">
            <v>64</v>
          </cell>
          <cell r="AG79">
            <v>150845</v>
          </cell>
          <cell r="AH79">
            <v>40</v>
          </cell>
          <cell r="AI79">
            <v>150913</v>
          </cell>
          <cell r="AJ79">
            <v>68</v>
          </cell>
          <cell r="AK79">
            <v>150943</v>
          </cell>
          <cell r="AL79">
            <v>30</v>
          </cell>
          <cell r="AM79">
            <v>150985</v>
          </cell>
          <cell r="AN79">
            <v>42</v>
          </cell>
          <cell r="AO79">
            <v>151033</v>
          </cell>
          <cell r="AP79">
            <v>48</v>
          </cell>
          <cell r="AQ79">
            <v>151033</v>
          </cell>
          <cell r="AR79">
            <v>0</v>
          </cell>
          <cell r="AS79">
            <v>151060</v>
          </cell>
        </row>
        <row r="80">
          <cell r="G80" t="str">
            <v>10.14.86.202</v>
          </cell>
          <cell r="H80">
            <v>107660</v>
          </cell>
          <cell r="I80">
            <v>107710</v>
          </cell>
          <cell r="J80">
            <v>50</v>
          </cell>
          <cell r="K80">
            <v>107710</v>
          </cell>
          <cell r="L80">
            <v>0</v>
          </cell>
          <cell r="M80">
            <v>107711</v>
          </cell>
          <cell r="N80">
            <v>1</v>
          </cell>
          <cell r="O80">
            <v>107723</v>
          </cell>
          <cell r="P80">
            <v>12</v>
          </cell>
          <cell r="Q80">
            <v>107735</v>
          </cell>
          <cell r="R80">
            <v>12</v>
          </cell>
          <cell r="S80">
            <v>107744</v>
          </cell>
          <cell r="T80">
            <v>9</v>
          </cell>
          <cell r="U80">
            <v>107759</v>
          </cell>
          <cell r="V80">
            <v>15</v>
          </cell>
          <cell r="W80">
            <v>107774</v>
          </cell>
          <cell r="X80">
            <v>15</v>
          </cell>
          <cell r="Y80">
            <v>107785</v>
          </cell>
          <cell r="Z80">
            <v>11</v>
          </cell>
          <cell r="AA80">
            <v>107792</v>
          </cell>
          <cell r="AB80">
            <v>7</v>
          </cell>
          <cell r="AC80">
            <v>107857</v>
          </cell>
          <cell r="AD80">
            <v>65</v>
          </cell>
          <cell r="AE80">
            <v>107874</v>
          </cell>
          <cell r="AF80">
            <v>17</v>
          </cell>
          <cell r="AG80">
            <v>107880</v>
          </cell>
          <cell r="AH80">
            <v>6</v>
          </cell>
          <cell r="AI80">
            <v>107901</v>
          </cell>
          <cell r="AJ80">
            <v>21</v>
          </cell>
          <cell r="AK80">
            <v>107906</v>
          </cell>
          <cell r="AL80">
            <v>5</v>
          </cell>
          <cell r="AM80">
            <v>107910</v>
          </cell>
          <cell r="AN80">
            <v>4</v>
          </cell>
          <cell r="AO80">
            <v>107918</v>
          </cell>
          <cell r="AP80">
            <v>8</v>
          </cell>
          <cell r="AQ80">
            <v>107918</v>
          </cell>
          <cell r="AR80">
            <v>0</v>
          </cell>
          <cell r="AS80">
            <v>107921</v>
          </cell>
        </row>
        <row r="81">
          <cell r="G81" t="str">
            <v>10.10.20.200</v>
          </cell>
          <cell r="H81">
            <v>103866</v>
          </cell>
          <cell r="I81">
            <v>103909</v>
          </cell>
          <cell r="J81">
            <v>43</v>
          </cell>
          <cell r="K81">
            <v>103909</v>
          </cell>
          <cell r="L81">
            <v>0</v>
          </cell>
          <cell r="M81">
            <v>103920</v>
          </cell>
          <cell r="N81">
            <v>11</v>
          </cell>
          <cell r="O81">
            <v>103940</v>
          </cell>
          <cell r="P81">
            <v>20</v>
          </cell>
          <cell r="Q81">
            <v>103940</v>
          </cell>
          <cell r="R81">
            <v>0</v>
          </cell>
          <cell r="S81">
            <v>103963</v>
          </cell>
          <cell r="T81">
            <v>23</v>
          </cell>
          <cell r="U81">
            <v>103976</v>
          </cell>
          <cell r="V81">
            <v>13</v>
          </cell>
          <cell r="W81">
            <v>103978</v>
          </cell>
          <cell r="X81">
            <v>2</v>
          </cell>
          <cell r="Y81">
            <v>103993</v>
          </cell>
          <cell r="Z81">
            <v>15</v>
          </cell>
          <cell r="AA81">
            <v>104004</v>
          </cell>
          <cell r="AB81">
            <v>11</v>
          </cell>
          <cell r="AC81">
            <v>104026</v>
          </cell>
          <cell r="AD81">
            <v>22</v>
          </cell>
          <cell r="AE81">
            <v>104041</v>
          </cell>
          <cell r="AF81">
            <v>15</v>
          </cell>
          <cell r="AG81">
            <v>104059</v>
          </cell>
          <cell r="AH81">
            <v>18</v>
          </cell>
          <cell r="AI81">
            <v>104078</v>
          </cell>
          <cell r="AJ81">
            <v>19</v>
          </cell>
          <cell r="AK81">
            <v>104088</v>
          </cell>
          <cell r="AL81">
            <v>10</v>
          </cell>
          <cell r="AM81">
            <v>104111</v>
          </cell>
          <cell r="AN81">
            <v>23</v>
          </cell>
          <cell r="AO81">
            <v>104143</v>
          </cell>
          <cell r="AP81">
            <v>32</v>
          </cell>
          <cell r="AQ81">
            <v>104143</v>
          </cell>
          <cell r="AR81">
            <v>0</v>
          </cell>
          <cell r="AS81">
            <v>104172</v>
          </cell>
        </row>
        <row r="82">
          <cell r="G82" t="str">
            <v>10.10.10.201</v>
          </cell>
          <cell r="H82">
            <v>103669</v>
          </cell>
          <cell r="I82">
            <v>103835</v>
          </cell>
          <cell r="J82">
            <v>166</v>
          </cell>
          <cell r="K82">
            <v>103835</v>
          </cell>
          <cell r="L82">
            <v>0</v>
          </cell>
          <cell r="M82">
            <v>103899</v>
          </cell>
          <cell r="N82">
            <v>64</v>
          </cell>
          <cell r="O82">
            <v>104035</v>
          </cell>
          <cell r="P82">
            <v>136</v>
          </cell>
          <cell r="Q82">
            <v>104042</v>
          </cell>
          <cell r="R82">
            <v>7</v>
          </cell>
          <cell r="S82">
            <v>104064</v>
          </cell>
          <cell r="T82">
            <v>22</v>
          </cell>
          <cell r="U82">
            <v>104079</v>
          </cell>
          <cell r="V82">
            <v>15</v>
          </cell>
          <cell r="W82">
            <v>104093</v>
          </cell>
          <cell r="X82">
            <v>14</v>
          </cell>
          <cell r="Y82">
            <v>104105</v>
          </cell>
          <cell r="Z82">
            <v>12</v>
          </cell>
          <cell r="AA82">
            <v>104119</v>
          </cell>
          <cell r="AB82">
            <v>14</v>
          </cell>
          <cell r="AC82">
            <v>104127</v>
          </cell>
          <cell r="AD82">
            <v>8</v>
          </cell>
          <cell r="AE82">
            <v>104152</v>
          </cell>
          <cell r="AF82">
            <v>25</v>
          </cell>
          <cell r="AG82">
            <v>104162</v>
          </cell>
          <cell r="AH82">
            <v>10</v>
          </cell>
          <cell r="AI82">
            <v>104172</v>
          </cell>
          <cell r="AJ82">
            <v>10</v>
          </cell>
          <cell r="AK82">
            <v>104183</v>
          </cell>
          <cell r="AL82">
            <v>11</v>
          </cell>
          <cell r="AM82">
            <v>104191</v>
          </cell>
          <cell r="AN82">
            <v>8</v>
          </cell>
          <cell r="AO82">
            <v>104207</v>
          </cell>
          <cell r="AP82">
            <v>16</v>
          </cell>
          <cell r="AQ82">
            <v>104207</v>
          </cell>
          <cell r="AR82">
            <v>0</v>
          </cell>
          <cell r="AS82">
            <v>104251</v>
          </cell>
        </row>
        <row r="83">
          <cell r="G83" t="str">
            <v>10.10.150.201</v>
          </cell>
          <cell r="H83">
            <v>67809</v>
          </cell>
          <cell r="I83">
            <v>67881</v>
          </cell>
          <cell r="J83">
            <v>72</v>
          </cell>
          <cell r="K83">
            <v>67881</v>
          </cell>
          <cell r="L83">
            <v>0</v>
          </cell>
          <cell r="M83">
            <v>67924</v>
          </cell>
          <cell r="N83">
            <v>43</v>
          </cell>
          <cell r="O83">
            <v>67966</v>
          </cell>
          <cell r="P83">
            <v>42</v>
          </cell>
          <cell r="Q83">
            <v>67988</v>
          </cell>
          <cell r="R83">
            <v>22</v>
          </cell>
          <cell r="S83">
            <v>68021</v>
          </cell>
          <cell r="T83">
            <v>33</v>
          </cell>
          <cell r="U83">
            <v>68053</v>
          </cell>
          <cell r="V83">
            <v>32</v>
          </cell>
          <cell r="W83">
            <v>68090</v>
          </cell>
          <cell r="X83">
            <v>37</v>
          </cell>
          <cell r="Y83">
            <v>68149</v>
          </cell>
          <cell r="Z83">
            <v>59</v>
          </cell>
          <cell r="AA83">
            <v>68167</v>
          </cell>
          <cell r="AB83">
            <v>18</v>
          </cell>
          <cell r="AC83">
            <v>68222</v>
          </cell>
          <cell r="AD83">
            <v>55</v>
          </cell>
          <cell r="AE83">
            <v>68282</v>
          </cell>
          <cell r="AF83">
            <v>60</v>
          </cell>
          <cell r="AG83">
            <v>68384</v>
          </cell>
          <cell r="AH83">
            <v>102</v>
          </cell>
          <cell r="AI83">
            <v>68404</v>
          </cell>
          <cell r="AJ83">
            <v>20</v>
          </cell>
          <cell r="AK83">
            <v>68418</v>
          </cell>
          <cell r="AL83">
            <v>14</v>
          </cell>
          <cell r="AM83">
            <v>68442</v>
          </cell>
          <cell r="AN83">
            <v>24</v>
          </cell>
          <cell r="AO83">
            <v>68568</v>
          </cell>
          <cell r="AP83">
            <v>126</v>
          </cell>
          <cell r="AQ83">
            <v>68568</v>
          </cell>
          <cell r="AR83">
            <v>0</v>
          </cell>
          <cell r="AS83">
            <v>68600</v>
          </cell>
        </row>
        <row r="84">
          <cell r="G84" t="str">
            <v>10.14.19.202</v>
          </cell>
          <cell r="H84">
            <v>139962</v>
          </cell>
          <cell r="I84">
            <v>139980</v>
          </cell>
          <cell r="J84">
            <v>18</v>
          </cell>
          <cell r="K84">
            <v>139980</v>
          </cell>
          <cell r="L84">
            <v>0</v>
          </cell>
          <cell r="M84">
            <v>139981</v>
          </cell>
          <cell r="N84">
            <v>1</v>
          </cell>
          <cell r="O84">
            <v>139993</v>
          </cell>
          <cell r="P84">
            <v>12</v>
          </cell>
          <cell r="Q84">
            <v>140003</v>
          </cell>
          <cell r="R84">
            <v>10</v>
          </cell>
          <cell r="S84">
            <v>140015</v>
          </cell>
          <cell r="T84">
            <v>12</v>
          </cell>
          <cell r="U84">
            <v>140021</v>
          </cell>
          <cell r="V84">
            <v>6</v>
          </cell>
          <cell r="W84">
            <v>140069</v>
          </cell>
          <cell r="X84">
            <v>48</v>
          </cell>
          <cell r="Y84">
            <v>140094</v>
          </cell>
          <cell r="Z84">
            <v>25</v>
          </cell>
          <cell r="AA84">
            <v>140119</v>
          </cell>
          <cell r="AB84">
            <v>25</v>
          </cell>
          <cell r="AC84">
            <v>140171</v>
          </cell>
          <cell r="AD84">
            <v>52</v>
          </cell>
          <cell r="AE84">
            <v>140243</v>
          </cell>
          <cell r="AF84">
            <v>72</v>
          </cell>
          <cell r="AG84">
            <v>140279</v>
          </cell>
          <cell r="AH84">
            <v>36</v>
          </cell>
          <cell r="AI84">
            <v>140318</v>
          </cell>
          <cell r="AJ84">
            <v>39</v>
          </cell>
          <cell r="AK84">
            <v>140329</v>
          </cell>
          <cell r="AL84">
            <v>11</v>
          </cell>
          <cell r="AM84">
            <v>140349</v>
          </cell>
          <cell r="AN84">
            <v>20</v>
          </cell>
          <cell r="AO84">
            <v>140446</v>
          </cell>
          <cell r="AP84">
            <v>97</v>
          </cell>
          <cell r="AQ84">
            <v>140446</v>
          </cell>
          <cell r="AR84">
            <v>0</v>
          </cell>
          <cell r="AS84">
            <v>140485</v>
          </cell>
        </row>
        <row r="85">
          <cell r="G85" t="str">
            <v>10.10.206.207</v>
          </cell>
          <cell r="H85">
            <v>252087</v>
          </cell>
          <cell r="I85">
            <v>252212</v>
          </cell>
          <cell r="J85">
            <v>125</v>
          </cell>
          <cell r="K85">
            <v>252212</v>
          </cell>
          <cell r="L85">
            <v>0</v>
          </cell>
          <cell r="M85">
            <v>252278</v>
          </cell>
          <cell r="N85">
            <v>66</v>
          </cell>
          <cell r="O85">
            <v>252413</v>
          </cell>
          <cell r="P85">
            <v>135</v>
          </cell>
          <cell r="Q85">
            <v>252491</v>
          </cell>
          <cell r="R85">
            <v>78</v>
          </cell>
          <cell r="S85">
            <v>252577</v>
          </cell>
          <cell r="T85">
            <v>86</v>
          </cell>
          <cell r="U85">
            <v>252673</v>
          </cell>
          <cell r="V85">
            <v>96</v>
          </cell>
          <cell r="W85">
            <v>252714</v>
          </cell>
          <cell r="X85">
            <v>41</v>
          </cell>
          <cell r="Y85">
            <v>252772</v>
          </cell>
          <cell r="Z85">
            <v>58</v>
          </cell>
          <cell r="AA85">
            <v>252915</v>
          </cell>
          <cell r="AB85">
            <v>143</v>
          </cell>
          <cell r="AC85">
            <v>253018</v>
          </cell>
          <cell r="AD85">
            <v>103</v>
          </cell>
          <cell r="AE85">
            <v>253183</v>
          </cell>
          <cell r="AF85">
            <v>165</v>
          </cell>
          <cell r="AG85">
            <v>253272</v>
          </cell>
          <cell r="AH85">
            <v>89</v>
          </cell>
          <cell r="AI85">
            <v>253354</v>
          </cell>
          <cell r="AJ85">
            <v>82</v>
          </cell>
          <cell r="AK85">
            <v>253496</v>
          </cell>
          <cell r="AL85">
            <v>142</v>
          </cell>
          <cell r="AM85">
            <v>253592</v>
          </cell>
          <cell r="AN85">
            <v>96</v>
          </cell>
          <cell r="AO85">
            <v>253852</v>
          </cell>
          <cell r="AP85">
            <v>260</v>
          </cell>
          <cell r="AQ85">
            <v>253852</v>
          </cell>
          <cell r="AR85">
            <v>0</v>
          </cell>
          <cell r="AS85">
            <v>253903</v>
          </cell>
        </row>
        <row r="86">
          <cell r="G86" t="str">
            <v>10.10.45.200</v>
          </cell>
          <cell r="H86">
            <v>221770</v>
          </cell>
          <cell r="I86">
            <v>221961</v>
          </cell>
          <cell r="J86">
            <v>191</v>
          </cell>
          <cell r="K86">
            <v>221961</v>
          </cell>
          <cell r="L86">
            <v>0</v>
          </cell>
          <cell r="M86">
            <v>222048</v>
          </cell>
          <cell r="N86">
            <v>87</v>
          </cell>
          <cell r="O86">
            <v>222161</v>
          </cell>
          <cell r="P86">
            <v>113</v>
          </cell>
          <cell r="Q86">
            <v>222247</v>
          </cell>
          <cell r="R86">
            <v>86</v>
          </cell>
          <cell r="S86">
            <v>222322</v>
          </cell>
          <cell r="T86">
            <v>75</v>
          </cell>
          <cell r="U86">
            <v>222455</v>
          </cell>
          <cell r="V86">
            <v>133</v>
          </cell>
          <cell r="W86">
            <v>222519</v>
          </cell>
          <cell r="X86">
            <v>64</v>
          </cell>
          <cell r="Y86">
            <v>222633</v>
          </cell>
          <cell r="Z86">
            <v>114</v>
          </cell>
          <cell r="AA86">
            <v>222717</v>
          </cell>
          <cell r="AB86">
            <v>84</v>
          </cell>
          <cell r="AC86">
            <v>222821</v>
          </cell>
          <cell r="AD86">
            <v>104</v>
          </cell>
          <cell r="AE86">
            <v>222965</v>
          </cell>
          <cell r="AF86">
            <v>144</v>
          </cell>
          <cell r="AG86">
            <v>223109</v>
          </cell>
          <cell r="AH86">
            <v>144</v>
          </cell>
          <cell r="AI86">
            <v>223217</v>
          </cell>
          <cell r="AJ86">
            <v>108</v>
          </cell>
          <cell r="AK86">
            <v>223318</v>
          </cell>
          <cell r="AL86">
            <v>101</v>
          </cell>
          <cell r="AM86">
            <v>223440</v>
          </cell>
          <cell r="AN86">
            <v>122</v>
          </cell>
          <cell r="AO86">
            <v>223617</v>
          </cell>
          <cell r="AP86">
            <v>177</v>
          </cell>
          <cell r="AQ86">
            <v>223617</v>
          </cell>
          <cell r="AR86">
            <v>0</v>
          </cell>
          <cell r="AS86">
            <v>223727</v>
          </cell>
        </row>
        <row r="87">
          <cell r="G87" t="str">
            <v>10.10.165.203</v>
          </cell>
          <cell r="H87">
            <v>84030</v>
          </cell>
          <cell r="I87">
            <v>84216</v>
          </cell>
          <cell r="J87">
            <v>186</v>
          </cell>
          <cell r="K87">
            <v>84216</v>
          </cell>
          <cell r="L87">
            <v>0</v>
          </cell>
          <cell r="M87">
            <v>84274</v>
          </cell>
          <cell r="N87">
            <v>58</v>
          </cell>
          <cell r="O87">
            <v>84317</v>
          </cell>
          <cell r="P87">
            <v>43</v>
          </cell>
          <cell r="Q87">
            <v>84516</v>
          </cell>
          <cell r="R87">
            <v>199</v>
          </cell>
          <cell r="S87">
            <v>84596</v>
          </cell>
          <cell r="T87">
            <v>80</v>
          </cell>
          <cell r="U87">
            <v>84675</v>
          </cell>
          <cell r="V87">
            <v>79</v>
          </cell>
          <cell r="W87">
            <v>84726</v>
          </cell>
          <cell r="X87">
            <v>51</v>
          </cell>
          <cell r="Y87">
            <v>84802</v>
          </cell>
          <cell r="Z87">
            <v>76</v>
          </cell>
          <cell r="AA87">
            <v>84830</v>
          </cell>
          <cell r="AB87">
            <v>28</v>
          </cell>
          <cell r="AC87">
            <v>84929</v>
          </cell>
          <cell r="AD87">
            <v>99</v>
          </cell>
          <cell r="AE87">
            <v>84988</v>
          </cell>
          <cell r="AF87">
            <v>59</v>
          </cell>
          <cell r="AG87">
            <v>85123</v>
          </cell>
          <cell r="AH87">
            <v>135</v>
          </cell>
          <cell r="AI87">
            <v>85297</v>
          </cell>
          <cell r="AJ87">
            <v>174</v>
          </cell>
          <cell r="AK87">
            <v>85392</v>
          </cell>
          <cell r="AL87">
            <v>95</v>
          </cell>
          <cell r="AM87">
            <v>85495</v>
          </cell>
          <cell r="AN87">
            <v>103</v>
          </cell>
          <cell r="AO87">
            <v>85863</v>
          </cell>
          <cell r="AP87">
            <v>368</v>
          </cell>
          <cell r="AQ87">
            <v>85863</v>
          </cell>
          <cell r="AR87">
            <v>0</v>
          </cell>
          <cell r="AS87">
            <v>85892</v>
          </cell>
        </row>
        <row r="88">
          <cell r="G88" t="str">
            <v>10.11.7.201</v>
          </cell>
          <cell r="H88">
            <v>74005</v>
          </cell>
          <cell r="I88">
            <v>74025</v>
          </cell>
          <cell r="J88">
            <v>20</v>
          </cell>
          <cell r="K88">
            <v>74025</v>
          </cell>
          <cell r="L88">
            <v>0</v>
          </cell>
          <cell r="M88">
            <v>74049</v>
          </cell>
          <cell r="N88">
            <v>24</v>
          </cell>
          <cell r="O88">
            <v>74068</v>
          </cell>
          <cell r="P88">
            <v>19</v>
          </cell>
          <cell r="Q88">
            <v>74096</v>
          </cell>
          <cell r="R88">
            <v>28</v>
          </cell>
          <cell r="S88">
            <v>74183</v>
          </cell>
          <cell r="T88">
            <v>87</v>
          </cell>
          <cell r="U88">
            <v>74241</v>
          </cell>
          <cell r="V88">
            <v>58</v>
          </cell>
          <cell r="W88">
            <v>74241</v>
          </cell>
          <cell r="X88">
            <v>0</v>
          </cell>
          <cell r="Y88">
            <v>74241</v>
          </cell>
          <cell r="Z88">
            <v>0</v>
          </cell>
          <cell r="AA88">
            <v>74241</v>
          </cell>
          <cell r="AB88">
            <v>0</v>
          </cell>
          <cell r="AC88">
            <v>74332</v>
          </cell>
          <cell r="AD88">
            <v>91</v>
          </cell>
          <cell r="AE88">
            <v>74496</v>
          </cell>
          <cell r="AF88">
            <v>164</v>
          </cell>
          <cell r="AG88">
            <v>74506</v>
          </cell>
          <cell r="AH88">
            <v>10</v>
          </cell>
          <cell r="AI88">
            <v>74511</v>
          </cell>
          <cell r="AJ88">
            <v>5</v>
          </cell>
          <cell r="AK88">
            <v>74577</v>
          </cell>
          <cell r="AL88">
            <v>66</v>
          </cell>
          <cell r="AM88">
            <v>74608</v>
          </cell>
          <cell r="AN88">
            <v>31</v>
          </cell>
          <cell r="AO88">
            <v>74673</v>
          </cell>
          <cell r="AP88">
            <v>65</v>
          </cell>
          <cell r="AQ88">
            <v>74673</v>
          </cell>
          <cell r="AR88">
            <v>0</v>
          </cell>
          <cell r="AS88">
            <v>74709</v>
          </cell>
        </row>
        <row r="89">
          <cell r="G89" t="str">
            <v>10.10.20.201</v>
          </cell>
          <cell r="H89">
            <v>26298</v>
          </cell>
          <cell r="I89">
            <v>26393</v>
          </cell>
          <cell r="J89">
            <v>95</v>
          </cell>
          <cell r="K89">
            <v>26393</v>
          </cell>
          <cell r="L89">
            <v>0</v>
          </cell>
          <cell r="M89">
            <v>26468</v>
          </cell>
          <cell r="N89">
            <v>75</v>
          </cell>
          <cell r="O89">
            <v>26505</v>
          </cell>
          <cell r="P89">
            <v>37</v>
          </cell>
          <cell r="Q89">
            <v>26531</v>
          </cell>
          <cell r="R89">
            <v>26</v>
          </cell>
          <cell r="S89">
            <v>26565</v>
          </cell>
          <cell r="T89">
            <v>34</v>
          </cell>
          <cell r="U89">
            <v>26586</v>
          </cell>
          <cell r="V89">
            <v>21</v>
          </cell>
          <cell r="W89">
            <v>26616</v>
          </cell>
          <cell r="X89">
            <v>30</v>
          </cell>
          <cell r="Y89">
            <v>26659</v>
          </cell>
          <cell r="Z89">
            <v>43</v>
          </cell>
          <cell r="AA89">
            <v>26745</v>
          </cell>
          <cell r="AB89">
            <v>86</v>
          </cell>
          <cell r="AC89">
            <v>26853</v>
          </cell>
          <cell r="AD89">
            <v>108</v>
          </cell>
          <cell r="AE89">
            <v>26912</v>
          </cell>
          <cell r="AF89">
            <v>59</v>
          </cell>
          <cell r="AG89">
            <v>27064</v>
          </cell>
          <cell r="AH89">
            <v>152</v>
          </cell>
          <cell r="AI89">
            <v>27167</v>
          </cell>
          <cell r="AJ89">
            <v>103</v>
          </cell>
          <cell r="AK89">
            <v>27268</v>
          </cell>
          <cell r="AL89">
            <v>101</v>
          </cell>
          <cell r="AM89">
            <v>27391</v>
          </cell>
          <cell r="AN89">
            <v>123</v>
          </cell>
          <cell r="AO89">
            <v>27648</v>
          </cell>
          <cell r="AP89">
            <v>257</v>
          </cell>
          <cell r="AQ89">
            <v>27648</v>
          </cell>
          <cell r="AR89">
            <v>0</v>
          </cell>
          <cell r="AS89">
            <v>27696</v>
          </cell>
        </row>
        <row r="90">
          <cell r="G90" t="str">
            <v>10.10.171.206</v>
          </cell>
          <cell r="H90">
            <v>1196424</v>
          </cell>
          <cell r="I90">
            <v>1197498</v>
          </cell>
          <cell r="J90">
            <v>1074</v>
          </cell>
          <cell r="K90">
            <v>1197498</v>
          </cell>
          <cell r="L90">
            <v>0</v>
          </cell>
          <cell r="M90">
            <v>1198070</v>
          </cell>
          <cell r="N90">
            <v>572</v>
          </cell>
          <cell r="O90">
            <v>1198932</v>
          </cell>
          <cell r="P90">
            <v>862</v>
          </cell>
          <cell r="Q90">
            <v>1199540</v>
          </cell>
          <cell r="R90">
            <v>608</v>
          </cell>
          <cell r="S90">
            <v>1200124</v>
          </cell>
          <cell r="T90">
            <v>584</v>
          </cell>
          <cell r="U90">
            <v>1200631</v>
          </cell>
          <cell r="V90">
            <v>507</v>
          </cell>
          <cell r="W90">
            <v>1201156</v>
          </cell>
          <cell r="X90">
            <v>525</v>
          </cell>
          <cell r="Y90">
            <v>1201953</v>
          </cell>
          <cell r="Z90">
            <v>797</v>
          </cell>
          <cell r="AA90">
            <v>1202640</v>
          </cell>
          <cell r="AB90">
            <v>687</v>
          </cell>
          <cell r="AC90">
            <v>1203248</v>
          </cell>
          <cell r="AD90">
            <v>608</v>
          </cell>
          <cell r="AE90">
            <v>1203904</v>
          </cell>
          <cell r="AF90">
            <v>656</v>
          </cell>
          <cell r="AG90">
            <v>1204441</v>
          </cell>
          <cell r="AH90">
            <v>537</v>
          </cell>
          <cell r="AI90">
            <v>1204972</v>
          </cell>
          <cell r="AJ90">
            <v>531</v>
          </cell>
          <cell r="AK90">
            <v>1205647</v>
          </cell>
          <cell r="AL90">
            <v>675</v>
          </cell>
          <cell r="AM90">
            <v>1206297</v>
          </cell>
          <cell r="AN90">
            <v>650</v>
          </cell>
          <cell r="AO90">
            <v>1207109</v>
          </cell>
          <cell r="AP90">
            <v>812</v>
          </cell>
          <cell r="AQ90">
            <v>1207708</v>
          </cell>
          <cell r="AR90">
            <v>599</v>
          </cell>
          <cell r="AS90">
            <v>1208456</v>
          </cell>
        </row>
        <row r="91">
          <cell r="G91" t="str">
            <v>10.10.162.200</v>
          </cell>
          <cell r="H91">
            <v>451737</v>
          </cell>
          <cell r="I91">
            <v>452324</v>
          </cell>
          <cell r="J91">
            <v>587</v>
          </cell>
          <cell r="K91">
            <v>452324</v>
          </cell>
          <cell r="L91">
            <v>0</v>
          </cell>
          <cell r="M91">
            <v>452639</v>
          </cell>
          <cell r="N91">
            <v>315</v>
          </cell>
          <cell r="O91">
            <v>453018</v>
          </cell>
          <cell r="P91">
            <v>379</v>
          </cell>
          <cell r="Q91">
            <v>453320</v>
          </cell>
          <cell r="R91">
            <v>302</v>
          </cell>
          <cell r="S91">
            <v>453838</v>
          </cell>
          <cell r="T91">
            <v>518</v>
          </cell>
          <cell r="U91">
            <v>454140</v>
          </cell>
          <cell r="V91">
            <v>302</v>
          </cell>
          <cell r="W91">
            <v>454563</v>
          </cell>
          <cell r="X91">
            <v>423</v>
          </cell>
          <cell r="Y91">
            <v>454946</v>
          </cell>
          <cell r="Z91">
            <v>383</v>
          </cell>
          <cell r="AA91">
            <v>455333</v>
          </cell>
          <cell r="AB91">
            <v>387</v>
          </cell>
          <cell r="AC91">
            <v>455793</v>
          </cell>
          <cell r="AD91">
            <v>460</v>
          </cell>
          <cell r="AE91">
            <v>456116</v>
          </cell>
          <cell r="AF91">
            <v>323</v>
          </cell>
          <cell r="AG91">
            <v>456508</v>
          </cell>
          <cell r="AH91">
            <v>392</v>
          </cell>
          <cell r="AI91">
            <v>456719</v>
          </cell>
          <cell r="AJ91">
            <v>211</v>
          </cell>
          <cell r="AK91">
            <v>457048</v>
          </cell>
          <cell r="AL91">
            <v>329</v>
          </cell>
          <cell r="AM91">
            <v>457367</v>
          </cell>
          <cell r="AN91">
            <v>319</v>
          </cell>
          <cell r="AO91">
            <v>458087</v>
          </cell>
          <cell r="AP91">
            <v>720</v>
          </cell>
          <cell r="AQ91">
            <v>458087</v>
          </cell>
          <cell r="AR91">
            <v>0</v>
          </cell>
          <cell r="AS91">
            <v>458476</v>
          </cell>
        </row>
        <row r="92">
          <cell r="G92" t="str">
            <v>10.10.57.201</v>
          </cell>
          <cell r="H92">
            <v>698584</v>
          </cell>
          <cell r="I92">
            <v>699238</v>
          </cell>
          <cell r="J92">
            <v>654</v>
          </cell>
          <cell r="K92">
            <v>699238</v>
          </cell>
          <cell r="L92">
            <v>0</v>
          </cell>
          <cell r="M92">
            <v>699547</v>
          </cell>
          <cell r="N92">
            <v>309</v>
          </cell>
          <cell r="O92">
            <v>699770</v>
          </cell>
          <cell r="P92">
            <v>223</v>
          </cell>
          <cell r="Q92">
            <v>700033</v>
          </cell>
          <cell r="R92">
            <v>263</v>
          </cell>
          <cell r="S92">
            <v>700259</v>
          </cell>
          <cell r="T92">
            <v>226</v>
          </cell>
          <cell r="U92">
            <v>700493</v>
          </cell>
          <cell r="V92">
            <v>234</v>
          </cell>
          <cell r="W92">
            <v>700676</v>
          </cell>
          <cell r="X92">
            <v>183</v>
          </cell>
          <cell r="Y92">
            <v>700953</v>
          </cell>
          <cell r="Z92">
            <v>277</v>
          </cell>
          <cell r="AA92">
            <v>701215</v>
          </cell>
          <cell r="AB92">
            <v>262</v>
          </cell>
          <cell r="AC92">
            <v>701492</v>
          </cell>
          <cell r="AD92">
            <v>277</v>
          </cell>
          <cell r="AE92">
            <v>701817</v>
          </cell>
          <cell r="AF92">
            <v>325</v>
          </cell>
          <cell r="AG92">
            <v>702108</v>
          </cell>
          <cell r="AH92">
            <v>291</v>
          </cell>
          <cell r="AI92">
            <v>702403</v>
          </cell>
          <cell r="AJ92">
            <v>295</v>
          </cell>
          <cell r="AK92">
            <v>702695</v>
          </cell>
          <cell r="AL92">
            <v>292</v>
          </cell>
          <cell r="AM92">
            <v>703080</v>
          </cell>
          <cell r="AN92">
            <v>385</v>
          </cell>
          <cell r="AO92">
            <v>703537</v>
          </cell>
          <cell r="AP92">
            <v>457</v>
          </cell>
          <cell r="AQ92">
            <v>703537</v>
          </cell>
          <cell r="AR92">
            <v>0</v>
          </cell>
          <cell r="AS92">
            <v>703888</v>
          </cell>
        </row>
        <row r="93">
          <cell r="G93" t="str">
            <v>10.10.67.200</v>
          </cell>
          <cell r="H93">
            <v>828645</v>
          </cell>
          <cell r="I93">
            <v>828994</v>
          </cell>
          <cell r="J93">
            <v>349</v>
          </cell>
          <cell r="K93">
            <v>828994</v>
          </cell>
          <cell r="L93">
            <v>0</v>
          </cell>
          <cell r="M93">
            <v>829149</v>
          </cell>
          <cell r="N93">
            <v>155</v>
          </cell>
          <cell r="O93">
            <v>829349</v>
          </cell>
          <cell r="P93">
            <v>200</v>
          </cell>
          <cell r="Q93">
            <v>829468</v>
          </cell>
          <cell r="R93">
            <v>119</v>
          </cell>
          <cell r="S93">
            <v>829567</v>
          </cell>
          <cell r="T93">
            <v>99</v>
          </cell>
          <cell r="U93">
            <v>829725</v>
          </cell>
          <cell r="V93">
            <v>158</v>
          </cell>
          <cell r="W93">
            <v>829904</v>
          </cell>
          <cell r="X93">
            <v>179</v>
          </cell>
          <cell r="Y93">
            <v>830028</v>
          </cell>
          <cell r="Z93">
            <v>124</v>
          </cell>
          <cell r="AA93">
            <v>830225</v>
          </cell>
          <cell r="AB93">
            <v>197</v>
          </cell>
          <cell r="AC93">
            <v>830521</v>
          </cell>
          <cell r="AD93">
            <v>296</v>
          </cell>
          <cell r="AE93">
            <v>830665</v>
          </cell>
          <cell r="AF93">
            <v>144</v>
          </cell>
          <cell r="AG93">
            <v>830811</v>
          </cell>
          <cell r="AH93">
            <v>146</v>
          </cell>
          <cell r="AI93">
            <v>830962</v>
          </cell>
          <cell r="AJ93">
            <v>151</v>
          </cell>
          <cell r="AK93">
            <v>831115</v>
          </cell>
          <cell r="AL93">
            <v>153</v>
          </cell>
          <cell r="AM93">
            <v>831305</v>
          </cell>
          <cell r="AN93">
            <v>190</v>
          </cell>
          <cell r="AO93">
            <v>831642</v>
          </cell>
          <cell r="AP93">
            <v>337</v>
          </cell>
          <cell r="AQ93">
            <v>831642</v>
          </cell>
          <cell r="AR93">
            <v>0</v>
          </cell>
          <cell r="AS93">
            <v>831766</v>
          </cell>
        </row>
        <row r="94">
          <cell r="G94" t="str">
            <v>10.10.80.200</v>
          </cell>
          <cell r="H94">
            <v>806016</v>
          </cell>
          <cell r="I94">
            <v>806618</v>
          </cell>
          <cell r="J94">
            <v>602</v>
          </cell>
          <cell r="K94">
            <v>806618</v>
          </cell>
          <cell r="L94">
            <v>0</v>
          </cell>
          <cell r="M94">
            <v>806920</v>
          </cell>
          <cell r="N94">
            <v>302</v>
          </cell>
          <cell r="O94">
            <v>807252</v>
          </cell>
          <cell r="P94">
            <v>332</v>
          </cell>
          <cell r="Q94">
            <v>807542</v>
          </cell>
          <cell r="R94">
            <v>290</v>
          </cell>
          <cell r="S94">
            <v>807981</v>
          </cell>
          <cell r="T94">
            <v>439</v>
          </cell>
          <cell r="U94">
            <v>808369</v>
          </cell>
          <cell r="V94">
            <v>388</v>
          </cell>
          <cell r="W94">
            <v>808710</v>
          </cell>
          <cell r="X94">
            <v>341</v>
          </cell>
          <cell r="Y94">
            <v>809051</v>
          </cell>
          <cell r="Z94">
            <v>341</v>
          </cell>
          <cell r="AA94">
            <v>809500</v>
          </cell>
          <cell r="AB94">
            <v>449</v>
          </cell>
          <cell r="AC94">
            <v>809981</v>
          </cell>
          <cell r="AD94">
            <v>481</v>
          </cell>
          <cell r="AE94">
            <v>810460</v>
          </cell>
          <cell r="AF94">
            <v>479</v>
          </cell>
          <cell r="AG94">
            <v>810926</v>
          </cell>
          <cell r="AH94">
            <v>466</v>
          </cell>
          <cell r="AI94">
            <v>811496</v>
          </cell>
          <cell r="AJ94">
            <v>570</v>
          </cell>
          <cell r="AK94">
            <v>811919</v>
          </cell>
          <cell r="AL94">
            <v>423</v>
          </cell>
          <cell r="AM94">
            <v>812465</v>
          </cell>
          <cell r="AN94">
            <v>546</v>
          </cell>
          <cell r="AO94">
            <v>812882</v>
          </cell>
          <cell r="AP94">
            <v>417</v>
          </cell>
          <cell r="AQ94">
            <v>812882</v>
          </cell>
          <cell r="AR94">
            <v>0</v>
          </cell>
          <cell r="AS94">
            <v>813306</v>
          </cell>
        </row>
        <row r="95">
          <cell r="G95" t="str">
            <v>10.14.90.200</v>
          </cell>
          <cell r="H95">
            <v>710116</v>
          </cell>
          <cell r="I95">
            <v>710382</v>
          </cell>
          <cell r="J95">
            <v>266</v>
          </cell>
          <cell r="K95">
            <v>710382</v>
          </cell>
          <cell r="L95">
            <v>0</v>
          </cell>
          <cell r="M95">
            <v>710547</v>
          </cell>
          <cell r="N95">
            <v>165</v>
          </cell>
          <cell r="O95">
            <v>710638</v>
          </cell>
          <cell r="P95">
            <v>91</v>
          </cell>
          <cell r="Q95">
            <v>710742</v>
          </cell>
          <cell r="R95">
            <v>104</v>
          </cell>
          <cell r="S95">
            <v>710853</v>
          </cell>
          <cell r="T95">
            <v>111</v>
          </cell>
          <cell r="U95">
            <v>710923</v>
          </cell>
          <cell r="V95">
            <v>70</v>
          </cell>
          <cell r="W95">
            <v>711029</v>
          </cell>
          <cell r="X95">
            <v>106</v>
          </cell>
          <cell r="Y95">
            <v>711298</v>
          </cell>
          <cell r="Z95">
            <v>269</v>
          </cell>
          <cell r="AA95">
            <v>711498</v>
          </cell>
          <cell r="AB95">
            <v>200</v>
          </cell>
          <cell r="AC95">
            <v>711679</v>
          </cell>
          <cell r="AD95">
            <v>181</v>
          </cell>
          <cell r="AE95">
            <v>711838</v>
          </cell>
          <cell r="AF95">
            <v>159</v>
          </cell>
          <cell r="AG95">
            <v>711922</v>
          </cell>
          <cell r="AH95">
            <v>84</v>
          </cell>
          <cell r="AI95">
            <v>712040</v>
          </cell>
          <cell r="AJ95">
            <v>118</v>
          </cell>
          <cell r="AK95">
            <v>712165</v>
          </cell>
          <cell r="AL95">
            <v>125</v>
          </cell>
          <cell r="AM95">
            <v>712295</v>
          </cell>
          <cell r="AN95">
            <v>130</v>
          </cell>
          <cell r="AO95">
            <v>712659</v>
          </cell>
          <cell r="AP95">
            <v>364</v>
          </cell>
          <cell r="AQ95">
            <v>712659</v>
          </cell>
          <cell r="AR95">
            <v>0</v>
          </cell>
          <cell r="AS95">
            <v>712813</v>
          </cell>
        </row>
        <row r="96">
          <cell r="G96" t="str">
            <v>10.10.41.200</v>
          </cell>
          <cell r="H96">
            <v>74858</v>
          </cell>
          <cell r="I96">
            <v>74953</v>
          </cell>
          <cell r="J96">
            <v>95</v>
          </cell>
          <cell r="K96">
            <v>74953</v>
          </cell>
          <cell r="L96">
            <v>0</v>
          </cell>
          <cell r="M96">
            <v>75017</v>
          </cell>
          <cell r="N96">
            <v>64</v>
          </cell>
          <cell r="O96">
            <v>75051</v>
          </cell>
          <cell r="P96">
            <v>34</v>
          </cell>
          <cell r="Q96">
            <v>75063</v>
          </cell>
          <cell r="R96">
            <v>12</v>
          </cell>
          <cell r="S96">
            <v>75072</v>
          </cell>
          <cell r="T96">
            <v>9</v>
          </cell>
          <cell r="U96">
            <v>75079</v>
          </cell>
          <cell r="V96">
            <v>7</v>
          </cell>
          <cell r="W96">
            <v>75098</v>
          </cell>
          <cell r="X96">
            <v>19</v>
          </cell>
          <cell r="Y96">
            <v>75126</v>
          </cell>
          <cell r="Z96">
            <v>28</v>
          </cell>
          <cell r="AA96">
            <v>75155</v>
          </cell>
          <cell r="AB96">
            <v>29</v>
          </cell>
          <cell r="AC96">
            <v>75172</v>
          </cell>
          <cell r="AD96">
            <v>17</v>
          </cell>
          <cell r="AE96">
            <v>75193</v>
          </cell>
          <cell r="AF96">
            <v>21</v>
          </cell>
          <cell r="AG96">
            <v>75201</v>
          </cell>
          <cell r="AH96">
            <v>8</v>
          </cell>
          <cell r="AI96">
            <v>75214</v>
          </cell>
          <cell r="AJ96">
            <v>13</v>
          </cell>
          <cell r="AK96">
            <v>75224</v>
          </cell>
          <cell r="AL96">
            <v>10</v>
          </cell>
          <cell r="AM96">
            <v>75235</v>
          </cell>
          <cell r="AN96">
            <v>11</v>
          </cell>
          <cell r="AO96">
            <v>75278</v>
          </cell>
          <cell r="AP96">
            <v>43</v>
          </cell>
          <cell r="AQ96">
            <v>75278</v>
          </cell>
          <cell r="AR96">
            <v>0</v>
          </cell>
          <cell r="AS96">
            <v>75280</v>
          </cell>
        </row>
        <row r="97">
          <cell r="G97" t="str">
            <v>10.14.9.201</v>
          </cell>
          <cell r="H97">
            <v>854993</v>
          </cell>
          <cell r="I97">
            <v>855561</v>
          </cell>
          <cell r="J97">
            <v>568</v>
          </cell>
          <cell r="K97">
            <v>855561</v>
          </cell>
          <cell r="L97">
            <v>0</v>
          </cell>
          <cell r="M97">
            <v>855833</v>
          </cell>
          <cell r="N97">
            <v>272</v>
          </cell>
          <cell r="O97">
            <v>856082</v>
          </cell>
          <cell r="P97">
            <v>249</v>
          </cell>
          <cell r="Q97">
            <v>856431</v>
          </cell>
          <cell r="R97">
            <v>349</v>
          </cell>
          <cell r="S97">
            <v>856687</v>
          </cell>
          <cell r="T97">
            <v>256</v>
          </cell>
          <cell r="U97">
            <v>856980</v>
          </cell>
          <cell r="V97">
            <v>293</v>
          </cell>
          <cell r="W97">
            <v>857094</v>
          </cell>
          <cell r="X97">
            <v>114</v>
          </cell>
          <cell r="Y97">
            <v>857407</v>
          </cell>
          <cell r="Z97">
            <v>313</v>
          </cell>
          <cell r="AA97">
            <v>857603</v>
          </cell>
          <cell r="AB97">
            <v>196</v>
          </cell>
          <cell r="AC97">
            <v>858110</v>
          </cell>
          <cell r="AD97">
            <v>507</v>
          </cell>
          <cell r="AE97">
            <v>858355</v>
          </cell>
          <cell r="AF97">
            <v>245</v>
          </cell>
          <cell r="AG97">
            <v>858664</v>
          </cell>
          <cell r="AH97">
            <v>309</v>
          </cell>
          <cell r="AI97">
            <v>858955</v>
          </cell>
          <cell r="AJ97">
            <v>291</v>
          </cell>
          <cell r="AK97">
            <v>859171</v>
          </cell>
          <cell r="AL97">
            <v>216</v>
          </cell>
          <cell r="AM97">
            <v>859434</v>
          </cell>
          <cell r="AN97">
            <v>263</v>
          </cell>
          <cell r="AO97">
            <v>859952</v>
          </cell>
          <cell r="AP97">
            <v>518</v>
          </cell>
          <cell r="AQ97">
            <v>859952</v>
          </cell>
          <cell r="AR97">
            <v>0</v>
          </cell>
          <cell r="AS97">
            <v>860174</v>
          </cell>
        </row>
        <row r="98">
          <cell r="G98" t="str">
            <v>10.10.180.210</v>
          </cell>
          <cell r="H98">
            <v>519583</v>
          </cell>
          <cell r="I98">
            <v>519594</v>
          </cell>
          <cell r="J98">
            <v>11</v>
          </cell>
          <cell r="K98">
            <v>519594</v>
          </cell>
          <cell r="L98">
            <v>0</v>
          </cell>
          <cell r="M98">
            <v>519601</v>
          </cell>
          <cell r="N98">
            <v>7</v>
          </cell>
          <cell r="O98">
            <v>519605</v>
          </cell>
          <cell r="P98">
            <v>4</v>
          </cell>
          <cell r="Q98">
            <v>519616</v>
          </cell>
          <cell r="R98">
            <v>11</v>
          </cell>
          <cell r="S98">
            <v>519683</v>
          </cell>
          <cell r="T98">
            <v>67</v>
          </cell>
          <cell r="U98">
            <v>519742</v>
          </cell>
          <cell r="V98">
            <v>59</v>
          </cell>
          <cell r="W98">
            <v>519759</v>
          </cell>
          <cell r="X98">
            <v>17</v>
          </cell>
          <cell r="Y98">
            <v>519812</v>
          </cell>
          <cell r="Z98">
            <v>53</v>
          </cell>
          <cell r="AA98">
            <v>519821</v>
          </cell>
          <cell r="AB98">
            <v>9</v>
          </cell>
          <cell r="AC98">
            <v>519833</v>
          </cell>
          <cell r="AD98">
            <v>12</v>
          </cell>
          <cell r="AE98">
            <v>519853</v>
          </cell>
          <cell r="AF98">
            <v>20</v>
          </cell>
          <cell r="AG98">
            <v>519856</v>
          </cell>
          <cell r="AH98">
            <v>3</v>
          </cell>
          <cell r="AI98">
            <v>519874</v>
          </cell>
          <cell r="AJ98">
            <v>18</v>
          </cell>
          <cell r="AK98">
            <v>519894</v>
          </cell>
          <cell r="AL98">
            <v>20</v>
          </cell>
          <cell r="AM98">
            <v>519909</v>
          </cell>
          <cell r="AN98">
            <v>15</v>
          </cell>
          <cell r="AO98">
            <v>519926</v>
          </cell>
          <cell r="AP98">
            <v>17</v>
          </cell>
          <cell r="AQ98">
            <v>519926</v>
          </cell>
          <cell r="AR98">
            <v>0</v>
          </cell>
          <cell r="AS98">
            <v>519929</v>
          </cell>
        </row>
        <row r="99">
          <cell r="G99" t="str">
            <v>10.10.125.201</v>
          </cell>
          <cell r="H99">
            <v>882400</v>
          </cell>
          <cell r="I99">
            <v>882842</v>
          </cell>
          <cell r="J99">
            <v>442</v>
          </cell>
          <cell r="K99">
            <v>882842</v>
          </cell>
          <cell r="L99">
            <v>0</v>
          </cell>
          <cell r="M99">
            <v>883014</v>
          </cell>
          <cell r="N99">
            <v>172</v>
          </cell>
          <cell r="O99">
            <v>883287</v>
          </cell>
          <cell r="P99">
            <v>273</v>
          </cell>
          <cell r="Q99">
            <v>883422</v>
          </cell>
          <cell r="R99">
            <v>135</v>
          </cell>
          <cell r="S99">
            <v>883594</v>
          </cell>
          <cell r="T99">
            <v>172</v>
          </cell>
          <cell r="U99">
            <v>883841</v>
          </cell>
          <cell r="V99">
            <v>247</v>
          </cell>
          <cell r="W99">
            <v>883982</v>
          </cell>
          <cell r="X99">
            <v>141</v>
          </cell>
          <cell r="Y99">
            <v>884083</v>
          </cell>
          <cell r="Z99">
            <v>101</v>
          </cell>
          <cell r="AA99">
            <v>884223</v>
          </cell>
          <cell r="AB99">
            <v>140</v>
          </cell>
          <cell r="AC99">
            <v>884469</v>
          </cell>
          <cell r="AD99">
            <v>246</v>
          </cell>
          <cell r="AE99">
            <v>884678</v>
          </cell>
          <cell r="AF99">
            <v>209</v>
          </cell>
          <cell r="AG99">
            <v>884896</v>
          </cell>
          <cell r="AH99">
            <v>218</v>
          </cell>
          <cell r="AI99">
            <v>885145</v>
          </cell>
          <cell r="AJ99">
            <v>249</v>
          </cell>
          <cell r="AK99">
            <v>885274</v>
          </cell>
          <cell r="AL99">
            <v>129</v>
          </cell>
          <cell r="AM99">
            <v>885500</v>
          </cell>
          <cell r="AN99">
            <v>226</v>
          </cell>
          <cell r="AO99">
            <v>885892</v>
          </cell>
          <cell r="AP99">
            <v>392</v>
          </cell>
          <cell r="AQ99">
            <v>885892</v>
          </cell>
          <cell r="AR99">
            <v>0</v>
          </cell>
          <cell r="AS99">
            <v>886065</v>
          </cell>
        </row>
        <row r="100">
          <cell r="G100" t="str">
            <v>10.10.65.200</v>
          </cell>
          <cell r="H100">
            <v>812401</v>
          </cell>
          <cell r="I100">
            <v>812603</v>
          </cell>
          <cell r="J100">
            <v>202</v>
          </cell>
          <cell r="K100">
            <v>812603</v>
          </cell>
          <cell r="L100">
            <v>0</v>
          </cell>
          <cell r="M100">
            <v>812688</v>
          </cell>
          <cell r="N100">
            <v>85</v>
          </cell>
          <cell r="O100">
            <v>812838</v>
          </cell>
          <cell r="P100">
            <v>150</v>
          </cell>
          <cell r="Q100">
            <v>813103</v>
          </cell>
          <cell r="R100">
            <v>265</v>
          </cell>
          <cell r="S100">
            <v>813349</v>
          </cell>
          <cell r="T100">
            <v>246</v>
          </cell>
          <cell r="U100">
            <v>813652</v>
          </cell>
          <cell r="V100">
            <v>303</v>
          </cell>
          <cell r="W100">
            <v>813877</v>
          </cell>
          <cell r="X100">
            <v>225</v>
          </cell>
          <cell r="Y100">
            <v>814084</v>
          </cell>
          <cell r="Z100">
            <v>207</v>
          </cell>
          <cell r="AA100">
            <v>814279</v>
          </cell>
          <cell r="AB100">
            <v>195</v>
          </cell>
          <cell r="AC100">
            <v>814441</v>
          </cell>
          <cell r="AD100">
            <v>162</v>
          </cell>
          <cell r="AE100">
            <v>814668</v>
          </cell>
          <cell r="AF100">
            <v>227</v>
          </cell>
          <cell r="AG100">
            <v>814874</v>
          </cell>
          <cell r="AH100">
            <v>206</v>
          </cell>
          <cell r="AI100">
            <v>815152</v>
          </cell>
          <cell r="AJ100">
            <v>278</v>
          </cell>
          <cell r="AK100">
            <v>815315</v>
          </cell>
          <cell r="AL100">
            <v>163</v>
          </cell>
          <cell r="AM100">
            <v>815579</v>
          </cell>
          <cell r="AN100">
            <v>264</v>
          </cell>
          <cell r="AO100">
            <v>815942</v>
          </cell>
          <cell r="AP100">
            <v>363</v>
          </cell>
          <cell r="AQ100">
            <v>815942</v>
          </cell>
          <cell r="AR100">
            <v>0</v>
          </cell>
          <cell r="AS100">
            <v>816169</v>
          </cell>
        </row>
        <row r="101">
          <cell r="G101" t="str">
            <v>10.14.7.201</v>
          </cell>
          <cell r="H101">
            <v>843094</v>
          </cell>
          <cell r="I101">
            <v>843465</v>
          </cell>
          <cell r="J101">
            <v>371</v>
          </cell>
          <cell r="K101">
            <v>843465</v>
          </cell>
          <cell r="L101">
            <v>0</v>
          </cell>
          <cell r="M101">
            <v>843656</v>
          </cell>
          <cell r="N101">
            <v>191</v>
          </cell>
          <cell r="O101">
            <v>843812</v>
          </cell>
          <cell r="P101">
            <v>156</v>
          </cell>
          <cell r="Q101">
            <v>843942</v>
          </cell>
          <cell r="R101">
            <v>130</v>
          </cell>
          <cell r="S101">
            <v>844103</v>
          </cell>
          <cell r="T101">
            <v>161</v>
          </cell>
          <cell r="U101">
            <v>844376</v>
          </cell>
          <cell r="V101">
            <v>273</v>
          </cell>
          <cell r="W101">
            <v>844604</v>
          </cell>
          <cell r="X101">
            <v>228</v>
          </cell>
          <cell r="Y101">
            <v>844829</v>
          </cell>
          <cell r="Z101">
            <v>225</v>
          </cell>
          <cell r="AA101">
            <v>845030</v>
          </cell>
          <cell r="AB101">
            <v>201</v>
          </cell>
          <cell r="AC101">
            <v>845230</v>
          </cell>
          <cell r="AD101">
            <v>200</v>
          </cell>
          <cell r="AE101">
            <v>845361</v>
          </cell>
          <cell r="AF101">
            <v>131</v>
          </cell>
          <cell r="AG101">
            <v>845545</v>
          </cell>
          <cell r="AH101">
            <v>184</v>
          </cell>
          <cell r="AI101">
            <v>845703</v>
          </cell>
          <cell r="AJ101">
            <v>158</v>
          </cell>
          <cell r="AK101">
            <v>845856</v>
          </cell>
          <cell r="AL101">
            <v>153</v>
          </cell>
          <cell r="AM101">
            <v>846080</v>
          </cell>
          <cell r="AN101">
            <v>224</v>
          </cell>
          <cell r="AO101">
            <v>846400</v>
          </cell>
          <cell r="AP101">
            <v>320</v>
          </cell>
          <cell r="AQ101">
            <v>846400</v>
          </cell>
          <cell r="AR101">
            <v>0</v>
          </cell>
          <cell r="AS101">
            <v>846570</v>
          </cell>
        </row>
        <row r="102">
          <cell r="G102" t="str">
            <v>10.10.158.200</v>
          </cell>
          <cell r="H102">
            <v>496522</v>
          </cell>
          <cell r="I102">
            <v>496884</v>
          </cell>
          <cell r="J102">
            <v>362</v>
          </cell>
          <cell r="K102">
            <v>496884</v>
          </cell>
          <cell r="L102">
            <v>0</v>
          </cell>
          <cell r="M102">
            <v>497104</v>
          </cell>
          <cell r="N102">
            <v>220</v>
          </cell>
          <cell r="O102">
            <v>497201</v>
          </cell>
          <cell r="P102">
            <v>97</v>
          </cell>
          <cell r="Q102">
            <v>497404</v>
          </cell>
          <cell r="R102">
            <v>203</v>
          </cell>
          <cell r="S102">
            <v>497547</v>
          </cell>
          <cell r="T102">
            <v>143</v>
          </cell>
          <cell r="U102">
            <v>497728</v>
          </cell>
          <cell r="V102">
            <v>181</v>
          </cell>
          <cell r="W102">
            <v>497993</v>
          </cell>
          <cell r="X102">
            <v>265</v>
          </cell>
          <cell r="Y102">
            <v>498146</v>
          </cell>
          <cell r="Z102">
            <v>153</v>
          </cell>
          <cell r="AA102">
            <v>498342</v>
          </cell>
          <cell r="AB102">
            <v>196</v>
          </cell>
          <cell r="AC102">
            <v>498641</v>
          </cell>
          <cell r="AD102">
            <v>299</v>
          </cell>
          <cell r="AE102">
            <v>498758</v>
          </cell>
          <cell r="AF102">
            <v>117</v>
          </cell>
          <cell r="AG102">
            <v>498937</v>
          </cell>
          <cell r="AH102">
            <v>179</v>
          </cell>
          <cell r="AI102">
            <v>499037</v>
          </cell>
          <cell r="AJ102">
            <v>100</v>
          </cell>
          <cell r="AK102">
            <v>499246</v>
          </cell>
          <cell r="AL102">
            <v>209</v>
          </cell>
          <cell r="AM102">
            <v>499391</v>
          </cell>
          <cell r="AN102">
            <v>145</v>
          </cell>
          <cell r="AO102">
            <v>499703</v>
          </cell>
          <cell r="AP102">
            <v>312</v>
          </cell>
          <cell r="AQ102">
            <v>499703</v>
          </cell>
          <cell r="AR102">
            <v>0</v>
          </cell>
          <cell r="AS102">
            <v>499904</v>
          </cell>
        </row>
        <row r="103">
          <cell r="G103" t="str">
            <v>10.11.9.203</v>
          </cell>
          <cell r="H103">
            <v>836362</v>
          </cell>
          <cell r="I103">
            <v>837613</v>
          </cell>
          <cell r="J103">
            <v>1251</v>
          </cell>
          <cell r="K103">
            <v>837613</v>
          </cell>
          <cell r="L103">
            <v>0</v>
          </cell>
          <cell r="M103">
            <v>838132</v>
          </cell>
          <cell r="N103">
            <v>519</v>
          </cell>
          <cell r="O103">
            <v>838620</v>
          </cell>
          <cell r="P103">
            <v>488</v>
          </cell>
          <cell r="Q103">
            <v>839152</v>
          </cell>
          <cell r="R103">
            <v>532</v>
          </cell>
          <cell r="S103">
            <v>839546</v>
          </cell>
          <cell r="T103">
            <v>394</v>
          </cell>
          <cell r="U103">
            <v>839933</v>
          </cell>
          <cell r="V103">
            <v>387</v>
          </cell>
          <cell r="W103">
            <v>840343</v>
          </cell>
          <cell r="X103">
            <v>410</v>
          </cell>
          <cell r="Y103">
            <v>840700</v>
          </cell>
          <cell r="Z103">
            <v>357</v>
          </cell>
          <cell r="AA103">
            <v>841113</v>
          </cell>
          <cell r="AB103">
            <v>413</v>
          </cell>
          <cell r="AC103">
            <v>841504</v>
          </cell>
          <cell r="AD103">
            <v>391</v>
          </cell>
          <cell r="AE103">
            <v>841949</v>
          </cell>
          <cell r="AF103">
            <v>445</v>
          </cell>
          <cell r="AG103">
            <v>842568</v>
          </cell>
          <cell r="AH103">
            <v>619</v>
          </cell>
          <cell r="AI103">
            <v>843072</v>
          </cell>
          <cell r="AJ103">
            <v>504</v>
          </cell>
          <cell r="AK103">
            <v>843756</v>
          </cell>
          <cell r="AL103">
            <v>684</v>
          </cell>
          <cell r="AM103">
            <v>844347</v>
          </cell>
          <cell r="AN103">
            <v>591</v>
          </cell>
          <cell r="AO103">
            <v>845239</v>
          </cell>
          <cell r="AP103">
            <v>892</v>
          </cell>
          <cell r="AQ103">
            <v>845239</v>
          </cell>
          <cell r="AR103">
            <v>0</v>
          </cell>
          <cell r="AS103">
            <v>845750</v>
          </cell>
        </row>
        <row r="104">
          <cell r="G104" t="str">
            <v>10.10.171.14</v>
          </cell>
          <cell r="H104">
            <v>330944</v>
          </cell>
          <cell r="I104">
            <v>331060</v>
          </cell>
          <cell r="J104">
            <v>116</v>
          </cell>
          <cell r="K104">
            <v>331060</v>
          </cell>
          <cell r="L104">
            <v>0</v>
          </cell>
          <cell r="M104">
            <v>331290</v>
          </cell>
          <cell r="N104">
            <v>230</v>
          </cell>
          <cell r="O104">
            <v>331334</v>
          </cell>
          <cell r="P104">
            <v>44</v>
          </cell>
          <cell r="Q104">
            <v>331439</v>
          </cell>
          <cell r="R104">
            <v>105</v>
          </cell>
          <cell r="S104">
            <v>331512</v>
          </cell>
          <cell r="T104">
            <v>73</v>
          </cell>
          <cell r="U104">
            <v>331605</v>
          </cell>
          <cell r="V104">
            <v>93</v>
          </cell>
          <cell r="W104">
            <v>331696</v>
          </cell>
          <cell r="X104">
            <v>91</v>
          </cell>
          <cell r="Y104">
            <v>331816</v>
          </cell>
          <cell r="Z104">
            <v>120</v>
          </cell>
          <cell r="AA104">
            <v>331920</v>
          </cell>
          <cell r="AB104">
            <v>104</v>
          </cell>
          <cell r="AC104">
            <v>331953</v>
          </cell>
          <cell r="AD104">
            <v>33</v>
          </cell>
          <cell r="AE104">
            <v>332048</v>
          </cell>
          <cell r="AF104">
            <v>95</v>
          </cell>
          <cell r="AG104">
            <v>332116</v>
          </cell>
          <cell r="AH104">
            <v>68</v>
          </cell>
          <cell r="AI104">
            <v>332157</v>
          </cell>
          <cell r="AJ104">
            <v>41</v>
          </cell>
          <cell r="AK104">
            <v>332197</v>
          </cell>
          <cell r="AL104">
            <v>40</v>
          </cell>
          <cell r="AM104">
            <v>332279</v>
          </cell>
          <cell r="AN104">
            <v>82</v>
          </cell>
          <cell r="AO104">
            <v>332473</v>
          </cell>
          <cell r="AP104">
            <v>194</v>
          </cell>
          <cell r="AQ104">
            <v>332473</v>
          </cell>
          <cell r="AR104">
            <v>0</v>
          </cell>
          <cell r="AS104">
            <v>332564</v>
          </cell>
        </row>
        <row r="105">
          <cell r="G105" t="str">
            <v>10.11.25.201</v>
          </cell>
          <cell r="H105">
            <v>723823</v>
          </cell>
          <cell r="I105">
            <v>724448</v>
          </cell>
          <cell r="J105">
            <v>625</v>
          </cell>
          <cell r="K105">
            <v>724448</v>
          </cell>
          <cell r="L105">
            <v>0</v>
          </cell>
          <cell r="M105">
            <v>724834</v>
          </cell>
          <cell r="N105">
            <v>386</v>
          </cell>
          <cell r="O105">
            <v>725165</v>
          </cell>
          <cell r="P105">
            <v>331</v>
          </cell>
          <cell r="Q105">
            <v>725591</v>
          </cell>
          <cell r="R105">
            <v>426</v>
          </cell>
          <cell r="S105">
            <v>726090</v>
          </cell>
          <cell r="T105">
            <v>499</v>
          </cell>
          <cell r="U105">
            <v>726474</v>
          </cell>
          <cell r="V105">
            <v>384</v>
          </cell>
          <cell r="W105">
            <v>726809</v>
          </cell>
          <cell r="X105">
            <v>335</v>
          </cell>
          <cell r="Y105">
            <v>727177</v>
          </cell>
          <cell r="Z105">
            <v>368</v>
          </cell>
          <cell r="AA105">
            <v>727564</v>
          </cell>
          <cell r="AB105">
            <v>387</v>
          </cell>
          <cell r="AC105">
            <v>727917</v>
          </cell>
          <cell r="AD105">
            <v>353</v>
          </cell>
          <cell r="AE105">
            <v>728238</v>
          </cell>
          <cell r="AF105">
            <v>321</v>
          </cell>
          <cell r="AG105">
            <v>728615</v>
          </cell>
          <cell r="AH105">
            <v>377</v>
          </cell>
          <cell r="AI105">
            <v>728940</v>
          </cell>
          <cell r="AJ105">
            <v>325</v>
          </cell>
          <cell r="AK105">
            <v>729237</v>
          </cell>
          <cell r="AL105">
            <v>297</v>
          </cell>
          <cell r="AM105">
            <v>729524</v>
          </cell>
          <cell r="AN105">
            <v>287</v>
          </cell>
          <cell r="AO105">
            <v>730243</v>
          </cell>
          <cell r="AP105">
            <v>719</v>
          </cell>
          <cell r="AQ105">
            <v>730243</v>
          </cell>
          <cell r="AR105">
            <v>0</v>
          </cell>
          <cell r="AS105">
            <v>730612</v>
          </cell>
        </row>
        <row r="106">
          <cell r="G106" t="str">
            <v>10.10.138.200</v>
          </cell>
          <cell r="H106">
            <v>743595</v>
          </cell>
          <cell r="I106">
            <v>744066</v>
          </cell>
          <cell r="J106">
            <v>471</v>
          </cell>
          <cell r="K106">
            <v>744066</v>
          </cell>
          <cell r="L106">
            <v>0</v>
          </cell>
          <cell r="M106">
            <v>744350</v>
          </cell>
          <cell r="N106">
            <v>284</v>
          </cell>
          <cell r="O106">
            <v>744524</v>
          </cell>
          <cell r="P106">
            <v>174</v>
          </cell>
          <cell r="Q106">
            <v>744793</v>
          </cell>
          <cell r="R106">
            <v>269</v>
          </cell>
          <cell r="S106">
            <v>744793</v>
          </cell>
          <cell r="T106">
            <v>0</v>
          </cell>
          <cell r="U106">
            <v>744844</v>
          </cell>
          <cell r="V106">
            <v>51</v>
          </cell>
          <cell r="W106">
            <v>745144</v>
          </cell>
          <cell r="X106">
            <v>300</v>
          </cell>
          <cell r="Y106">
            <v>745456</v>
          </cell>
          <cell r="Z106">
            <v>312</v>
          </cell>
          <cell r="AA106">
            <v>745671</v>
          </cell>
          <cell r="AB106">
            <v>215</v>
          </cell>
          <cell r="AC106">
            <v>745887</v>
          </cell>
          <cell r="AD106">
            <v>216</v>
          </cell>
          <cell r="AE106">
            <v>746115</v>
          </cell>
          <cell r="AF106">
            <v>228</v>
          </cell>
          <cell r="AG106">
            <v>746372</v>
          </cell>
          <cell r="AH106">
            <v>257</v>
          </cell>
          <cell r="AI106">
            <v>746632</v>
          </cell>
          <cell r="AJ106">
            <v>260</v>
          </cell>
          <cell r="AK106">
            <v>746934</v>
          </cell>
          <cell r="AL106">
            <v>302</v>
          </cell>
          <cell r="AM106">
            <v>747366</v>
          </cell>
          <cell r="AN106">
            <v>432</v>
          </cell>
          <cell r="AO106">
            <v>747976</v>
          </cell>
          <cell r="AP106">
            <v>610</v>
          </cell>
          <cell r="AQ106">
            <v>747976</v>
          </cell>
          <cell r="AR106">
            <v>0</v>
          </cell>
          <cell r="AS106">
            <v>748394</v>
          </cell>
        </row>
        <row r="107">
          <cell r="G107" t="str">
            <v>10.10.222.202</v>
          </cell>
          <cell r="H107">
            <v>657929</v>
          </cell>
          <cell r="I107">
            <v>658750</v>
          </cell>
          <cell r="J107">
            <v>821</v>
          </cell>
          <cell r="K107">
            <v>658750</v>
          </cell>
          <cell r="L107">
            <v>0</v>
          </cell>
          <cell r="M107">
            <v>659231</v>
          </cell>
          <cell r="N107">
            <v>481</v>
          </cell>
          <cell r="O107">
            <v>659688</v>
          </cell>
          <cell r="P107">
            <v>457</v>
          </cell>
          <cell r="Q107">
            <v>660073</v>
          </cell>
          <cell r="R107">
            <v>385</v>
          </cell>
          <cell r="S107">
            <v>660441</v>
          </cell>
          <cell r="T107">
            <v>368</v>
          </cell>
          <cell r="U107">
            <v>660815</v>
          </cell>
          <cell r="V107">
            <v>374</v>
          </cell>
          <cell r="W107">
            <v>661322</v>
          </cell>
          <cell r="X107">
            <v>507</v>
          </cell>
          <cell r="Y107">
            <v>661518</v>
          </cell>
          <cell r="Z107">
            <v>196</v>
          </cell>
          <cell r="AA107">
            <v>661973</v>
          </cell>
          <cell r="AB107">
            <v>455</v>
          </cell>
          <cell r="AC107">
            <v>662484</v>
          </cell>
          <cell r="AD107">
            <v>511</v>
          </cell>
          <cell r="AE107">
            <v>662896</v>
          </cell>
          <cell r="AF107">
            <v>412</v>
          </cell>
          <cell r="AG107">
            <v>663330</v>
          </cell>
          <cell r="AH107">
            <v>434</v>
          </cell>
          <cell r="AI107">
            <v>663729</v>
          </cell>
          <cell r="AJ107">
            <v>399</v>
          </cell>
          <cell r="AK107">
            <v>664164</v>
          </cell>
          <cell r="AL107">
            <v>435</v>
          </cell>
          <cell r="AM107">
            <v>664550</v>
          </cell>
          <cell r="AN107">
            <v>386</v>
          </cell>
          <cell r="AO107">
            <v>665279</v>
          </cell>
          <cell r="AP107">
            <v>729</v>
          </cell>
          <cell r="AQ107">
            <v>665279</v>
          </cell>
          <cell r="AR107">
            <v>0</v>
          </cell>
          <cell r="AS107">
            <v>665484</v>
          </cell>
        </row>
        <row r="108">
          <cell r="G108" t="str">
            <v>10.11.3.202</v>
          </cell>
          <cell r="H108">
            <v>748728</v>
          </cell>
          <cell r="I108">
            <v>749231</v>
          </cell>
          <cell r="J108">
            <v>503</v>
          </cell>
          <cell r="K108">
            <v>749231</v>
          </cell>
          <cell r="L108">
            <v>0</v>
          </cell>
          <cell r="M108">
            <v>749452</v>
          </cell>
          <cell r="N108">
            <v>221</v>
          </cell>
          <cell r="O108">
            <v>749638</v>
          </cell>
          <cell r="P108">
            <v>186</v>
          </cell>
          <cell r="Q108">
            <v>749896</v>
          </cell>
          <cell r="R108">
            <v>258</v>
          </cell>
          <cell r="S108">
            <v>750065</v>
          </cell>
          <cell r="T108">
            <v>169</v>
          </cell>
          <cell r="U108">
            <v>750245</v>
          </cell>
          <cell r="V108">
            <v>180</v>
          </cell>
          <cell r="W108">
            <v>750468</v>
          </cell>
          <cell r="X108">
            <v>223</v>
          </cell>
          <cell r="Y108">
            <v>750652</v>
          </cell>
          <cell r="Z108">
            <v>184</v>
          </cell>
          <cell r="AA108">
            <v>750879</v>
          </cell>
          <cell r="AB108">
            <v>227</v>
          </cell>
          <cell r="AC108">
            <v>751055</v>
          </cell>
          <cell r="AD108">
            <v>176</v>
          </cell>
          <cell r="AE108">
            <v>751268</v>
          </cell>
          <cell r="AF108">
            <v>213</v>
          </cell>
          <cell r="AG108">
            <v>751445</v>
          </cell>
          <cell r="AH108">
            <v>177</v>
          </cell>
          <cell r="AI108">
            <v>751682</v>
          </cell>
          <cell r="AJ108">
            <v>237</v>
          </cell>
          <cell r="AK108">
            <v>751831</v>
          </cell>
          <cell r="AL108">
            <v>149</v>
          </cell>
          <cell r="AM108">
            <v>752053</v>
          </cell>
          <cell r="AN108">
            <v>222</v>
          </cell>
          <cell r="AO108">
            <v>752741</v>
          </cell>
          <cell r="AP108">
            <v>688</v>
          </cell>
          <cell r="AQ108">
            <v>752741</v>
          </cell>
          <cell r="AR108">
            <v>0</v>
          </cell>
          <cell r="AS108">
            <v>753052</v>
          </cell>
        </row>
        <row r="109">
          <cell r="G109" t="str">
            <v>10.11.11.202</v>
          </cell>
          <cell r="H109">
            <v>716733</v>
          </cell>
          <cell r="I109">
            <v>717203</v>
          </cell>
          <cell r="J109">
            <v>470</v>
          </cell>
          <cell r="K109">
            <v>717203</v>
          </cell>
          <cell r="L109">
            <v>0</v>
          </cell>
          <cell r="M109">
            <v>717450</v>
          </cell>
          <cell r="N109">
            <v>247</v>
          </cell>
          <cell r="O109">
            <v>717598</v>
          </cell>
          <cell r="P109">
            <v>148</v>
          </cell>
          <cell r="Q109">
            <v>717883</v>
          </cell>
          <cell r="R109">
            <v>285</v>
          </cell>
          <cell r="S109">
            <v>718136</v>
          </cell>
          <cell r="T109">
            <v>253</v>
          </cell>
          <cell r="U109">
            <v>718446</v>
          </cell>
          <cell r="V109">
            <v>310</v>
          </cell>
          <cell r="W109">
            <v>718712</v>
          </cell>
          <cell r="X109">
            <v>266</v>
          </cell>
          <cell r="Y109">
            <v>718994</v>
          </cell>
          <cell r="Z109">
            <v>282</v>
          </cell>
          <cell r="AA109">
            <v>719257</v>
          </cell>
          <cell r="AB109">
            <v>263</v>
          </cell>
          <cell r="AC109">
            <v>719598</v>
          </cell>
          <cell r="AD109">
            <v>341</v>
          </cell>
          <cell r="AE109">
            <v>719885</v>
          </cell>
          <cell r="AF109">
            <v>287</v>
          </cell>
          <cell r="AG109">
            <v>720134</v>
          </cell>
          <cell r="AH109">
            <v>249</v>
          </cell>
          <cell r="AI109">
            <v>720362</v>
          </cell>
          <cell r="AJ109">
            <v>228</v>
          </cell>
          <cell r="AK109">
            <v>720651</v>
          </cell>
          <cell r="AL109">
            <v>289</v>
          </cell>
          <cell r="AM109">
            <v>720940</v>
          </cell>
          <cell r="AN109">
            <v>289</v>
          </cell>
          <cell r="AO109">
            <v>721489</v>
          </cell>
          <cell r="AP109">
            <v>549</v>
          </cell>
          <cell r="AQ109">
            <v>721489</v>
          </cell>
          <cell r="AR109">
            <v>0</v>
          </cell>
          <cell r="AS109">
            <v>721777</v>
          </cell>
        </row>
        <row r="110">
          <cell r="G110" t="str">
            <v>10.10.150.200</v>
          </cell>
          <cell r="H110">
            <v>529208</v>
          </cell>
          <cell r="I110">
            <v>529517</v>
          </cell>
          <cell r="J110">
            <v>309</v>
          </cell>
          <cell r="K110">
            <v>529517</v>
          </cell>
          <cell r="L110">
            <v>0</v>
          </cell>
          <cell r="M110">
            <v>529626</v>
          </cell>
          <cell r="N110">
            <v>109</v>
          </cell>
          <cell r="O110">
            <v>529734</v>
          </cell>
          <cell r="P110">
            <v>108</v>
          </cell>
          <cell r="Q110">
            <v>529864</v>
          </cell>
          <cell r="R110">
            <v>130</v>
          </cell>
          <cell r="S110">
            <v>529995</v>
          </cell>
          <cell r="T110">
            <v>131</v>
          </cell>
          <cell r="U110">
            <v>530084</v>
          </cell>
          <cell r="V110">
            <v>89</v>
          </cell>
          <cell r="W110">
            <v>530168</v>
          </cell>
          <cell r="X110">
            <v>84</v>
          </cell>
          <cell r="Y110">
            <v>530399</v>
          </cell>
          <cell r="Z110">
            <v>231</v>
          </cell>
          <cell r="AA110">
            <v>530564</v>
          </cell>
          <cell r="AB110">
            <v>165</v>
          </cell>
          <cell r="AC110">
            <v>530801</v>
          </cell>
          <cell r="AD110">
            <v>237</v>
          </cell>
          <cell r="AE110">
            <v>531093</v>
          </cell>
          <cell r="AF110">
            <v>292</v>
          </cell>
          <cell r="AG110">
            <v>531368</v>
          </cell>
          <cell r="AH110">
            <v>275</v>
          </cell>
          <cell r="AI110">
            <v>531568</v>
          </cell>
          <cell r="AJ110">
            <v>200</v>
          </cell>
          <cell r="AK110">
            <v>531717</v>
          </cell>
          <cell r="AL110">
            <v>149</v>
          </cell>
          <cell r="AM110">
            <v>531820</v>
          </cell>
          <cell r="AN110">
            <v>103</v>
          </cell>
          <cell r="AO110">
            <v>532063</v>
          </cell>
          <cell r="AP110">
            <v>243</v>
          </cell>
          <cell r="AQ110">
            <v>532063</v>
          </cell>
          <cell r="AR110">
            <v>0</v>
          </cell>
          <cell r="AS110">
            <v>532199</v>
          </cell>
        </row>
        <row r="111">
          <cell r="G111" t="str">
            <v>10.10.17.201</v>
          </cell>
          <cell r="H111">
            <v>435827</v>
          </cell>
          <cell r="I111">
            <v>435998</v>
          </cell>
          <cell r="J111">
            <v>171</v>
          </cell>
          <cell r="K111">
            <v>435998</v>
          </cell>
          <cell r="L111">
            <v>0</v>
          </cell>
          <cell r="M111">
            <v>436130</v>
          </cell>
          <cell r="N111">
            <v>132</v>
          </cell>
          <cell r="O111">
            <v>436163</v>
          </cell>
          <cell r="P111">
            <v>33</v>
          </cell>
          <cell r="Q111">
            <v>436163</v>
          </cell>
          <cell r="R111">
            <v>0</v>
          </cell>
          <cell r="S111">
            <v>436244</v>
          </cell>
          <cell r="T111">
            <v>81</v>
          </cell>
          <cell r="U111">
            <v>436397</v>
          </cell>
          <cell r="V111">
            <v>153</v>
          </cell>
          <cell r="W111">
            <v>436547</v>
          </cell>
          <cell r="X111">
            <v>150</v>
          </cell>
          <cell r="Y111">
            <v>436741</v>
          </cell>
          <cell r="Z111">
            <v>194</v>
          </cell>
          <cell r="AA111">
            <v>436763</v>
          </cell>
          <cell r="AB111">
            <v>22</v>
          </cell>
          <cell r="AC111">
            <v>436806</v>
          </cell>
          <cell r="AD111">
            <v>43</v>
          </cell>
          <cell r="AE111">
            <v>436968</v>
          </cell>
          <cell r="AF111">
            <v>162</v>
          </cell>
          <cell r="AG111">
            <v>437006</v>
          </cell>
          <cell r="AH111">
            <v>38</v>
          </cell>
          <cell r="AI111">
            <v>437083</v>
          </cell>
          <cell r="AJ111">
            <v>77</v>
          </cell>
          <cell r="AK111">
            <v>437193</v>
          </cell>
          <cell r="AL111">
            <v>110</v>
          </cell>
          <cell r="AM111">
            <v>437336</v>
          </cell>
          <cell r="AN111">
            <v>143</v>
          </cell>
          <cell r="AO111">
            <v>437594</v>
          </cell>
          <cell r="AP111">
            <v>258</v>
          </cell>
          <cell r="AQ111">
            <v>437594</v>
          </cell>
          <cell r="AR111">
            <v>0</v>
          </cell>
          <cell r="AS111">
            <v>437642</v>
          </cell>
        </row>
        <row r="112">
          <cell r="G112" t="str">
            <v>10.10.171.13</v>
          </cell>
          <cell r="H112">
            <v>291011</v>
          </cell>
          <cell r="I112">
            <v>291164</v>
          </cell>
          <cell r="J112">
            <v>153</v>
          </cell>
          <cell r="K112">
            <v>291164</v>
          </cell>
          <cell r="L112">
            <v>0</v>
          </cell>
          <cell r="M112">
            <v>291253</v>
          </cell>
          <cell r="N112">
            <v>89</v>
          </cell>
          <cell r="O112">
            <v>291456</v>
          </cell>
          <cell r="P112">
            <v>203</v>
          </cell>
          <cell r="Q112">
            <v>291524</v>
          </cell>
          <cell r="R112">
            <v>68</v>
          </cell>
          <cell r="S112">
            <v>291676</v>
          </cell>
          <cell r="T112">
            <v>152</v>
          </cell>
          <cell r="U112">
            <v>291791</v>
          </cell>
          <cell r="V112">
            <v>115</v>
          </cell>
          <cell r="W112">
            <v>291853</v>
          </cell>
          <cell r="X112">
            <v>62</v>
          </cell>
          <cell r="Y112">
            <v>291879</v>
          </cell>
          <cell r="Z112">
            <v>26</v>
          </cell>
          <cell r="AA112">
            <v>291899</v>
          </cell>
          <cell r="AB112">
            <v>20</v>
          </cell>
          <cell r="AC112">
            <v>291947</v>
          </cell>
          <cell r="AD112">
            <v>48</v>
          </cell>
          <cell r="AE112">
            <v>292059</v>
          </cell>
          <cell r="AF112">
            <v>112</v>
          </cell>
          <cell r="AG112">
            <v>292145</v>
          </cell>
          <cell r="AH112">
            <v>86</v>
          </cell>
          <cell r="AI112">
            <v>292215</v>
          </cell>
          <cell r="AJ112">
            <v>70</v>
          </cell>
          <cell r="AK112">
            <v>292361</v>
          </cell>
          <cell r="AL112">
            <v>146</v>
          </cell>
          <cell r="AM112">
            <v>292478</v>
          </cell>
          <cell r="AN112">
            <v>117</v>
          </cell>
          <cell r="AO112">
            <v>292857</v>
          </cell>
          <cell r="AP112">
            <v>379</v>
          </cell>
          <cell r="AQ112">
            <v>292857</v>
          </cell>
          <cell r="AR112">
            <v>0</v>
          </cell>
          <cell r="AS112">
            <v>293011</v>
          </cell>
        </row>
        <row r="113">
          <cell r="G113" t="str">
            <v>10.11.29.203</v>
          </cell>
          <cell r="H113">
            <v>537418</v>
          </cell>
          <cell r="I113">
            <v>537732</v>
          </cell>
          <cell r="J113">
            <v>314</v>
          </cell>
          <cell r="K113">
            <v>537732</v>
          </cell>
          <cell r="L113">
            <v>0</v>
          </cell>
          <cell r="M113">
            <v>537964</v>
          </cell>
          <cell r="N113">
            <v>232</v>
          </cell>
          <cell r="O113">
            <v>538157</v>
          </cell>
          <cell r="P113">
            <v>193</v>
          </cell>
          <cell r="Q113">
            <v>538388</v>
          </cell>
          <cell r="R113">
            <v>231</v>
          </cell>
          <cell r="S113">
            <v>538627</v>
          </cell>
          <cell r="T113">
            <v>239</v>
          </cell>
          <cell r="U113">
            <v>538888</v>
          </cell>
          <cell r="V113">
            <v>261</v>
          </cell>
          <cell r="W113">
            <v>539060</v>
          </cell>
          <cell r="X113">
            <v>172</v>
          </cell>
          <cell r="Y113">
            <v>539298</v>
          </cell>
          <cell r="Z113">
            <v>238</v>
          </cell>
          <cell r="AA113">
            <v>539476</v>
          </cell>
          <cell r="AB113">
            <v>178</v>
          </cell>
          <cell r="AC113">
            <v>539687</v>
          </cell>
          <cell r="AD113">
            <v>211</v>
          </cell>
          <cell r="AE113">
            <v>539930</v>
          </cell>
          <cell r="AF113">
            <v>243</v>
          </cell>
          <cell r="AG113">
            <v>540203</v>
          </cell>
          <cell r="AH113">
            <v>273</v>
          </cell>
          <cell r="AI113">
            <v>540422</v>
          </cell>
          <cell r="AJ113">
            <v>219</v>
          </cell>
          <cell r="AK113">
            <v>540600</v>
          </cell>
          <cell r="AL113">
            <v>178</v>
          </cell>
          <cell r="AM113">
            <v>540836</v>
          </cell>
          <cell r="AN113">
            <v>236</v>
          </cell>
          <cell r="AO113">
            <v>541159</v>
          </cell>
          <cell r="AP113">
            <v>323</v>
          </cell>
          <cell r="AQ113">
            <v>541159</v>
          </cell>
          <cell r="AR113">
            <v>0</v>
          </cell>
          <cell r="AS113">
            <v>541450</v>
          </cell>
        </row>
        <row r="114">
          <cell r="G114" t="str">
            <v>10.14.51.200</v>
          </cell>
          <cell r="H114">
            <v>760723</v>
          </cell>
          <cell r="I114">
            <v>761173</v>
          </cell>
          <cell r="J114">
            <v>450</v>
          </cell>
          <cell r="K114">
            <v>761173</v>
          </cell>
          <cell r="L114">
            <v>0</v>
          </cell>
          <cell r="M114">
            <v>761379</v>
          </cell>
          <cell r="N114">
            <v>206</v>
          </cell>
          <cell r="O114">
            <v>761659</v>
          </cell>
          <cell r="P114">
            <v>280</v>
          </cell>
          <cell r="Q114">
            <v>761873</v>
          </cell>
          <cell r="R114">
            <v>214</v>
          </cell>
          <cell r="S114">
            <v>762138</v>
          </cell>
          <cell r="T114">
            <v>265</v>
          </cell>
          <cell r="U114">
            <v>762336</v>
          </cell>
          <cell r="V114">
            <v>198</v>
          </cell>
          <cell r="W114">
            <v>762336</v>
          </cell>
          <cell r="X114">
            <v>0</v>
          </cell>
          <cell r="Y114">
            <v>762593</v>
          </cell>
          <cell r="Z114">
            <v>257</v>
          </cell>
          <cell r="AA114">
            <v>762843</v>
          </cell>
          <cell r="AB114">
            <v>250</v>
          </cell>
          <cell r="AC114">
            <v>763126</v>
          </cell>
          <cell r="AD114">
            <v>283</v>
          </cell>
          <cell r="AE114">
            <v>763373</v>
          </cell>
          <cell r="AF114">
            <v>247</v>
          </cell>
          <cell r="AG114">
            <v>763668</v>
          </cell>
          <cell r="AH114">
            <v>295</v>
          </cell>
          <cell r="AI114">
            <v>763865</v>
          </cell>
          <cell r="AJ114">
            <v>197</v>
          </cell>
          <cell r="AK114">
            <v>764109</v>
          </cell>
          <cell r="AL114">
            <v>244</v>
          </cell>
          <cell r="AM114">
            <v>764331</v>
          </cell>
          <cell r="AN114">
            <v>222</v>
          </cell>
          <cell r="AO114">
            <v>764961</v>
          </cell>
          <cell r="AP114">
            <v>630</v>
          </cell>
          <cell r="AQ114">
            <v>764961</v>
          </cell>
          <cell r="AR114">
            <v>0</v>
          </cell>
          <cell r="AS114">
            <v>765305</v>
          </cell>
        </row>
        <row r="115">
          <cell r="G115" t="str">
            <v>10.10.186.201</v>
          </cell>
          <cell r="H115">
            <v>1293079</v>
          </cell>
          <cell r="I115">
            <v>1293359</v>
          </cell>
          <cell r="J115">
            <v>280</v>
          </cell>
          <cell r="K115">
            <v>1293790</v>
          </cell>
          <cell r="L115">
            <v>431</v>
          </cell>
          <cell r="M115">
            <v>1294333</v>
          </cell>
          <cell r="N115">
            <v>543</v>
          </cell>
          <cell r="O115">
            <v>1294677</v>
          </cell>
          <cell r="P115">
            <v>344</v>
          </cell>
          <cell r="Q115">
            <v>1295082</v>
          </cell>
          <cell r="R115">
            <v>405</v>
          </cell>
          <cell r="S115">
            <v>1295463</v>
          </cell>
          <cell r="T115">
            <v>381</v>
          </cell>
          <cell r="U115">
            <v>1295961</v>
          </cell>
          <cell r="V115">
            <v>498</v>
          </cell>
          <cell r="W115">
            <v>1296168</v>
          </cell>
          <cell r="X115">
            <v>207</v>
          </cell>
          <cell r="Y115">
            <v>1296586</v>
          </cell>
          <cell r="Z115">
            <v>418</v>
          </cell>
          <cell r="AA115">
            <v>1296906</v>
          </cell>
          <cell r="AB115">
            <v>320</v>
          </cell>
          <cell r="AC115">
            <v>1297247</v>
          </cell>
          <cell r="AD115">
            <v>341</v>
          </cell>
          <cell r="AE115">
            <v>1297714</v>
          </cell>
          <cell r="AF115">
            <v>467</v>
          </cell>
          <cell r="AG115">
            <v>1298128</v>
          </cell>
          <cell r="AH115">
            <v>414</v>
          </cell>
          <cell r="AI115">
            <v>1298636</v>
          </cell>
          <cell r="AJ115">
            <v>508</v>
          </cell>
          <cell r="AK115">
            <v>1299049</v>
          </cell>
          <cell r="AL115">
            <v>413</v>
          </cell>
          <cell r="AM115">
            <v>1299485</v>
          </cell>
          <cell r="AN115">
            <v>436</v>
          </cell>
          <cell r="AO115">
            <v>1300001</v>
          </cell>
          <cell r="AP115">
            <v>516</v>
          </cell>
          <cell r="AQ115">
            <v>1300459</v>
          </cell>
          <cell r="AR115">
            <v>458</v>
          </cell>
          <cell r="AS115">
            <v>1300924</v>
          </cell>
        </row>
        <row r="116">
          <cell r="G116" t="str">
            <v>10.11.99.200</v>
          </cell>
          <cell r="H116">
            <v>690131</v>
          </cell>
          <cell r="I116">
            <v>690480</v>
          </cell>
          <cell r="J116">
            <v>349</v>
          </cell>
          <cell r="K116">
            <v>690480</v>
          </cell>
          <cell r="L116">
            <v>0</v>
          </cell>
          <cell r="M116">
            <v>690708</v>
          </cell>
          <cell r="N116">
            <v>228</v>
          </cell>
          <cell r="O116">
            <v>690807</v>
          </cell>
          <cell r="P116">
            <v>99</v>
          </cell>
          <cell r="Q116">
            <v>690807</v>
          </cell>
          <cell r="R116">
            <v>0</v>
          </cell>
          <cell r="S116">
            <v>691166</v>
          </cell>
          <cell r="T116">
            <v>359</v>
          </cell>
          <cell r="U116">
            <v>691327</v>
          </cell>
          <cell r="V116">
            <v>161</v>
          </cell>
          <cell r="W116">
            <v>691662</v>
          </cell>
          <cell r="X116">
            <v>335</v>
          </cell>
          <cell r="Y116">
            <v>691883</v>
          </cell>
          <cell r="Z116">
            <v>221</v>
          </cell>
          <cell r="AA116">
            <v>692108</v>
          </cell>
          <cell r="AB116">
            <v>225</v>
          </cell>
          <cell r="AC116">
            <v>692203</v>
          </cell>
          <cell r="AD116">
            <v>95</v>
          </cell>
          <cell r="AE116">
            <v>692501</v>
          </cell>
          <cell r="AF116">
            <v>298</v>
          </cell>
          <cell r="AG116">
            <v>692591</v>
          </cell>
          <cell r="AH116">
            <v>90</v>
          </cell>
          <cell r="AI116">
            <v>692682</v>
          </cell>
          <cell r="AJ116">
            <v>91</v>
          </cell>
          <cell r="AK116">
            <v>692781</v>
          </cell>
          <cell r="AL116">
            <v>99</v>
          </cell>
          <cell r="AM116">
            <v>692908</v>
          </cell>
          <cell r="AN116">
            <v>127</v>
          </cell>
          <cell r="AO116">
            <v>693198</v>
          </cell>
          <cell r="AP116">
            <v>290</v>
          </cell>
          <cell r="AQ116">
            <v>693198</v>
          </cell>
          <cell r="AR116">
            <v>0</v>
          </cell>
          <cell r="AS116">
            <v>693335</v>
          </cell>
        </row>
        <row r="117">
          <cell r="G117" t="str">
            <v>10.10.171.200</v>
          </cell>
          <cell r="H117">
            <v>623303</v>
          </cell>
          <cell r="I117">
            <v>623396</v>
          </cell>
          <cell r="J117">
            <v>93</v>
          </cell>
          <cell r="K117">
            <v>623396</v>
          </cell>
          <cell r="L117">
            <v>0</v>
          </cell>
          <cell r="M117">
            <v>623425</v>
          </cell>
          <cell r="N117">
            <v>29</v>
          </cell>
          <cell r="O117">
            <v>623427</v>
          </cell>
          <cell r="P117">
            <v>2</v>
          </cell>
          <cell r="Q117">
            <v>623465</v>
          </cell>
          <cell r="R117">
            <v>38</v>
          </cell>
          <cell r="S117">
            <v>623501</v>
          </cell>
          <cell r="T117">
            <v>36</v>
          </cell>
          <cell r="U117">
            <v>623514</v>
          </cell>
          <cell r="V117">
            <v>13</v>
          </cell>
          <cell r="W117">
            <v>623534</v>
          </cell>
          <cell r="X117">
            <v>20</v>
          </cell>
          <cell r="Y117">
            <v>623553</v>
          </cell>
          <cell r="Z117">
            <v>19</v>
          </cell>
          <cell r="AA117">
            <v>623557</v>
          </cell>
          <cell r="AB117">
            <v>4</v>
          </cell>
          <cell r="AC117">
            <v>623579</v>
          </cell>
          <cell r="AD117">
            <v>22</v>
          </cell>
          <cell r="AE117">
            <v>623589</v>
          </cell>
          <cell r="AF117">
            <v>10</v>
          </cell>
          <cell r="AG117">
            <v>623625</v>
          </cell>
          <cell r="AH117">
            <v>36</v>
          </cell>
          <cell r="AI117">
            <v>623650</v>
          </cell>
          <cell r="AJ117">
            <v>25</v>
          </cell>
          <cell r="AK117">
            <v>623652</v>
          </cell>
          <cell r="AL117">
            <v>2</v>
          </cell>
          <cell r="AM117">
            <v>623678</v>
          </cell>
          <cell r="AN117">
            <v>26</v>
          </cell>
          <cell r="AO117">
            <v>623743</v>
          </cell>
          <cell r="AP117">
            <v>65</v>
          </cell>
          <cell r="AQ117">
            <v>623743</v>
          </cell>
          <cell r="AR117">
            <v>0</v>
          </cell>
          <cell r="AS117">
            <v>623774</v>
          </cell>
        </row>
        <row r="118">
          <cell r="G118" t="str">
            <v>10.10.131.200</v>
          </cell>
          <cell r="H118">
            <v>663373</v>
          </cell>
          <cell r="I118">
            <v>664129</v>
          </cell>
          <cell r="J118">
            <v>756</v>
          </cell>
          <cell r="K118">
            <v>664129</v>
          </cell>
          <cell r="L118">
            <v>0</v>
          </cell>
          <cell r="M118">
            <v>664472</v>
          </cell>
          <cell r="N118">
            <v>343</v>
          </cell>
          <cell r="O118">
            <v>664778</v>
          </cell>
          <cell r="P118">
            <v>306</v>
          </cell>
          <cell r="Q118">
            <v>665183</v>
          </cell>
          <cell r="R118">
            <v>405</v>
          </cell>
          <cell r="S118">
            <v>665556</v>
          </cell>
          <cell r="T118">
            <v>373</v>
          </cell>
          <cell r="U118">
            <v>665806</v>
          </cell>
          <cell r="V118">
            <v>250</v>
          </cell>
          <cell r="W118">
            <v>666032</v>
          </cell>
          <cell r="X118">
            <v>226</v>
          </cell>
          <cell r="Y118">
            <v>666280</v>
          </cell>
          <cell r="Z118">
            <v>248</v>
          </cell>
          <cell r="AA118">
            <v>666598</v>
          </cell>
          <cell r="AB118">
            <v>318</v>
          </cell>
          <cell r="AC118">
            <v>666900</v>
          </cell>
          <cell r="AD118">
            <v>302</v>
          </cell>
          <cell r="AE118">
            <v>667277</v>
          </cell>
          <cell r="AF118">
            <v>377</v>
          </cell>
          <cell r="AG118">
            <v>667505</v>
          </cell>
          <cell r="AH118">
            <v>228</v>
          </cell>
          <cell r="AI118">
            <v>667687</v>
          </cell>
          <cell r="AJ118">
            <v>182</v>
          </cell>
          <cell r="AK118">
            <v>667759</v>
          </cell>
          <cell r="AL118">
            <v>72</v>
          </cell>
          <cell r="AM118">
            <v>668038</v>
          </cell>
          <cell r="AN118">
            <v>279</v>
          </cell>
          <cell r="AO118">
            <v>668501</v>
          </cell>
          <cell r="AP118">
            <v>463</v>
          </cell>
          <cell r="AQ118">
            <v>668501</v>
          </cell>
          <cell r="AR118">
            <v>0</v>
          </cell>
          <cell r="AS118">
            <v>668739</v>
          </cell>
        </row>
        <row r="119">
          <cell r="G119" t="str">
            <v>10.10.206.200</v>
          </cell>
          <cell r="H119">
            <v>1039914</v>
          </cell>
          <cell r="I119">
            <v>1040695</v>
          </cell>
          <cell r="J119">
            <v>781</v>
          </cell>
          <cell r="K119">
            <v>1040695</v>
          </cell>
          <cell r="L119">
            <v>0</v>
          </cell>
          <cell r="M119">
            <v>1041066</v>
          </cell>
          <cell r="N119">
            <v>371</v>
          </cell>
          <cell r="O119">
            <v>1041485</v>
          </cell>
          <cell r="P119">
            <v>419</v>
          </cell>
          <cell r="Q119">
            <v>1041899</v>
          </cell>
          <cell r="R119">
            <v>414</v>
          </cell>
          <cell r="S119">
            <v>1042308</v>
          </cell>
          <cell r="T119">
            <v>409</v>
          </cell>
          <cell r="U119">
            <v>1042816</v>
          </cell>
          <cell r="V119">
            <v>508</v>
          </cell>
          <cell r="W119">
            <v>1043258</v>
          </cell>
          <cell r="X119">
            <v>442</v>
          </cell>
          <cell r="Y119">
            <v>1043773</v>
          </cell>
          <cell r="Z119">
            <v>515</v>
          </cell>
          <cell r="AA119">
            <v>1044225</v>
          </cell>
          <cell r="AB119">
            <v>452</v>
          </cell>
          <cell r="AC119">
            <v>1044657</v>
          </cell>
          <cell r="AD119">
            <v>432</v>
          </cell>
          <cell r="AE119">
            <v>1045093</v>
          </cell>
          <cell r="AF119">
            <v>436</v>
          </cell>
          <cell r="AG119">
            <v>1045508</v>
          </cell>
          <cell r="AH119">
            <v>415</v>
          </cell>
          <cell r="AI119">
            <v>1045878</v>
          </cell>
          <cell r="AJ119">
            <v>370</v>
          </cell>
          <cell r="AK119">
            <v>1046241</v>
          </cell>
          <cell r="AL119">
            <v>363</v>
          </cell>
          <cell r="AM119">
            <v>1046658</v>
          </cell>
          <cell r="AN119">
            <v>417</v>
          </cell>
          <cell r="AO119">
            <v>1047633</v>
          </cell>
          <cell r="AP119">
            <v>975</v>
          </cell>
          <cell r="AQ119">
            <v>1047633</v>
          </cell>
          <cell r="AR119">
            <v>0</v>
          </cell>
          <cell r="AS119">
            <v>1048053</v>
          </cell>
        </row>
        <row r="120">
          <cell r="G120" t="str">
            <v>10.10.10.200</v>
          </cell>
          <cell r="H120">
            <v>576696</v>
          </cell>
          <cell r="I120">
            <v>577110</v>
          </cell>
          <cell r="J120">
            <v>414</v>
          </cell>
          <cell r="K120">
            <v>577110</v>
          </cell>
          <cell r="L120">
            <v>0</v>
          </cell>
          <cell r="M120">
            <v>577445</v>
          </cell>
          <cell r="N120">
            <v>335</v>
          </cell>
          <cell r="O120">
            <v>577666</v>
          </cell>
          <cell r="P120">
            <v>221</v>
          </cell>
          <cell r="Q120">
            <v>577903</v>
          </cell>
          <cell r="R120">
            <v>237</v>
          </cell>
          <cell r="S120">
            <v>578083</v>
          </cell>
          <cell r="T120">
            <v>180</v>
          </cell>
          <cell r="U120">
            <v>578344</v>
          </cell>
          <cell r="V120">
            <v>261</v>
          </cell>
          <cell r="W120">
            <v>578535</v>
          </cell>
          <cell r="X120">
            <v>191</v>
          </cell>
          <cell r="Y120">
            <v>578736</v>
          </cell>
          <cell r="Z120">
            <v>201</v>
          </cell>
          <cell r="AA120">
            <v>578955</v>
          </cell>
          <cell r="AB120">
            <v>219</v>
          </cell>
          <cell r="AC120">
            <v>579241</v>
          </cell>
          <cell r="AD120">
            <v>286</v>
          </cell>
          <cell r="AE120">
            <v>579494</v>
          </cell>
          <cell r="AF120">
            <v>253</v>
          </cell>
          <cell r="AG120">
            <v>579717</v>
          </cell>
          <cell r="AH120">
            <v>223</v>
          </cell>
          <cell r="AI120">
            <v>579954</v>
          </cell>
          <cell r="AJ120">
            <v>237</v>
          </cell>
          <cell r="AK120">
            <v>580176</v>
          </cell>
          <cell r="AL120">
            <v>222</v>
          </cell>
          <cell r="AM120">
            <v>580397</v>
          </cell>
          <cell r="AN120">
            <v>221</v>
          </cell>
          <cell r="AO120">
            <v>580845</v>
          </cell>
          <cell r="AP120">
            <v>448</v>
          </cell>
          <cell r="AQ120">
            <v>580845</v>
          </cell>
          <cell r="AR120">
            <v>0</v>
          </cell>
          <cell r="AS120">
            <v>581082</v>
          </cell>
        </row>
        <row r="121">
          <cell r="G121" t="str">
            <v>10.10.148.201</v>
          </cell>
          <cell r="H121">
            <v>701929</v>
          </cell>
          <cell r="I121">
            <v>702750</v>
          </cell>
          <cell r="J121">
            <v>821</v>
          </cell>
          <cell r="K121">
            <v>702750</v>
          </cell>
          <cell r="L121">
            <v>0</v>
          </cell>
          <cell r="M121">
            <v>703304</v>
          </cell>
          <cell r="N121">
            <v>554</v>
          </cell>
          <cell r="O121">
            <v>703656</v>
          </cell>
          <cell r="P121">
            <v>352</v>
          </cell>
          <cell r="Q121">
            <v>703994</v>
          </cell>
          <cell r="R121">
            <v>338</v>
          </cell>
          <cell r="S121">
            <v>704280</v>
          </cell>
          <cell r="T121">
            <v>286</v>
          </cell>
          <cell r="U121">
            <v>704661</v>
          </cell>
          <cell r="V121">
            <v>381</v>
          </cell>
          <cell r="W121">
            <v>704980</v>
          </cell>
          <cell r="X121">
            <v>319</v>
          </cell>
          <cell r="Y121">
            <v>705309</v>
          </cell>
          <cell r="Z121">
            <v>329</v>
          </cell>
          <cell r="AA121">
            <v>705651</v>
          </cell>
          <cell r="AB121">
            <v>342</v>
          </cell>
          <cell r="AC121">
            <v>705971</v>
          </cell>
          <cell r="AD121">
            <v>320</v>
          </cell>
          <cell r="AE121">
            <v>706334</v>
          </cell>
          <cell r="AF121">
            <v>363</v>
          </cell>
          <cell r="AG121">
            <v>706690</v>
          </cell>
          <cell r="AH121">
            <v>356</v>
          </cell>
          <cell r="AI121">
            <v>706995</v>
          </cell>
          <cell r="AJ121">
            <v>305</v>
          </cell>
          <cell r="AK121">
            <v>707304</v>
          </cell>
          <cell r="AL121">
            <v>309</v>
          </cell>
          <cell r="AM121">
            <v>707703</v>
          </cell>
          <cell r="AN121">
            <v>399</v>
          </cell>
          <cell r="AO121">
            <v>708592</v>
          </cell>
          <cell r="AP121">
            <v>889</v>
          </cell>
          <cell r="AQ121">
            <v>708592</v>
          </cell>
          <cell r="AR121">
            <v>0</v>
          </cell>
          <cell r="AS121">
            <v>709091</v>
          </cell>
        </row>
        <row r="122">
          <cell r="G122" t="str">
            <v>10.10.166.201</v>
          </cell>
          <cell r="H122">
            <v>901941</v>
          </cell>
          <cell r="I122">
            <v>902407</v>
          </cell>
          <cell r="J122">
            <v>466</v>
          </cell>
          <cell r="K122">
            <v>902407</v>
          </cell>
          <cell r="L122">
            <v>0</v>
          </cell>
          <cell r="M122">
            <v>902656</v>
          </cell>
          <cell r="N122">
            <v>249</v>
          </cell>
          <cell r="O122">
            <v>902739</v>
          </cell>
          <cell r="P122">
            <v>83</v>
          </cell>
          <cell r="Q122">
            <v>903155</v>
          </cell>
          <cell r="R122">
            <v>416</v>
          </cell>
          <cell r="S122">
            <v>903280</v>
          </cell>
          <cell r="T122">
            <v>125</v>
          </cell>
          <cell r="U122">
            <v>903364</v>
          </cell>
          <cell r="V122">
            <v>84</v>
          </cell>
          <cell r="W122">
            <v>903595</v>
          </cell>
          <cell r="X122">
            <v>231</v>
          </cell>
          <cell r="Y122">
            <v>903922</v>
          </cell>
          <cell r="Z122">
            <v>327</v>
          </cell>
          <cell r="AA122">
            <v>904200</v>
          </cell>
          <cell r="AB122">
            <v>278</v>
          </cell>
          <cell r="AC122">
            <v>904537</v>
          </cell>
          <cell r="AD122">
            <v>337</v>
          </cell>
          <cell r="AE122">
            <v>904651</v>
          </cell>
          <cell r="AF122">
            <v>114</v>
          </cell>
          <cell r="AG122">
            <v>904918</v>
          </cell>
          <cell r="AH122">
            <v>267</v>
          </cell>
          <cell r="AI122">
            <v>905190</v>
          </cell>
          <cell r="AJ122">
            <v>272</v>
          </cell>
          <cell r="AK122">
            <v>905562</v>
          </cell>
          <cell r="AL122">
            <v>372</v>
          </cell>
          <cell r="AM122">
            <v>905818</v>
          </cell>
          <cell r="AN122">
            <v>256</v>
          </cell>
          <cell r="AO122">
            <v>906508</v>
          </cell>
          <cell r="AP122">
            <v>690</v>
          </cell>
          <cell r="AQ122">
            <v>906508</v>
          </cell>
          <cell r="AR122">
            <v>0</v>
          </cell>
          <cell r="AS122">
            <v>906766</v>
          </cell>
        </row>
        <row r="123">
          <cell r="G123" t="str">
            <v>10.10.20.205</v>
          </cell>
          <cell r="H123">
            <v>527373</v>
          </cell>
          <cell r="I123">
            <v>527893</v>
          </cell>
          <cell r="J123">
            <v>520</v>
          </cell>
          <cell r="K123">
            <v>527893</v>
          </cell>
          <cell r="L123">
            <v>0</v>
          </cell>
          <cell r="M123">
            <v>528107</v>
          </cell>
          <cell r="N123">
            <v>214</v>
          </cell>
          <cell r="O123">
            <v>528286</v>
          </cell>
          <cell r="P123">
            <v>179</v>
          </cell>
          <cell r="Q123">
            <v>528479</v>
          </cell>
          <cell r="R123">
            <v>193</v>
          </cell>
          <cell r="S123">
            <v>528643</v>
          </cell>
          <cell r="T123">
            <v>164</v>
          </cell>
          <cell r="U123">
            <v>528821</v>
          </cell>
          <cell r="V123">
            <v>178</v>
          </cell>
          <cell r="W123">
            <v>528994</v>
          </cell>
          <cell r="X123">
            <v>173</v>
          </cell>
          <cell r="Y123">
            <v>529184</v>
          </cell>
          <cell r="Z123">
            <v>190</v>
          </cell>
          <cell r="AA123">
            <v>529354</v>
          </cell>
          <cell r="AB123">
            <v>170</v>
          </cell>
          <cell r="AC123">
            <v>529556</v>
          </cell>
          <cell r="AD123">
            <v>202</v>
          </cell>
          <cell r="AE123">
            <v>529762</v>
          </cell>
          <cell r="AF123">
            <v>206</v>
          </cell>
          <cell r="AG123">
            <v>529936</v>
          </cell>
          <cell r="AH123">
            <v>174</v>
          </cell>
          <cell r="AI123">
            <v>530017</v>
          </cell>
          <cell r="AJ123">
            <v>81</v>
          </cell>
          <cell r="AK123">
            <v>530197</v>
          </cell>
          <cell r="AL123">
            <v>180</v>
          </cell>
          <cell r="AM123">
            <v>530364</v>
          </cell>
          <cell r="AN123">
            <v>167</v>
          </cell>
          <cell r="AO123">
            <v>530800</v>
          </cell>
          <cell r="AP123">
            <v>436</v>
          </cell>
          <cell r="AQ123">
            <v>530800</v>
          </cell>
          <cell r="AR123">
            <v>0</v>
          </cell>
          <cell r="AS123">
            <v>531076</v>
          </cell>
        </row>
        <row r="124">
          <cell r="G124" t="str">
            <v>10.10.63.201</v>
          </cell>
          <cell r="H124">
            <v>732226</v>
          </cell>
          <cell r="I124">
            <v>732942</v>
          </cell>
          <cell r="J124">
            <v>716</v>
          </cell>
          <cell r="K124">
            <v>732942</v>
          </cell>
          <cell r="L124">
            <v>0</v>
          </cell>
          <cell r="M124">
            <v>733180</v>
          </cell>
          <cell r="N124">
            <v>238</v>
          </cell>
          <cell r="O124">
            <v>733516</v>
          </cell>
          <cell r="P124">
            <v>336</v>
          </cell>
          <cell r="Q124">
            <v>733845</v>
          </cell>
          <cell r="R124">
            <v>329</v>
          </cell>
          <cell r="S124">
            <v>734174</v>
          </cell>
          <cell r="T124">
            <v>329</v>
          </cell>
          <cell r="U124">
            <v>734500</v>
          </cell>
          <cell r="V124">
            <v>326</v>
          </cell>
          <cell r="W124">
            <v>734744</v>
          </cell>
          <cell r="X124">
            <v>244</v>
          </cell>
          <cell r="Y124">
            <v>734947</v>
          </cell>
          <cell r="Z124">
            <v>203</v>
          </cell>
          <cell r="AA124">
            <v>735236</v>
          </cell>
          <cell r="AB124">
            <v>289</v>
          </cell>
          <cell r="AC124">
            <v>735584</v>
          </cell>
          <cell r="AD124">
            <v>348</v>
          </cell>
          <cell r="AE124">
            <v>735992</v>
          </cell>
          <cell r="AF124">
            <v>408</v>
          </cell>
          <cell r="AG124">
            <v>736426</v>
          </cell>
          <cell r="AH124">
            <v>434</v>
          </cell>
          <cell r="AI124">
            <v>736862</v>
          </cell>
          <cell r="AJ124">
            <v>436</v>
          </cell>
          <cell r="AK124">
            <v>737157</v>
          </cell>
          <cell r="AL124">
            <v>295</v>
          </cell>
          <cell r="AM124">
            <v>737398</v>
          </cell>
          <cell r="AN124">
            <v>241</v>
          </cell>
          <cell r="AO124">
            <v>738009</v>
          </cell>
          <cell r="AP124">
            <v>611</v>
          </cell>
          <cell r="AQ124">
            <v>738009</v>
          </cell>
          <cell r="AR124">
            <v>0</v>
          </cell>
          <cell r="AS124">
            <v>738405</v>
          </cell>
        </row>
        <row r="125">
          <cell r="G125" t="str">
            <v>10.10.219.231</v>
          </cell>
          <cell r="H125">
            <v>616124</v>
          </cell>
          <cell r="I125">
            <v>616325</v>
          </cell>
          <cell r="J125">
            <v>201</v>
          </cell>
          <cell r="K125">
            <v>616325</v>
          </cell>
          <cell r="L125">
            <v>0</v>
          </cell>
          <cell r="M125">
            <v>616484</v>
          </cell>
          <cell r="N125">
            <v>159</v>
          </cell>
          <cell r="O125">
            <v>616525</v>
          </cell>
          <cell r="P125">
            <v>41</v>
          </cell>
          <cell r="Q125">
            <v>616525</v>
          </cell>
          <cell r="R125">
            <v>0</v>
          </cell>
          <cell r="S125">
            <v>616625</v>
          </cell>
          <cell r="T125">
            <v>100</v>
          </cell>
          <cell r="U125">
            <v>616698</v>
          </cell>
          <cell r="V125">
            <v>73</v>
          </cell>
          <cell r="W125">
            <v>616738</v>
          </cell>
          <cell r="X125">
            <v>40</v>
          </cell>
          <cell r="Y125">
            <v>616774</v>
          </cell>
          <cell r="Z125">
            <v>36</v>
          </cell>
          <cell r="AA125">
            <v>616821</v>
          </cell>
          <cell r="AB125">
            <v>47</v>
          </cell>
          <cell r="AC125">
            <v>616921</v>
          </cell>
          <cell r="AD125">
            <v>100</v>
          </cell>
          <cell r="AE125">
            <v>617001</v>
          </cell>
          <cell r="AF125">
            <v>80</v>
          </cell>
          <cell r="AG125">
            <v>617030</v>
          </cell>
          <cell r="AH125">
            <v>29</v>
          </cell>
          <cell r="AI125">
            <v>617096</v>
          </cell>
          <cell r="AJ125">
            <v>66</v>
          </cell>
          <cell r="AK125">
            <v>617142</v>
          </cell>
          <cell r="AL125">
            <v>46</v>
          </cell>
          <cell r="AM125">
            <v>617198</v>
          </cell>
          <cell r="AN125">
            <v>56</v>
          </cell>
          <cell r="AO125">
            <v>617294</v>
          </cell>
          <cell r="AP125">
            <v>96</v>
          </cell>
          <cell r="AQ125">
            <v>617294</v>
          </cell>
          <cell r="AR125">
            <v>0</v>
          </cell>
          <cell r="AS125">
            <v>617391</v>
          </cell>
        </row>
        <row r="126">
          <cell r="G126" t="str">
            <v>10.10.75.202</v>
          </cell>
          <cell r="H126">
            <v>665201</v>
          </cell>
          <cell r="I126">
            <v>665483</v>
          </cell>
          <cell r="J126">
            <v>282</v>
          </cell>
          <cell r="K126">
            <v>665483</v>
          </cell>
          <cell r="L126">
            <v>0</v>
          </cell>
          <cell r="M126">
            <v>665645</v>
          </cell>
          <cell r="N126">
            <v>162</v>
          </cell>
          <cell r="O126">
            <v>665713</v>
          </cell>
          <cell r="P126">
            <v>68</v>
          </cell>
          <cell r="Q126">
            <v>665779</v>
          </cell>
          <cell r="R126">
            <v>66</v>
          </cell>
          <cell r="S126">
            <v>665869</v>
          </cell>
          <cell r="T126">
            <v>90</v>
          </cell>
          <cell r="U126">
            <v>665997</v>
          </cell>
          <cell r="V126">
            <v>128</v>
          </cell>
          <cell r="W126">
            <v>666096</v>
          </cell>
          <cell r="X126">
            <v>99</v>
          </cell>
          <cell r="Y126">
            <v>666217</v>
          </cell>
          <cell r="Z126">
            <v>121</v>
          </cell>
          <cell r="AA126">
            <v>666280</v>
          </cell>
          <cell r="AB126">
            <v>63</v>
          </cell>
          <cell r="AC126">
            <v>666448</v>
          </cell>
          <cell r="AD126">
            <v>168</v>
          </cell>
          <cell r="AE126">
            <v>666601</v>
          </cell>
          <cell r="AF126">
            <v>153</v>
          </cell>
          <cell r="AG126">
            <v>666701</v>
          </cell>
          <cell r="AH126">
            <v>100</v>
          </cell>
          <cell r="AI126">
            <v>666868</v>
          </cell>
          <cell r="AJ126">
            <v>167</v>
          </cell>
          <cell r="AK126">
            <v>667023</v>
          </cell>
          <cell r="AL126">
            <v>155</v>
          </cell>
          <cell r="AM126">
            <v>667200</v>
          </cell>
          <cell r="AN126">
            <v>177</v>
          </cell>
          <cell r="AO126">
            <v>667546</v>
          </cell>
          <cell r="AP126">
            <v>346</v>
          </cell>
          <cell r="AQ126">
            <v>667546</v>
          </cell>
          <cell r="AR126">
            <v>0</v>
          </cell>
          <cell r="AS126">
            <v>667695</v>
          </cell>
        </row>
        <row r="127">
          <cell r="G127" t="str">
            <v>10.10.60.201</v>
          </cell>
          <cell r="H127">
            <v>677481</v>
          </cell>
          <cell r="I127">
            <v>677922</v>
          </cell>
          <cell r="J127">
            <v>441</v>
          </cell>
          <cell r="K127">
            <v>677922</v>
          </cell>
          <cell r="L127">
            <v>0</v>
          </cell>
          <cell r="M127">
            <v>678099</v>
          </cell>
          <cell r="N127">
            <v>177</v>
          </cell>
          <cell r="O127">
            <v>678180</v>
          </cell>
          <cell r="P127">
            <v>81</v>
          </cell>
          <cell r="Q127">
            <v>678486</v>
          </cell>
          <cell r="R127">
            <v>306</v>
          </cell>
          <cell r="S127">
            <v>678720</v>
          </cell>
          <cell r="T127">
            <v>234</v>
          </cell>
          <cell r="U127">
            <v>678951</v>
          </cell>
          <cell r="V127">
            <v>231</v>
          </cell>
          <cell r="W127">
            <v>679164</v>
          </cell>
          <cell r="X127">
            <v>213</v>
          </cell>
          <cell r="Y127">
            <v>679353</v>
          </cell>
          <cell r="Z127">
            <v>189</v>
          </cell>
          <cell r="AA127">
            <v>679582</v>
          </cell>
          <cell r="AB127">
            <v>229</v>
          </cell>
          <cell r="AC127">
            <v>679762</v>
          </cell>
          <cell r="AD127">
            <v>180</v>
          </cell>
          <cell r="AE127">
            <v>680014</v>
          </cell>
          <cell r="AF127">
            <v>252</v>
          </cell>
          <cell r="AG127">
            <v>680213</v>
          </cell>
          <cell r="AH127">
            <v>199</v>
          </cell>
          <cell r="AI127">
            <v>680213</v>
          </cell>
          <cell r="AJ127">
            <v>0</v>
          </cell>
          <cell r="AK127">
            <v>680213</v>
          </cell>
          <cell r="AL127">
            <v>0</v>
          </cell>
          <cell r="AM127">
            <v>680213</v>
          </cell>
          <cell r="AN127">
            <v>0</v>
          </cell>
          <cell r="AO127">
            <v>680371</v>
          </cell>
          <cell r="AP127">
            <v>158</v>
          </cell>
          <cell r="AQ127">
            <v>680371</v>
          </cell>
          <cell r="AR127">
            <v>0</v>
          </cell>
          <cell r="AS127">
            <v>680605</v>
          </cell>
        </row>
        <row r="128">
          <cell r="G128" t="str">
            <v>10.10.252.201</v>
          </cell>
          <cell r="H128">
            <v>779749</v>
          </cell>
          <cell r="I128">
            <v>780267</v>
          </cell>
          <cell r="J128">
            <v>518</v>
          </cell>
          <cell r="K128">
            <v>780267</v>
          </cell>
          <cell r="L128">
            <v>0</v>
          </cell>
          <cell r="M128">
            <v>780437</v>
          </cell>
          <cell r="N128">
            <v>170</v>
          </cell>
          <cell r="O128">
            <v>780626</v>
          </cell>
          <cell r="P128">
            <v>189</v>
          </cell>
          <cell r="Q128">
            <v>780827</v>
          </cell>
          <cell r="R128">
            <v>201</v>
          </cell>
          <cell r="S128">
            <v>781020</v>
          </cell>
          <cell r="T128">
            <v>193</v>
          </cell>
          <cell r="U128">
            <v>781210</v>
          </cell>
          <cell r="V128">
            <v>190</v>
          </cell>
          <cell r="W128">
            <v>781572</v>
          </cell>
          <cell r="X128">
            <v>362</v>
          </cell>
          <cell r="Y128">
            <v>781774</v>
          </cell>
          <cell r="Z128">
            <v>202</v>
          </cell>
          <cell r="AA128">
            <v>781942</v>
          </cell>
          <cell r="AB128">
            <v>168</v>
          </cell>
          <cell r="AC128">
            <v>782123</v>
          </cell>
          <cell r="AD128">
            <v>181</v>
          </cell>
          <cell r="AE128">
            <v>782289</v>
          </cell>
          <cell r="AF128">
            <v>166</v>
          </cell>
          <cell r="AG128">
            <v>782399</v>
          </cell>
          <cell r="AH128">
            <v>110</v>
          </cell>
          <cell r="AI128">
            <v>782489</v>
          </cell>
          <cell r="AJ128">
            <v>90</v>
          </cell>
          <cell r="AK128">
            <v>782522</v>
          </cell>
          <cell r="AL128">
            <v>33</v>
          </cell>
          <cell r="AM128">
            <v>782534</v>
          </cell>
          <cell r="AN128">
            <v>12</v>
          </cell>
          <cell r="AO128">
            <v>782922</v>
          </cell>
          <cell r="AP128">
            <v>388</v>
          </cell>
          <cell r="AQ128">
            <v>782922</v>
          </cell>
          <cell r="AR128">
            <v>0</v>
          </cell>
          <cell r="AS128">
            <v>783095</v>
          </cell>
        </row>
        <row r="129">
          <cell r="G129" t="str">
            <v>10.11.1.200</v>
          </cell>
          <cell r="H129">
            <v>796680</v>
          </cell>
          <cell r="I129">
            <v>797243</v>
          </cell>
          <cell r="J129">
            <v>563</v>
          </cell>
          <cell r="K129">
            <v>797243</v>
          </cell>
          <cell r="L129">
            <v>0</v>
          </cell>
          <cell r="M129">
            <v>797512</v>
          </cell>
          <cell r="N129">
            <v>269</v>
          </cell>
          <cell r="O129">
            <v>797787</v>
          </cell>
          <cell r="P129">
            <v>275</v>
          </cell>
          <cell r="Q129">
            <v>798095</v>
          </cell>
          <cell r="R129">
            <v>308</v>
          </cell>
          <cell r="S129">
            <v>798511</v>
          </cell>
          <cell r="T129">
            <v>416</v>
          </cell>
          <cell r="U129">
            <v>798891</v>
          </cell>
          <cell r="V129">
            <v>380</v>
          </cell>
          <cell r="W129">
            <v>799111</v>
          </cell>
          <cell r="X129">
            <v>220</v>
          </cell>
          <cell r="Y129">
            <v>799260</v>
          </cell>
          <cell r="Z129">
            <v>149</v>
          </cell>
          <cell r="AA129">
            <v>799499</v>
          </cell>
          <cell r="AB129">
            <v>239</v>
          </cell>
          <cell r="AC129">
            <v>799855</v>
          </cell>
          <cell r="AD129">
            <v>356</v>
          </cell>
          <cell r="AE129">
            <v>800196</v>
          </cell>
          <cell r="AF129">
            <v>341</v>
          </cell>
          <cell r="AG129">
            <v>800544</v>
          </cell>
          <cell r="AH129">
            <v>348</v>
          </cell>
          <cell r="AI129">
            <v>801074</v>
          </cell>
          <cell r="AJ129">
            <v>530</v>
          </cell>
          <cell r="AK129">
            <v>801352</v>
          </cell>
          <cell r="AL129">
            <v>278</v>
          </cell>
          <cell r="AM129">
            <v>801577</v>
          </cell>
          <cell r="AN129">
            <v>225</v>
          </cell>
          <cell r="AO129">
            <v>802320</v>
          </cell>
          <cell r="AP129">
            <v>743</v>
          </cell>
          <cell r="AQ129">
            <v>802320</v>
          </cell>
          <cell r="AR129">
            <v>0</v>
          </cell>
          <cell r="AS129">
            <v>802653</v>
          </cell>
        </row>
        <row r="130">
          <cell r="G130" t="str">
            <v>10.10.81.200</v>
          </cell>
          <cell r="H130">
            <v>900103</v>
          </cell>
          <cell r="I130">
            <v>900665</v>
          </cell>
          <cell r="J130">
            <v>562</v>
          </cell>
          <cell r="K130">
            <v>900665</v>
          </cell>
          <cell r="L130">
            <v>0</v>
          </cell>
          <cell r="M130">
            <v>900821</v>
          </cell>
          <cell r="N130">
            <v>156</v>
          </cell>
          <cell r="O130">
            <v>901051</v>
          </cell>
          <cell r="P130">
            <v>230</v>
          </cell>
          <cell r="Q130">
            <v>901304</v>
          </cell>
          <cell r="R130">
            <v>253</v>
          </cell>
          <cell r="S130">
            <v>901528</v>
          </cell>
          <cell r="T130">
            <v>224</v>
          </cell>
          <cell r="U130">
            <v>901779</v>
          </cell>
          <cell r="V130">
            <v>251</v>
          </cell>
          <cell r="W130">
            <v>902055</v>
          </cell>
          <cell r="X130">
            <v>276</v>
          </cell>
          <cell r="Y130">
            <v>902380</v>
          </cell>
          <cell r="Z130">
            <v>325</v>
          </cell>
          <cell r="AA130">
            <v>902676</v>
          </cell>
          <cell r="AB130">
            <v>296</v>
          </cell>
          <cell r="AC130">
            <v>902923</v>
          </cell>
          <cell r="AD130">
            <v>247</v>
          </cell>
          <cell r="AE130">
            <v>903231</v>
          </cell>
          <cell r="AF130">
            <v>308</v>
          </cell>
          <cell r="AG130">
            <v>903523</v>
          </cell>
          <cell r="AH130">
            <v>292</v>
          </cell>
          <cell r="AI130">
            <v>903832</v>
          </cell>
          <cell r="AJ130">
            <v>309</v>
          </cell>
          <cell r="AK130">
            <v>904053</v>
          </cell>
          <cell r="AL130">
            <v>221</v>
          </cell>
          <cell r="AM130">
            <v>904273</v>
          </cell>
          <cell r="AN130">
            <v>220</v>
          </cell>
          <cell r="AO130">
            <v>904816</v>
          </cell>
          <cell r="AP130">
            <v>543</v>
          </cell>
          <cell r="AQ130">
            <v>904816</v>
          </cell>
          <cell r="AR130">
            <v>0</v>
          </cell>
          <cell r="AS130">
            <v>905097</v>
          </cell>
        </row>
        <row r="131">
          <cell r="G131" t="str">
            <v>10.11.32.200</v>
          </cell>
          <cell r="H131">
            <v>1073058</v>
          </cell>
          <cell r="I131">
            <v>1073705</v>
          </cell>
          <cell r="J131">
            <v>647</v>
          </cell>
          <cell r="K131">
            <v>1073705</v>
          </cell>
          <cell r="L131">
            <v>0</v>
          </cell>
          <cell r="M131">
            <v>1074010</v>
          </cell>
          <cell r="N131">
            <v>305</v>
          </cell>
          <cell r="O131">
            <v>1074559</v>
          </cell>
          <cell r="P131">
            <v>549</v>
          </cell>
          <cell r="Q131">
            <v>1075143</v>
          </cell>
          <cell r="R131">
            <v>584</v>
          </cell>
          <cell r="S131">
            <v>1075454</v>
          </cell>
          <cell r="T131">
            <v>311</v>
          </cell>
          <cell r="U131">
            <v>1076030</v>
          </cell>
          <cell r="V131">
            <v>576</v>
          </cell>
          <cell r="W131">
            <v>1076407</v>
          </cell>
          <cell r="X131">
            <v>377</v>
          </cell>
          <cell r="Y131">
            <v>1076690</v>
          </cell>
          <cell r="Z131">
            <v>283</v>
          </cell>
          <cell r="AA131">
            <v>1077186</v>
          </cell>
          <cell r="AB131">
            <v>496</v>
          </cell>
          <cell r="AC131">
            <v>1077547</v>
          </cell>
          <cell r="AD131">
            <v>361</v>
          </cell>
          <cell r="AE131">
            <v>1077896</v>
          </cell>
          <cell r="AF131">
            <v>349</v>
          </cell>
          <cell r="AG131">
            <v>1078202</v>
          </cell>
          <cell r="AH131">
            <v>306</v>
          </cell>
          <cell r="AI131">
            <v>1078493</v>
          </cell>
          <cell r="AJ131">
            <v>291</v>
          </cell>
          <cell r="AK131">
            <v>1078879</v>
          </cell>
          <cell r="AL131">
            <v>386</v>
          </cell>
          <cell r="AM131">
            <v>1079252</v>
          </cell>
          <cell r="AN131">
            <v>373</v>
          </cell>
          <cell r="AO131">
            <v>1080073</v>
          </cell>
          <cell r="AP131">
            <v>821</v>
          </cell>
          <cell r="AQ131">
            <v>1080073</v>
          </cell>
          <cell r="AR131">
            <v>0</v>
          </cell>
          <cell r="AS131">
            <v>1080563</v>
          </cell>
        </row>
        <row r="132">
          <cell r="G132" t="str">
            <v>10.14.11.203</v>
          </cell>
          <cell r="H132">
            <v>1022088</v>
          </cell>
          <cell r="I132">
            <v>1022826</v>
          </cell>
          <cell r="J132">
            <v>738</v>
          </cell>
          <cell r="K132">
            <v>1022826</v>
          </cell>
          <cell r="L132">
            <v>0</v>
          </cell>
          <cell r="M132">
            <v>1023330</v>
          </cell>
          <cell r="N132">
            <v>504</v>
          </cell>
          <cell r="O132">
            <v>1023746</v>
          </cell>
          <cell r="P132">
            <v>416</v>
          </cell>
          <cell r="Q132">
            <v>1024311</v>
          </cell>
          <cell r="R132">
            <v>565</v>
          </cell>
          <cell r="S132">
            <v>1024759</v>
          </cell>
          <cell r="T132">
            <v>448</v>
          </cell>
          <cell r="U132">
            <v>1025080</v>
          </cell>
          <cell r="V132">
            <v>321</v>
          </cell>
          <cell r="W132">
            <v>1025080</v>
          </cell>
          <cell r="X132">
            <v>0</v>
          </cell>
          <cell r="Y132">
            <v>1025080</v>
          </cell>
          <cell r="Z132">
            <v>0</v>
          </cell>
          <cell r="AA132">
            <v>1025080</v>
          </cell>
          <cell r="AB132">
            <v>0</v>
          </cell>
          <cell r="AC132">
            <v>1025080</v>
          </cell>
          <cell r="AD132">
            <v>0</v>
          </cell>
          <cell r="AE132">
            <v>1025080</v>
          </cell>
          <cell r="AF132">
            <v>0</v>
          </cell>
          <cell r="AG132">
            <v>1025080</v>
          </cell>
          <cell r="AH132">
            <v>0</v>
          </cell>
          <cell r="AI132">
            <v>1025080</v>
          </cell>
          <cell r="AJ132">
            <v>0</v>
          </cell>
          <cell r="AK132">
            <v>1025080</v>
          </cell>
          <cell r="AL132">
            <v>0</v>
          </cell>
          <cell r="AM132">
            <v>1025080</v>
          </cell>
          <cell r="AN132">
            <v>0</v>
          </cell>
          <cell r="AO132">
            <v>1025080</v>
          </cell>
          <cell r="AP132">
            <v>0</v>
          </cell>
          <cell r="AQ132">
            <v>1025080</v>
          </cell>
          <cell r="AR132">
            <v>0</v>
          </cell>
          <cell r="AS132">
            <v>1025080</v>
          </cell>
        </row>
        <row r="133">
          <cell r="G133" t="str">
            <v>10.11.12.200</v>
          </cell>
          <cell r="H133">
            <v>635279</v>
          </cell>
          <cell r="I133">
            <v>635965</v>
          </cell>
          <cell r="J133">
            <v>686</v>
          </cell>
          <cell r="K133">
            <v>635965</v>
          </cell>
          <cell r="L133">
            <v>0</v>
          </cell>
          <cell r="M133">
            <v>636317</v>
          </cell>
          <cell r="N133">
            <v>352</v>
          </cell>
          <cell r="O133">
            <v>636593</v>
          </cell>
          <cell r="P133">
            <v>276</v>
          </cell>
          <cell r="Q133">
            <v>636955</v>
          </cell>
          <cell r="R133">
            <v>362</v>
          </cell>
          <cell r="S133">
            <v>637055</v>
          </cell>
          <cell r="T133">
            <v>100</v>
          </cell>
          <cell r="U133">
            <v>637382</v>
          </cell>
          <cell r="V133">
            <v>327</v>
          </cell>
          <cell r="W133">
            <v>637654</v>
          </cell>
          <cell r="X133">
            <v>272</v>
          </cell>
          <cell r="Y133">
            <v>637972</v>
          </cell>
          <cell r="Z133">
            <v>318</v>
          </cell>
          <cell r="AA133">
            <v>638358</v>
          </cell>
          <cell r="AB133">
            <v>386</v>
          </cell>
          <cell r="AC133">
            <v>638731</v>
          </cell>
          <cell r="AD133">
            <v>373</v>
          </cell>
          <cell r="AE133">
            <v>639095</v>
          </cell>
          <cell r="AF133">
            <v>364</v>
          </cell>
          <cell r="AG133">
            <v>639499</v>
          </cell>
          <cell r="AH133">
            <v>404</v>
          </cell>
          <cell r="AI133">
            <v>639814</v>
          </cell>
          <cell r="AJ133">
            <v>315</v>
          </cell>
          <cell r="AK133">
            <v>640306</v>
          </cell>
          <cell r="AL133">
            <v>492</v>
          </cell>
          <cell r="AM133">
            <v>640828</v>
          </cell>
          <cell r="AN133">
            <v>522</v>
          </cell>
          <cell r="AO133">
            <v>641422</v>
          </cell>
          <cell r="AP133">
            <v>594</v>
          </cell>
          <cell r="AQ133">
            <v>641422</v>
          </cell>
          <cell r="AR133">
            <v>0</v>
          </cell>
          <cell r="AS133">
            <v>642027</v>
          </cell>
        </row>
        <row r="134">
          <cell r="G134" t="str">
            <v>10.10.251.201</v>
          </cell>
          <cell r="H134">
            <v>1155293</v>
          </cell>
          <cell r="I134">
            <v>1155962</v>
          </cell>
          <cell r="J134">
            <v>669</v>
          </cell>
          <cell r="K134">
            <v>1155962</v>
          </cell>
          <cell r="L134">
            <v>0</v>
          </cell>
          <cell r="M134">
            <v>1156346</v>
          </cell>
          <cell r="N134">
            <v>384</v>
          </cell>
          <cell r="O134">
            <v>1156631</v>
          </cell>
          <cell r="P134">
            <v>285</v>
          </cell>
          <cell r="Q134">
            <v>1156966</v>
          </cell>
          <cell r="R134">
            <v>335</v>
          </cell>
          <cell r="S134">
            <v>1157433</v>
          </cell>
          <cell r="T134">
            <v>467</v>
          </cell>
          <cell r="U134">
            <v>1157885</v>
          </cell>
          <cell r="V134">
            <v>452</v>
          </cell>
          <cell r="W134">
            <v>1158134</v>
          </cell>
          <cell r="X134">
            <v>249</v>
          </cell>
          <cell r="Y134">
            <v>1158626</v>
          </cell>
          <cell r="Z134">
            <v>492</v>
          </cell>
          <cell r="AA134">
            <v>1158974</v>
          </cell>
          <cell r="AB134">
            <v>348</v>
          </cell>
          <cell r="AC134">
            <v>1159418</v>
          </cell>
          <cell r="AD134">
            <v>444</v>
          </cell>
          <cell r="AE134">
            <v>1159936</v>
          </cell>
          <cell r="AF134">
            <v>518</v>
          </cell>
          <cell r="AG134">
            <v>1160425</v>
          </cell>
          <cell r="AH134">
            <v>489</v>
          </cell>
          <cell r="AI134">
            <v>1160902</v>
          </cell>
          <cell r="AJ134">
            <v>477</v>
          </cell>
          <cell r="AK134">
            <v>1161372</v>
          </cell>
          <cell r="AL134">
            <v>470</v>
          </cell>
          <cell r="AM134">
            <v>1161817</v>
          </cell>
          <cell r="AN134">
            <v>445</v>
          </cell>
          <cell r="AO134">
            <v>1162723</v>
          </cell>
          <cell r="AP134">
            <v>906</v>
          </cell>
          <cell r="AQ134">
            <v>1162723</v>
          </cell>
          <cell r="AR134">
            <v>0</v>
          </cell>
          <cell r="AS134">
            <v>1163412</v>
          </cell>
        </row>
        <row r="135">
          <cell r="G135" t="str">
            <v>10.10.219.232</v>
          </cell>
          <cell r="H135">
            <v>784225</v>
          </cell>
          <cell r="I135">
            <v>784515</v>
          </cell>
          <cell r="J135">
            <v>290</v>
          </cell>
          <cell r="K135">
            <v>784515</v>
          </cell>
          <cell r="L135">
            <v>0</v>
          </cell>
          <cell r="M135">
            <v>784609</v>
          </cell>
          <cell r="N135">
            <v>94</v>
          </cell>
          <cell r="O135">
            <v>784802</v>
          </cell>
          <cell r="P135">
            <v>193</v>
          </cell>
          <cell r="Q135">
            <v>784802</v>
          </cell>
          <cell r="R135">
            <v>0</v>
          </cell>
          <cell r="S135">
            <v>785009</v>
          </cell>
          <cell r="T135">
            <v>207</v>
          </cell>
          <cell r="U135">
            <v>785294</v>
          </cell>
          <cell r="V135">
            <v>285</v>
          </cell>
          <cell r="W135">
            <v>785777</v>
          </cell>
          <cell r="X135">
            <v>483</v>
          </cell>
          <cell r="Y135">
            <v>786215</v>
          </cell>
          <cell r="Z135">
            <v>438</v>
          </cell>
          <cell r="AA135">
            <v>786436</v>
          </cell>
          <cell r="AB135">
            <v>221</v>
          </cell>
          <cell r="AC135">
            <v>786674</v>
          </cell>
          <cell r="AD135">
            <v>238</v>
          </cell>
          <cell r="AE135">
            <v>786995</v>
          </cell>
          <cell r="AF135">
            <v>321</v>
          </cell>
          <cell r="AG135">
            <v>787285</v>
          </cell>
          <cell r="AH135">
            <v>290</v>
          </cell>
          <cell r="AI135">
            <v>787638</v>
          </cell>
          <cell r="AJ135">
            <v>353</v>
          </cell>
          <cell r="AK135">
            <v>787904</v>
          </cell>
          <cell r="AL135">
            <v>266</v>
          </cell>
          <cell r="AM135">
            <v>788244</v>
          </cell>
          <cell r="AN135">
            <v>340</v>
          </cell>
          <cell r="AO135">
            <v>788796</v>
          </cell>
          <cell r="AP135">
            <v>552</v>
          </cell>
          <cell r="AQ135">
            <v>788796</v>
          </cell>
          <cell r="AR135">
            <v>0</v>
          </cell>
          <cell r="AS135">
            <v>789071</v>
          </cell>
        </row>
        <row r="136">
          <cell r="G136" t="str">
            <v>10.10.91.201</v>
          </cell>
          <cell r="H136">
            <v>345330</v>
          </cell>
          <cell r="I136">
            <v>345459</v>
          </cell>
          <cell r="J136">
            <v>129</v>
          </cell>
          <cell r="K136">
            <v>345459</v>
          </cell>
          <cell r="L136">
            <v>0</v>
          </cell>
          <cell r="M136">
            <v>345545</v>
          </cell>
          <cell r="N136">
            <v>86</v>
          </cell>
          <cell r="O136">
            <v>345624</v>
          </cell>
          <cell r="P136">
            <v>79</v>
          </cell>
          <cell r="Q136">
            <v>345705</v>
          </cell>
          <cell r="R136">
            <v>81</v>
          </cell>
          <cell r="S136">
            <v>345770</v>
          </cell>
          <cell r="T136">
            <v>65</v>
          </cell>
          <cell r="U136">
            <v>345837</v>
          </cell>
          <cell r="V136">
            <v>67</v>
          </cell>
          <cell r="W136">
            <v>345855</v>
          </cell>
          <cell r="X136">
            <v>18</v>
          </cell>
          <cell r="Y136">
            <v>345899</v>
          </cell>
          <cell r="Z136">
            <v>44</v>
          </cell>
          <cell r="AA136">
            <v>345970</v>
          </cell>
          <cell r="AB136">
            <v>71</v>
          </cell>
          <cell r="AC136">
            <v>346057</v>
          </cell>
          <cell r="AD136">
            <v>87</v>
          </cell>
          <cell r="AE136">
            <v>346167</v>
          </cell>
          <cell r="AF136">
            <v>110</v>
          </cell>
          <cell r="AG136">
            <v>346279</v>
          </cell>
          <cell r="AH136">
            <v>112</v>
          </cell>
          <cell r="AI136">
            <v>346334</v>
          </cell>
          <cell r="AJ136">
            <v>55</v>
          </cell>
          <cell r="AK136">
            <v>346413</v>
          </cell>
          <cell r="AL136">
            <v>79</v>
          </cell>
          <cell r="AM136">
            <v>346543</v>
          </cell>
          <cell r="AN136">
            <v>130</v>
          </cell>
          <cell r="AO136">
            <v>346668</v>
          </cell>
          <cell r="AP136">
            <v>125</v>
          </cell>
          <cell r="AQ136">
            <v>346668</v>
          </cell>
          <cell r="AR136">
            <v>0</v>
          </cell>
          <cell r="AS136">
            <v>346766</v>
          </cell>
        </row>
        <row r="137">
          <cell r="G137" t="str">
            <v>10.11.92.201</v>
          </cell>
          <cell r="H137">
            <v>398110</v>
          </cell>
          <cell r="I137">
            <v>398221</v>
          </cell>
          <cell r="J137">
            <v>111</v>
          </cell>
          <cell r="K137">
            <v>398221</v>
          </cell>
          <cell r="L137">
            <v>0</v>
          </cell>
          <cell r="M137">
            <v>398319</v>
          </cell>
          <cell r="N137">
            <v>98</v>
          </cell>
          <cell r="O137">
            <v>398434</v>
          </cell>
          <cell r="P137">
            <v>115</v>
          </cell>
          <cell r="Q137">
            <v>398634</v>
          </cell>
          <cell r="R137">
            <v>200</v>
          </cell>
          <cell r="S137">
            <v>398767</v>
          </cell>
          <cell r="T137">
            <v>133</v>
          </cell>
          <cell r="U137">
            <v>398861</v>
          </cell>
          <cell r="V137">
            <v>94</v>
          </cell>
          <cell r="W137">
            <v>398937</v>
          </cell>
          <cell r="X137">
            <v>76</v>
          </cell>
          <cell r="Y137">
            <v>399086</v>
          </cell>
          <cell r="Z137">
            <v>149</v>
          </cell>
          <cell r="AA137">
            <v>399210</v>
          </cell>
          <cell r="AB137">
            <v>124</v>
          </cell>
          <cell r="AC137">
            <v>399411</v>
          </cell>
          <cell r="AD137">
            <v>201</v>
          </cell>
          <cell r="AE137">
            <v>399529</v>
          </cell>
          <cell r="AF137">
            <v>118</v>
          </cell>
          <cell r="AG137">
            <v>399672</v>
          </cell>
          <cell r="AH137">
            <v>143</v>
          </cell>
          <cell r="AI137">
            <v>399846</v>
          </cell>
          <cell r="AJ137">
            <v>174</v>
          </cell>
          <cell r="AK137">
            <v>400013</v>
          </cell>
          <cell r="AL137">
            <v>167</v>
          </cell>
          <cell r="AM137">
            <v>400231</v>
          </cell>
          <cell r="AN137">
            <v>218</v>
          </cell>
          <cell r="AO137">
            <v>400516</v>
          </cell>
          <cell r="AP137">
            <v>285</v>
          </cell>
          <cell r="AQ137">
            <v>400516</v>
          </cell>
          <cell r="AR137">
            <v>0</v>
          </cell>
          <cell r="AS137">
            <v>400603</v>
          </cell>
        </row>
        <row r="138">
          <cell r="G138" t="str">
            <v>10.10.76.200</v>
          </cell>
          <cell r="H138">
            <v>472663</v>
          </cell>
          <cell r="I138">
            <v>472744</v>
          </cell>
          <cell r="J138">
            <v>81</v>
          </cell>
          <cell r="K138">
            <v>472744</v>
          </cell>
          <cell r="L138">
            <v>0</v>
          </cell>
          <cell r="M138">
            <v>472836</v>
          </cell>
          <cell r="N138">
            <v>92</v>
          </cell>
          <cell r="O138">
            <v>472868</v>
          </cell>
          <cell r="P138">
            <v>32</v>
          </cell>
          <cell r="Q138">
            <v>473015</v>
          </cell>
          <cell r="R138">
            <v>147</v>
          </cell>
          <cell r="S138">
            <v>473140</v>
          </cell>
          <cell r="T138">
            <v>125</v>
          </cell>
          <cell r="U138">
            <v>473231</v>
          </cell>
          <cell r="V138">
            <v>91</v>
          </cell>
          <cell r="W138">
            <v>473300</v>
          </cell>
          <cell r="X138">
            <v>69</v>
          </cell>
          <cell r="Y138">
            <v>473393</v>
          </cell>
          <cell r="Z138">
            <v>93</v>
          </cell>
          <cell r="AA138">
            <v>473456</v>
          </cell>
          <cell r="AB138">
            <v>63</v>
          </cell>
          <cell r="AC138">
            <v>473537</v>
          </cell>
          <cell r="AD138">
            <v>81</v>
          </cell>
          <cell r="AE138">
            <v>473672</v>
          </cell>
          <cell r="AF138">
            <v>135</v>
          </cell>
          <cell r="AG138">
            <v>473800</v>
          </cell>
          <cell r="AH138">
            <v>128</v>
          </cell>
          <cell r="AI138">
            <v>473948</v>
          </cell>
          <cell r="AJ138">
            <v>148</v>
          </cell>
          <cell r="AK138">
            <v>474076</v>
          </cell>
          <cell r="AL138">
            <v>128</v>
          </cell>
          <cell r="AM138">
            <v>474214</v>
          </cell>
          <cell r="AN138">
            <v>138</v>
          </cell>
          <cell r="AO138">
            <v>474514</v>
          </cell>
          <cell r="AP138">
            <v>300</v>
          </cell>
          <cell r="AQ138">
            <v>474514</v>
          </cell>
          <cell r="AR138">
            <v>0</v>
          </cell>
          <cell r="AS138">
            <v>474631</v>
          </cell>
        </row>
        <row r="139">
          <cell r="G139" t="str">
            <v>10.10.74.200</v>
          </cell>
          <cell r="H139">
            <v>632445</v>
          </cell>
          <cell r="I139">
            <v>632937</v>
          </cell>
          <cell r="J139">
            <v>492</v>
          </cell>
          <cell r="K139">
            <v>632937</v>
          </cell>
          <cell r="L139">
            <v>0</v>
          </cell>
          <cell r="M139">
            <v>633170</v>
          </cell>
          <cell r="N139">
            <v>233</v>
          </cell>
          <cell r="O139">
            <v>633473</v>
          </cell>
          <cell r="P139">
            <v>303</v>
          </cell>
          <cell r="Q139">
            <v>633745</v>
          </cell>
          <cell r="R139">
            <v>272</v>
          </cell>
          <cell r="S139">
            <v>634009</v>
          </cell>
          <cell r="T139">
            <v>264</v>
          </cell>
          <cell r="U139">
            <v>634281</v>
          </cell>
          <cell r="V139">
            <v>272</v>
          </cell>
          <cell r="W139">
            <v>634474</v>
          </cell>
          <cell r="X139">
            <v>193</v>
          </cell>
          <cell r="Y139">
            <v>634712</v>
          </cell>
          <cell r="Z139">
            <v>238</v>
          </cell>
          <cell r="AA139">
            <v>634873</v>
          </cell>
          <cell r="AB139">
            <v>161</v>
          </cell>
          <cell r="AC139">
            <v>635167</v>
          </cell>
          <cell r="AD139">
            <v>294</v>
          </cell>
          <cell r="AE139">
            <v>635439</v>
          </cell>
          <cell r="AF139">
            <v>272</v>
          </cell>
          <cell r="AG139">
            <v>635653</v>
          </cell>
          <cell r="AH139">
            <v>214</v>
          </cell>
          <cell r="AI139">
            <v>635956</v>
          </cell>
          <cell r="AJ139">
            <v>303</v>
          </cell>
          <cell r="AK139">
            <v>636242</v>
          </cell>
          <cell r="AL139">
            <v>286</v>
          </cell>
          <cell r="AM139">
            <v>636597</v>
          </cell>
          <cell r="AN139">
            <v>355</v>
          </cell>
          <cell r="AO139">
            <v>637093</v>
          </cell>
          <cell r="AP139">
            <v>496</v>
          </cell>
          <cell r="AQ139">
            <v>637093</v>
          </cell>
          <cell r="AR139">
            <v>0</v>
          </cell>
          <cell r="AS139">
            <v>637357</v>
          </cell>
        </row>
        <row r="140">
          <cell r="G140" t="str">
            <v>10.10.135.201</v>
          </cell>
          <cell r="H140">
            <v>772899</v>
          </cell>
          <cell r="I140">
            <v>773800</v>
          </cell>
          <cell r="J140">
            <v>901</v>
          </cell>
          <cell r="K140">
            <v>773800</v>
          </cell>
          <cell r="L140">
            <v>0</v>
          </cell>
          <cell r="M140">
            <v>774085</v>
          </cell>
          <cell r="N140">
            <v>285</v>
          </cell>
          <cell r="O140">
            <v>774242</v>
          </cell>
          <cell r="P140">
            <v>157</v>
          </cell>
          <cell r="Q140">
            <v>774638</v>
          </cell>
          <cell r="R140">
            <v>396</v>
          </cell>
          <cell r="S140">
            <v>774981</v>
          </cell>
          <cell r="T140">
            <v>343</v>
          </cell>
          <cell r="U140">
            <v>775415</v>
          </cell>
          <cell r="V140">
            <v>434</v>
          </cell>
          <cell r="W140">
            <v>775820</v>
          </cell>
          <cell r="X140">
            <v>405</v>
          </cell>
          <cell r="Y140">
            <v>776187</v>
          </cell>
          <cell r="Z140">
            <v>367</v>
          </cell>
          <cell r="AA140">
            <v>776512</v>
          </cell>
          <cell r="AB140">
            <v>325</v>
          </cell>
          <cell r="AC140">
            <v>776978</v>
          </cell>
          <cell r="AD140">
            <v>466</v>
          </cell>
          <cell r="AE140">
            <v>777370</v>
          </cell>
          <cell r="AF140">
            <v>392</v>
          </cell>
          <cell r="AG140">
            <v>777645</v>
          </cell>
          <cell r="AH140">
            <v>275</v>
          </cell>
          <cell r="AI140">
            <v>777949</v>
          </cell>
          <cell r="AJ140">
            <v>304</v>
          </cell>
          <cell r="AK140">
            <v>778297</v>
          </cell>
          <cell r="AL140">
            <v>348</v>
          </cell>
          <cell r="AM140">
            <v>778661</v>
          </cell>
          <cell r="AN140">
            <v>364</v>
          </cell>
          <cell r="AO140">
            <v>779302</v>
          </cell>
          <cell r="AP140">
            <v>641</v>
          </cell>
          <cell r="AQ140">
            <v>779302</v>
          </cell>
          <cell r="AR140">
            <v>0</v>
          </cell>
          <cell r="AS140">
            <v>779777</v>
          </cell>
        </row>
        <row r="141">
          <cell r="G141" t="str">
            <v>10.10.83.201</v>
          </cell>
          <cell r="H141">
            <v>407384</v>
          </cell>
          <cell r="I141">
            <v>407445</v>
          </cell>
          <cell r="J141">
            <v>61</v>
          </cell>
          <cell r="K141">
            <v>407445</v>
          </cell>
          <cell r="L141">
            <v>0</v>
          </cell>
          <cell r="M141">
            <v>407487</v>
          </cell>
          <cell r="N141">
            <v>42</v>
          </cell>
          <cell r="O141">
            <v>407524</v>
          </cell>
          <cell r="P141">
            <v>37</v>
          </cell>
          <cell r="Q141">
            <v>407580</v>
          </cell>
          <cell r="R141">
            <v>56</v>
          </cell>
          <cell r="S141">
            <v>407697</v>
          </cell>
          <cell r="T141">
            <v>117</v>
          </cell>
          <cell r="U141">
            <v>407705</v>
          </cell>
          <cell r="V141">
            <v>8</v>
          </cell>
          <cell r="W141">
            <v>407727</v>
          </cell>
          <cell r="X141">
            <v>22</v>
          </cell>
          <cell r="Y141">
            <v>407736</v>
          </cell>
          <cell r="Z141">
            <v>9</v>
          </cell>
          <cell r="AA141">
            <v>407750</v>
          </cell>
          <cell r="AB141">
            <v>14</v>
          </cell>
          <cell r="AC141">
            <v>407770</v>
          </cell>
          <cell r="AD141">
            <v>20</v>
          </cell>
          <cell r="AE141">
            <v>407782</v>
          </cell>
          <cell r="AF141">
            <v>12</v>
          </cell>
          <cell r="AG141">
            <v>407807</v>
          </cell>
          <cell r="AH141">
            <v>25</v>
          </cell>
          <cell r="AI141">
            <v>407836</v>
          </cell>
          <cell r="AJ141">
            <v>29</v>
          </cell>
          <cell r="AK141">
            <v>407884</v>
          </cell>
          <cell r="AL141">
            <v>48</v>
          </cell>
          <cell r="AM141">
            <v>407971</v>
          </cell>
          <cell r="AN141">
            <v>87</v>
          </cell>
          <cell r="AO141">
            <v>408042</v>
          </cell>
          <cell r="AP141">
            <v>71</v>
          </cell>
          <cell r="AQ141">
            <v>408042</v>
          </cell>
          <cell r="AR141">
            <v>0</v>
          </cell>
          <cell r="AS141">
            <v>408112</v>
          </cell>
        </row>
        <row r="142">
          <cell r="G142" t="str">
            <v>10.10.161.201</v>
          </cell>
          <cell r="H142">
            <v>773809</v>
          </cell>
          <cell r="I142">
            <v>774181</v>
          </cell>
          <cell r="J142">
            <v>372</v>
          </cell>
          <cell r="K142">
            <v>774181</v>
          </cell>
          <cell r="L142">
            <v>0</v>
          </cell>
          <cell r="M142">
            <v>774376</v>
          </cell>
          <cell r="N142">
            <v>195</v>
          </cell>
          <cell r="O142">
            <v>774565</v>
          </cell>
          <cell r="P142">
            <v>189</v>
          </cell>
          <cell r="Q142">
            <v>774806</v>
          </cell>
          <cell r="R142">
            <v>241</v>
          </cell>
          <cell r="S142">
            <v>774902</v>
          </cell>
          <cell r="T142">
            <v>96</v>
          </cell>
          <cell r="U142">
            <v>775267</v>
          </cell>
          <cell r="V142">
            <v>365</v>
          </cell>
          <cell r="W142">
            <v>775519</v>
          </cell>
          <cell r="X142">
            <v>252</v>
          </cell>
          <cell r="Y142">
            <v>775761</v>
          </cell>
          <cell r="Z142">
            <v>242</v>
          </cell>
          <cell r="AA142">
            <v>775971</v>
          </cell>
          <cell r="AB142">
            <v>210</v>
          </cell>
          <cell r="AC142">
            <v>776224</v>
          </cell>
          <cell r="AD142">
            <v>253</v>
          </cell>
          <cell r="AE142">
            <v>776502</v>
          </cell>
          <cell r="AF142">
            <v>278</v>
          </cell>
          <cell r="AG142">
            <v>776826</v>
          </cell>
          <cell r="AH142">
            <v>324</v>
          </cell>
          <cell r="AI142">
            <v>777269</v>
          </cell>
          <cell r="AJ142">
            <v>443</v>
          </cell>
          <cell r="AK142">
            <v>777499</v>
          </cell>
          <cell r="AL142">
            <v>230</v>
          </cell>
          <cell r="AM142">
            <v>777861</v>
          </cell>
          <cell r="AN142">
            <v>362</v>
          </cell>
          <cell r="AO142">
            <v>778392</v>
          </cell>
          <cell r="AP142">
            <v>531</v>
          </cell>
          <cell r="AQ142">
            <v>778392</v>
          </cell>
          <cell r="AR142">
            <v>0</v>
          </cell>
          <cell r="AS142">
            <v>778713</v>
          </cell>
        </row>
        <row r="143">
          <cell r="G143" t="str">
            <v>10.11.7.200</v>
          </cell>
          <cell r="H143">
            <v>622267</v>
          </cell>
          <cell r="I143">
            <v>622473</v>
          </cell>
          <cell r="J143">
            <v>206</v>
          </cell>
          <cell r="K143">
            <v>622473</v>
          </cell>
          <cell r="L143">
            <v>0</v>
          </cell>
          <cell r="M143">
            <v>622664</v>
          </cell>
          <cell r="N143">
            <v>191</v>
          </cell>
          <cell r="O143">
            <v>622874</v>
          </cell>
          <cell r="P143">
            <v>210</v>
          </cell>
          <cell r="Q143">
            <v>623044</v>
          </cell>
          <cell r="R143">
            <v>170</v>
          </cell>
          <cell r="S143">
            <v>623253</v>
          </cell>
          <cell r="T143">
            <v>209</v>
          </cell>
          <cell r="U143">
            <v>623518</v>
          </cell>
          <cell r="V143">
            <v>265</v>
          </cell>
          <cell r="W143">
            <v>623734</v>
          </cell>
          <cell r="X143">
            <v>216</v>
          </cell>
          <cell r="Y143">
            <v>623934</v>
          </cell>
          <cell r="Z143">
            <v>200</v>
          </cell>
          <cell r="AA143">
            <v>624273</v>
          </cell>
          <cell r="AB143">
            <v>339</v>
          </cell>
          <cell r="AC143">
            <v>624488</v>
          </cell>
          <cell r="AD143">
            <v>215</v>
          </cell>
          <cell r="AE143">
            <v>624705</v>
          </cell>
          <cell r="AF143">
            <v>217</v>
          </cell>
          <cell r="AG143">
            <v>624936</v>
          </cell>
          <cell r="AH143">
            <v>231</v>
          </cell>
          <cell r="AI143">
            <v>625109</v>
          </cell>
          <cell r="AJ143">
            <v>173</v>
          </cell>
          <cell r="AK143">
            <v>625289</v>
          </cell>
          <cell r="AL143">
            <v>180</v>
          </cell>
          <cell r="AM143">
            <v>625513</v>
          </cell>
          <cell r="AN143">
            <v>224</v>
          </cell>
          <cell r="AO143">
            <v>626193</v>
          </cell>
          <cell r="AP143">
            <v>680</v>
          </cell>
          <cell r="AQ143">
            <v>626193</v>
          </cell>
          <cell r="AR143">
            <v>0</v>
          </cell>
          <cell r="AS143">
            <v>626390</v>
          </cell>
        </row>
        <row r="144">
          <cell r="G144" t="str">
            <v>10.10.59.200</v>
          </cell>
          <cell r="H144">
            <v>943988</v>
          </cell>
          <cell r="I144">
            <v>944432</v>
          </cell>
          <cell r="J144">
            <v>444</v>
          </cell>
          <cell r="K144">
            <v>944432</v>
          </cell>
          <cell r="L144">
            <v>0</v>
          </cell>
          <cell r="M144">
            <v>944691</v>
          </cell>
          <cell r="N144">
            <v>259</v>
          </cell>
          <cell r="O144">
            <v>944893</v>
          </cell>
          <cell r="P144">
            <v>202</v>
          </cell>
          <cell r="Q144">
            <v>945087</v>
          </cell>
          <cell r="R144">
            <v>194</v>
          </cell>
          <cell r="S144">
            <v>945363</v>
          </cell>
          <cell r="T144">
            <v>276</v>
          </cell>
          <cell r="U144">
            <v>945619</v>
          </cell>
          <cell r="V144">
            <v>256</v>
          </cell>
          <cell r="W144">
            <v>945850</v>
          </cell>
          <cell r="X144">
            <v>231</v>
          </cell>
          <cell r="Y144">
            <v>946139</v>
          </cell>
          <cell r="Z144">
            <v>289</v>
          </cell>
          <cell r="AA144">
            <v>946424</v>
          </cell>
          <cell r="AB144">
            <v>285</v>
          </cell>
          <cell r="AC144">
            <v>946697</v>
          </cell>
          <cell r="AD144">
            <v>273</v>
          </cell>
          <cell r="AE144">
            <v>946993</v>
          </cell>
          <cell r="AF144">
            <v>296</v>
          </cell>
          <cell r="AG144">
            <v>947248</v>
          </cell>
          <cell r="AH144">
            <v>255</v>
          </cell>
          <cell r="AI144">
            <v>947553</v>
          </cell>
          <cell r="AJ144">
            <v>305</v>
          </cell>
          <cell r="AK144">
            <v>947852</v>
          </cell>
          <cell r="AL144">
            <v>299</v>
          </cell>
          <cell r="AM144">
            <v>948146</v>
          </cell>
          <cell r="AN144">
            <v>294</v>
          </cell>
          <cell r="AO144">
            <v>948772</v>
          </cell>
          <cell r="AP144">
            <v>626</v>
          </cell>
          <cell r="AQ144">
            <v>948772</v>
          </cell>
          <cell r="AR144">
            <v>0</v>
          </cell>
          <cell r="AS144">
            <v>949039</v>
          </cell>
        </row>
        <row r="145">
          <cell r="G145" t="str">
            <v>10.10.230.202</v>
          </cell>
          <cell r="H145">
            <v>456894</v>
          </cell>
          <cell r="I145">
            <v>457418</v>
          </cell>
          <cell r="J145">
            <v>524</v>
          </cell>
          <cell r="K145">
            <v>457418</v>
          </cell>
          <cell r="L145">
            <v>0</v>
          </cell>
          <cell r="M145">
            <v>457593</v>
          </cell>
          <cell r="N145">
            <v>175</v>
          </cell>
          <cell r="O145">
            <v>457779</v>
          </cell>
          <cell r="P145">
            <v>186</v>
          </cell>
          <cell r="Q145">
            <v>458079</v>
          </cell>
          <cell r="R145">
            <v>300</v>
          </cell>
          <cell r="S145">
            <v>458251</v>
          </cell>
          <cell r="T145">
            <v>172</v>
          </cell>
          <cell r="U145">
            <v>458400</v>
          </cell>
          <cell r="V145">
            <v>149</v>
          </cell>
          <cell r="W145">
            <v>458583</v>
          </cell>
          <cell r="X145">
            <v>183</v>
          </cell>
          <cell r="Y145">
            <v>458840</v>
          </cell>
          <cell r="Z145">
            <v>257</v>
          </cell>
          <cell r="AA145">
            <v>459024</v>
          </cell>
          <cell r="AB145">
            <v>184</v>
          </cell>
          <cell r="AC145">
            <v>459327</v>
          </cell>
          <cell r="AD145">
            <v>303</v>
          </cell>
          <cell r="AE145">
            <v>459460</v>
          </cell>
          <cell r="AF145">
            <v>133</v>
          </cell>
          <cell r="AG145">
            <v>459656</v>
          </cell>
          <cell r="AH145">
            <v>196</v>
          </cell>
          <cell r="AI145">
            <v>459757</v>
          </cell>
          <cell r="AJ145">
            <v>101</v>
          </cell>
          <cell r="AK145">
            <v>459901</v>
          </cell>
          <cell r="AL145">
            <v>144</v>
          </cell>
          <cell r="AM145">
            <v>460172</v>
          </cell>
          <cell r="AN145">
            <v>271</v>
          </cell>
          <cell r="AO145">
            <v>460380</v>
          </cell>
          <cell r="AP145">
            <v>208</v>
          </cell>
          <cell r="AQ145">
            <v>460380</v>
          </cell>
          <cell r="AR145">
            <v>0</v>
          </cell>
          <cell r="AS145">
            <v>460460</v>
          </cell>
        </row>
        <row r="146">
          <cell r="G146" t="str">
            <v>10.10.209.200</v>
          </cell>
          <cell r="H146">
            <v>967246</v>
          </cell>
          <cell r="I146">
            <v>968133</v>
          </cell>
          <cell r="J146">
            <v>887</v>
          </cell>
          <cell r="K146">
            <v>968133</v>
          </cell>
          <cell r="L146">
            <v>0</v>
          </cell>
          <cell r="M146">
            <v>968662</v>
          </cell>
          <cell r="N146">
            <v>529</v>
          </cell>
          <cell r="O146">
            <v>969277</v>
          </cell>
          <cell r="P146">
            <v>615</v>
          </cell>
          <cell r="Q146">
            <v>969706</v>
          </cell>
          <cell r="R146">
            <v>429</v>
          </cell>
          <cell r="S146">
            <v>970174</v>
          </cell>
          <cell r="T146">
            <v>468</v>
          </cell>
          <cell r="U146">
            <v>970630</v>
          </cell>
          <cell r="V146">
            <v>456</v>
          </cell>
          <cell r="W146">
            <v>971047</v>
          </cell>
          <cell r="X146">
            <v>417</v>
          </cell>
          <cell r="Y146">
            <v>971462</v>
          </cell>
          <cell r="Z146">
            <v>415</v>
          </cell>
          <cell r="AA146">
            <v>971758</v>
          </cell>
          <cell r="AB146">
            <v>296</v>
          </cell>
          <cell r="AC146">
            <v>972035</v>
          </cell>
          <cell r="AD146">
            <v>277</v>
          </cell>
          <cell r="AE146">
            <v>972397</v>
          </cell>
          <cell r="AF146">
            <v>362</v>
          </cell>
          <cell r="AG146">
            <v>972644</v>
          </cell>
          <cell r="AH146">
            <v>247</v>
          </cell>
          <cell r="AI146">
            <v>973011</v>
          </cell>
          <cell r="AJ146">
            <v>367</v>
          </cell>
          <cell r="AK146">
            <v>973417</v>
          </cell>
          <cell r="AL146">
            <v>406</v>
          </cell>
          <cell r="AM146">
            <v>973809</v>
          </cell>
          <cell r="AN146">
            <v>392</v>
          </cell>
          <cell r="AO146">
            <v>974858</v>
          </cell>
          <cell r="AP146">
            <v>1049</v>
          </cell>
          <cell r="AQ146">
            <v>974858</v>
          </cell>
          <cell r="AR146">
            <v>0</v>
          </cell>
          <cell r="AS146">
            <v>975328</v>
          </cell>
        </row>
        <row r="147">
          <cell r="G147" t="str">
            <v>10.10.78.200</v>
          </cell>
          <cell r="H147">
            <v>685039</v>
          </cell>
          <cell r="I147">
            <v>685291</v>
          </cell>
          <cell r="J147">
            <v>252</v>
          </cell>
          <cell r="K147">
            <v>685291</v>
          </cell>
          <cell r="L147">
            <v>0</v>
          </cell>
          <cell r="M147">
            <v>685472</v>
          </cell>
          <cell r="N147">
            <v>181</v>
          </cell>
          <cell r="O147">
            <v>685696</v>
          </cell>
          <cell r="P147">
            <v>224</v>
          </cell>
          <cell r="Q147">
            <v>685947</v>
          </cell>
          <cell r="R147">
            <v>251</v>
          </cell>
          <cell r="S147">
            <v>686093</v>
          </cell>
          <cell r="T147">
            <v>146</v>
          </cell>
          <cell r="U147">
            <v>686255</v>
          </cell>
          <cell r="V147">
            <v>162</v>
          </cell>
          <cell r="W147">
            <v>686452</v>
          </cell>
          <cell r="X147">
            <v>197</v>
          </cell>
          <cell r="Y147">
            <v>686690</v>
          </cell>
          <cell r="Z147">
            <v>238</v>
          </cell>
          <cell r="AA147">
            <v>686843</v>
          </cell>
          <cell r="AB147">
            <v>153</v>
          </cell>
          <cell r="AC147">
            <v>687084</v>
          </cell>
          <cell r="AD147">
            <v>241</v>
          </cell>
          <cell r="AE147">
            <v>687316</v>
          </cell>
          <cell r="AF147">
            <v>232</v>
          </cell>
          <cell r="AG147">
            <v>687620</v>
          </cell>
          <cell r="AH147">
            <v>304</v>
          </cell>
          <cell r="AI147">
            <v>687813</v>
          </cell>
          <cell r="AJ147">
            <v>193</v>
          </cell>
          <cell r="AK147">
            <v>687982</v>
          </cell>
          <cell r="AL147">
            <v>169</v>
          </cell>
          <cell r="AM147">
            <v>688131</v>
          </cell>
          <cell r="AN147">
            <v>149</v>
          </cell>
          <cell r="AO147">
            <v>688526</v>
          </cell>
          <cell r="AP147">
            <v>395</v>
          </cell>
          <cell r="AQ147">
            <v>688526</v>
          </cell>
          <cell r="AR147">
            <v>0</v>
          </cell>
          <cell r="AS147">
            <v>688720</v>
          </cell>
        </row>
        <row r="148">
          <cell r="G148" t="str">
            <v>10.14.19.200</v>
          </cell>
          <cell r="H148">
            <v>582688</v>
          </cell>
          <cell r="I148">
            <v>583117</v>
          </cell>
          <cell r="J148">
            <v>429</v>
          </cell>
          <cell r="K148">
            <v>583117</v>
          </cell>
          <cell r="L148">
            <v>0</v>
          </cell>
          <cell r="M148">
            <v>583297</v>
          </cell>
          <cell r="N148">
            <v>180</v>
          </cell>
          <cell r="O148">
            <v>583499</v>
          </cell>
          <cell r="P148">
            <v>202</v>
          </cell>
          <cell r="Q148">
            <v>583703</v>
          </cell>
          <cell r="R148">
            <v>204</v>
          </cell>
          <cell r="S148">
            <v>583872</v>
          </cell>
          <cell r="T148">
            <v>169</v>
          </cell>
          <cell r="U148">
            <v>584038</v>
          </cell>
          <cell r="V148">
            <v>166</v>
          </cell>
          <cell r="W148">
            <v>584252</v>
          </cell>
          <cell r="X148">
            <v>214</v>
          </cell>
          <cell r="Y148">
            <v>584417</v>
          </cell>
          <cell r="Z148">
            <v>165</v>
          </cell>
          <cell r="AA148">
            <v>584640</v>
          </cell>
          <cell r="AB148">
            <v>223</v>
          </cell>
          <cell r="AC148">
            <v>584874</v>
          </cell>
          <cell r="AD148">
            <v>234</v>
          </cell>
          <cell r="AE148">
            <v>585106</v>
          </cell>
          <cell r="AF148">
            <v>232</v>
          </cell>
          <cell r="AG148">
            <v>585270</v>
          </cell>
          <cell r="AH148">
            <v>164</v>
          </cell>
          <cell r="AI148">
            <v>585469</v>
          </cell>
          <cell r="AJ148">
            <v>199</v>
          </cell>
          <cell r="AK148">
            <v>585679</v>
          </cell>
          <cell r="AL148">
            <v>210</v>
          </cell>
          <cell r="AM148">
            <v>585858</v>
          </cell>
          <cell r="AN148">
            <v>179</v>
          </cell>
          <cell r="AO148">
            <v>586299</v>
          </cell>
          <cell r="AP148">
            <v>441</v>
          </cell>
          <cell r="AQ148">
            <v>586299</v>
          </cell>
          <cell r="AR148">
            <v>0</v>
          </cell>
          <cell r="AS148">
            <v>586521</v>
          </cell>
        </row>
        <row r="149">
          <cell r="G149" t="str">
            <v>10.10.89.201</v>
          </cell>
          <cell r="H149">
            <v>781042</v>
          </cell>
          <cell r="I149">
            <v>781359</v>
          </cell>
          <cell r="J149">
            <v>317</v>
          </cell>
          <cell r="K149">
            <v>781359</v>
          </cell>
          <cell r="L149">
            <v>0</v>
          </cell>
          <cell r="M149">
            <v>781605</v>
          </cell>
          <cell r="N149">
            <v>246</v>
          </cell>
          <cell r="O149">
            <v>781830</v>
          </cell>
          <cell r="P149">
            <v>225</v>
          </cell>
          <cell r="Q149">
            <v>782010</v>
          </cell>
          <cell r="R149">
            <v>180</v>
          </cell>
          <cell r="S149">
            <v>782310</v>
          </cell>
          <cell r="T149">
            <v>300</v>
          </cell>
          <cell r="U149">
            <v>782525</v>
          </cell>
          <cell r="V149">
            <v>215</v>
          </cell>
          <cell r="W149">
            <v>782730</v>
          </cell>
          <cell r="X149">
            <v>205</v>
          </cell>
          <cell r="Y149">
            <v>782945</v>
          </cell>
          <cell r="Z149">
            <v>215</v>
          </cell>
          <cell r="AA149">
            <v>783188</v>
          </cell>
          <cell r="AB149">
            <v>243</v>
          </cell>
          <cell r="AC149">
            <v>783395</v>
          </cell>
          <cell r="AD149">
            <v>207</v>
          </cell>
          <cell r="AE149">
            <v>783658</v>
          </cell>
          <cell r="AF149">
            <v>263</v>
          </cell>
          <cell r="AG149">
            <v>783844</v>
          </cell>
          <cell r="AH149">
            <v>186</v>
          </cell>
          <cell r="AI149">
            <v>784079</v>
          </cell>
          <cell r="AJ149">
            <v>235</v>
          </cell>
          <cell r="AK149">
            <v>784259</v>
          </cell>
          <cell r="AL149">
            <v>180</v>
          </cell>
          <cell r="AM149">
            <v>784471</v>
          </cell>
          <cell r="AN149">
            <v>212</v>
          </cell>
          <cell r="AO149">
            <v>784982</v>
          </cell>
          <cell r="AP149">
            <v>511</v>
          </cell>
          <cell r="AQ149">
            <v>784982</v>
          </cell>
          <cell r="AR149">
            <v>0</v>
          </cell>
          <cell r="AS149">
            <v>785204</v>
          </cell>
        </row>
        <row r="150">
          <cell r="G150" t="str">
            <v>10.10.72.203</v>
          </cell>
          <cell r="H150">
            <v>661605</v>
          </cell>
          <cell r="I150">
            <v>662288</v>
          </cell>
          <cell r="J150">
            <v>683</v>
          </cell>
          <cell r="K150">
            <v>662288</v>
          </cell>
          <cell r="L150">
            <v>0</v>
          </cell>
          <cell r="M150">
            <v>662513</v>
          </cell>
          <cell r="N150">
            <v>225</v>
          </cell>
          <cell r="O150">
            <v>662893</v>
          </cell>
          <cell r="P150">
            <v>380</v>
          </cell>
          <cell r="Q150">
            <v>663153</v>
          </cell>
          <cell r="R150">
            <v>260</v>
          </cell>
          <cell r="S150">
            <v>663418</v>
          </cell>
          <cell r="T150">
            <v>265</v>
          </cell>
          <cell r="U150">
            <v>663612</v>
          </cell>
          <cell r="V150">
            <v>194</v>
          </cell>
          <cell r="W150">
            <v>663826</v>
          </cell>
          <cell r="X150">
            <v>214</v>
          </cell>
          <cell r="Y150">
            <v>664116</v>
          </cell>
          <cell r="Z150">
            <v>290</v>
          </cell>
          <cell r="AA150">
            <v>664323</v>
          </cell>
          <cell r="AB150">
            <v>207</v>
          </cell>
          <cell r="AC150">
            <v>664614</v>
          </cell>
          <cell r="AD150">
            <v>291</v>
          </cell>
          <cell r="AE150">
            <v>664916</v>
          </cell>
          <cell r="AF150">
            <v>302</v>
          </cell>
          <cell r="AG150">
            <v>665124</v>
          </cell>
          <cell r="AH150">
            <v>208</v>
          </cell>
          <cell r="AI150">
            <v>665332</v>
          </cell>
          <cell r="AJ150">
            <v>208</v>
          </cell>
          <cell r="AK150">
            <v>665544</v>
          </cell>
          <cell r="AL150">
            <v>212</v>
          </cell>
          <cell r="AM150">
            <v>665802</v>
          </cell>
          <cell r="AN150">
            <v>258</v>
          </cell>
          <cell r="AO150">
            <v>666283</v>
          </cell>
          <cell r="AP150">
            <v>481</v>
          </cell>
          <cell r="AQ150">
            <v>666283</v>
          </cell>
          <cell r="AR150">
            <v>0</v>
          </cell>
          <cell r="AS150">
            <v>666573</v>
          </cell>
        </row>
        <row r="151">
          <cell r="G151" t="str">
            <v>10.11.15.202</v>
          </cell>
          <cell r="H151">
            <v>678903</v>
          </cell>
          <cell r="I151">
            <v>679300</v>
          </cell>
          <cell r="J151">
            <v>397</v>
          </cell>
          <cell r="K151">
            <v>679300</v>
          </cell>
          <cell r="L151">
            <v>0</v>
          </cell>
          <cell r="M151">
            <v>679540</v>
          </cell>
          <cell r="N151">
            <v>240</v>
          </cell>
          <cell r="O151">
            <v>679839</v>
          </cell>
          <cell r="P151">
            <v>299</v>
          </cell>
          <cell r="Q151">
            <v>680162</v>
          </cell>
          <cell r="R151">
            <v>323</v>
          </cell>
          <cell r="S151">
            <v>680357</v>
          </cell>
          <cell r="T151">
            <v>195</v>
          </cell>
          <cell r="U151">
            <v>680630</v>
          </cell>
          <cell r="V151">
            <v>273</v>
          </cell>
          <cell r="W151">
            <v>680804</v>
          </cell>
          <cell r="X151">
            <v>174</v>
          </cell>
          <cell r="Y151">
            <v>681177</v>
          </cell>
          <cell r="Z151">
            <v>373</v>
          </cell>
          <cell r="AA151">
            <v>681437</v>
          </cell>
          <cell r="AB151">
            <v>260</v>
          </cell>
          <cell r="AC151">
            <v>681669</v>
          </cell>
          <cell r="AD151">
            <v>232</v>
          </cell>
          <cell r="AE151">
            <v>681913</v>
          </cell>
          <cell r="AF151">
            <v>244</v>
          </cell>
          <cell r="AG151">
            <v>682234</v>
          </cell>
          <cell r="AH151">
            <v>321</v>
          </cell>
          <cell r="AI151">
            <v>682652</v>
          </cell>
          <cell r="AJ151">
            <v>418</v>
          </cell>
          <cell r="AK151">
            <v>682943</v>
          </cell>
          <cell r="AL151">
            <v>291</v>
          </cell>
          <cell r="AM151">
            <v>683145</v>
          </cell>
          <cell r="AN151">
            <v>202</v>
          </cell>
          <cell r="AO151">
            <v>683581</v>
          </cell>
          <cell r="AP151">
            <v>436</v>
          </cell>
          <cell r="AQ151">
            <v>683581</v>
          </cell>
          <cell r="AR151">
            <v>0</v>
          </cell>
          <cell r="AS151">
            <v>683773</v>
          </cell>
        </row>
        <row r="152">
          <cell r="G152" t="str">
            <v>10.10.112.200</v>
          </cell>
          <cell r="H152">
            <v>481989</v>
          </cell>
          <cell r="I152">
            <v>482327</v>
          </cell>
          <cell r="J152">
            <v>338</v>
          </cell>
          <cell r="K152">
            <v>482327</v>
          </cell>
          <cell r="L152">
            <v>0</v>
          </cell>
          <cell r="M152">
            <v>482517</v>
          </cell>
          <cell r="N152">
            <v>190</v>
          </cell>
          <cell r="O152">
            <v>482602</v>
          </cell>
          <cell r="P152">
            <v>85</v>
          </cell>
          <cell r="Q152">
            <v>482810</v>
          </cell>
          <cell r="R152">
            <v>208</v>
          </cell>
          <cell r="S152">
            <v>483048</v>
          </cell>
          <cell r="T152">
            <v>238</v>
          </cell>
          <cell r="U152">
            <v>483350</v>
          </cell>
          <cell r="V152">
            <v>302</v>
          </cell>
          <cell r="W152">
            <v>483526</v>
          </cell>
          <cell r="X152">
            <v>176</v>
          </cell>
          <cell r="Y152">
            <v>483619</v>
          </cell>
          <cell r="Z152">
            <v>93</v>
          </cell>
          <cell r="AA152">
            <v>483862</v>
          </cell>
          <cell r="AB152">
            <v>243</v>
          </cell>
          <cell r="AC152">
            <v>484150</v>
          </cell>
          <cell r="AD152">
            <v>288</v>
          </cell>
          <cell r="AE152">
            <v>484437</v>
          </cell>
          <cell r="AF152">
            <v>287</v>
          </cell>
          <cell r="AG152">
            <v>484679</v>
          </cell>
          <cell r="AH152">
            <v>242</v>
          </cell>
          <cell r="AI152">
            <v>484840</v>
          </cell>
          <cell r="AJ152">
            <v>161</v>
          </cell>
          <cell r="AK152">
            <v>484948</v>
          </cell>
          <cell r="AL152">
            <v>108</v>
          </cell>
          <cell r="AM152">
            <v>485388</v>
          </cell>
          <cell r="AN152">
            <v>440</v>
          </cell>
          <cell r="AO152">
            <v>485553</v>
          </cell>
          <cell r="AP152">
            <v>165</v>
          </cell>
          <cell r="AQ152">
            <v>485553</v>
          </cell>
          <cell r="AR152">
            <v>0</v>
          </cell>
          <cell r="AS152">
            <v>485903</v>
          </cell>
        </row>
        <row r="153">
          <cell r="G153" t="str">
            <v>10.10.186.202</v>
          </cell>
          <cell r="H153">
            <v>376787</v>
          </cell>
          <cell r="I153">
            <v>377006</v>
          </cell>
          <cell r="J153">
            <v>219</v>
          </cell>
          <cell r="K153">
            <v>377006</v>
          </cell>
          <cell r="L153">
            <v>0</v>
          </cell>
          <cell r="M153">
            <v>377109</v>
          </cell>
          <cell r="N153">
            <v>103</v>
          </cell>
          <cell r="O153">
            <v>377170</v>
          </cell>
          <cell r="P153">
            <v>61</v>
          </cell>
          <cell r="Q153">
            <v>377285</v>
          </cell>
          <cell r="R153">
            <v>115</v>
          </cell>
          <cell r="S153">
            <v>377397</v>
          </cell>
          <cell r="T153">
            <v>112</v>
          </cell>
          <cell r="U153">
            <v>377644</v>
          </cell>
          <cell r="V153">
            <v>247</v>
          </cell>
          <cell r="W153">
            <v>377697</v>
          </cell>
          <cell r="X153">
            <v>53</v>
          </cell>
          <cell r="Y153">
            <v>377925</v>
          </cell>
          <cell r="Z153">
            <v>228</v>
          </cell>
          <cell r="AA153">
            <v>377988</v>
          </cell>
          <cell r="AB153">
            <v>63</v>
          </cell>
          <cell r="AC153">
            <v>378078</v>
          </cell>
          <cell r="AD153">
            <v>90</v>
          </cell>
          <cell r="AE153">
            <v>378264</v>
          </cell>
          <cell r="AF153">
            <v>186</v>
          </cell>
          <cell r="AG153">
            <v>378339</v>
          </cell>
          <cell r="AH153">
            <v>75</v>
          </cell>
          <cell r="AI153">
            <v>378387</v>
          </cell>
          <cell r="AJ153">
            <v>48</v>
          </cell>
          <cell r="AK153">
            <v>378454</v>
          </cell>
          <cell r="AL153">
            <v>67</v>
          </cell>
          <cell r="AM153">
            <v>378715</v>
          </cell>
          <cell r="AN153">
            <v>261</v>
          </cell>
          <cell r="AO153">
            <v>378989</v>
          </cell>
          <cell r="AP153">
            <v>274</v>
          </cell>
          <cell r="AQ153">
            <v>378989</v>
          </cell>
          <cell r="AR153">
            <v>0</v>
          </cell>
          <cell r="AS153">
            <v>379081</v>
          </cell>
        </row>
        <row r="154">
          <cell r="G154" t="str">
            <v>10.10.161.204</v>
          </cell>
          <cell r="H154">
            <v>383426</v>
          </cell>
          <cell r="I154">
            <v>383578</v>
          </cell>
          <cell r="J154">
            <v>152</v>
          </cell>
          <cell r="K154">
            <v>383578</v>
          </cell>
          <cell r="L154">
            <v>0</v>
          </cell>
          <cell r="M154">
            <v>383629</v>
          </cell>
          <cell r="N154">
            <v>51</v>
          </cell>
          <cell r="O154">
            <v>383634</v>
          </cell>
          <cell r="P154">
            <v>5</v>
          </cell>
          <cell r="Q154">
            <v>383639</v>
          </cell>
          <cell r="R154">
            <v>5</v>
          </cell>
          <cell r="S154">
            <v>383680</v>
          </cell>
          <cell r="T154">
            <v>41</v>
          </cell>
          <cell r="U154">
            <v>383680</v>
          </cell>
          <cell r="V154">
            <v>0</v>
          </cell>
          <cell r="W154">
            <v>383687</v>
          </cell>
          <cell r="X154">
            <v>7</v>
          </cell>
          <cell r="Y154">
            <v>383726</v>
          </cell>
          <cell r="Z154">
            <v>39</v>
          </cell>
          <cell r="AA154">
            <v>383762</v>
          </cell>
          <cell r="AB154">
            <v>36</v>
          </cell>
          <cell r="AC154">
            <v>383887</v>
          </cell>
          <cell r="AD154">
            <v>125</v>
          </cell>
          <cell r="AE154">
            <v>383917</v>
          </cell>
          <cell r="AF154">
            <v>30</v>
          </cell>
          <cell r="AG154">
            <v>383921</v>
          </cell>
          <cell r="AH154">
            <v>4</v>
          </cell>
          <cell r="AI154">
            <v>383937</v>
          </cell>
          <cell r="AJ154">
            <v>16</v>
          </cell>
          <cell r="AK154">
            <v>384182</v>
          </cell>
          <cell r="AL154">
            <v>245</v>
          </cell>
          <cell r="AM154">
            <v>384274</v>
          </cell>
          <cell r="AN154">
            <v>92</v>
          </cell>
          <cell r="AO154">
            <v>384340</v>
          </cell>
          <cell r="AP154">
            <v>66</v>
          </cell>
          <cell r="AQ154">
            <v>384340</v>
          </cell>
          <cell r="AR154">
            <v>0</v>
          </cell>
          <cell r="AS154">
            <v>384360</v>
          </cell>
        </row>
        <row r="155">
          <cell r="G155" t="str">
            <v>10.14.16.201</v>
          </cell>
          <cell r="H155">
            <v>539627</v>
          </cell>
          <cell r="I155">
            <v>540340</v>
          </cell>
          <cell r="J155">
            <v>713</v>
          </cell>
          <cell r="K155">
            <v>540340</v>
          </cell>
          <cell r="L155">
            <v>0</v>
          </cell>
          <cell r="M155">
            <v>540419</v>
          </cell>
          <cell r="N155">
            <v>79</v>
          </cell>
          <cell r="O155">
            <v>540716</v>
          </cell>
          <cell r="P155">
            <v>297</v>
          </cell>
          <cell r="Q155">
            <v>540716</v>
          </cell>
          <cell r="R155">
            <v>0</v>
          </cell>
          <cell r="S155">
            <v>541241</v>
          </cell>
          <cell r="T155">
            <v>525</v>
          </cell>
          <cell r="U155">
            <v>541497</v>
          </cell>
          <cell r="V155">
            <v>256</v>
          </cell>
          <cell r="W155">
            <v>541798</v>
          </cell>
          <cell r="X155">
            <v>301</v>
          </cell>
          <cell r="Y155">
            <v>542114</v>
          </cell>
          <cell r="Z155">
            <v>316</v>
          </cell>
          <cell r="AA155">
            <v>542503</v>
          </cell>
          <cell r="AB155">
            <v>389</v>
          </cell>
          <cell r="AC155">
            <v>542745</v>
          </cell>
          <cell r="AD155">
            <v>242</v>
          </cell>
          <cell r="AE155">
            <v>543068</v>
          </cell>
          <cell r="AF155">
            <v>323</v>
          </cell>
          <cell r="AG155">
            <v>543524</v>
          </cell>
          <cell r="AH155">
            <v>456</v>
          </cell>
          <cell r="AI155">
            <v>543880</v>
          </cell>
          <cell r="AJ155">
            <v>356</v>
          </cell>
          <cell r="AK155">
            <v>544045</v>
          </cell>
          <cell r="AL155">
            <v>165</v>
          </cell>
          <cell r="AM155">
            <v>544451</v>
          </cell>
          <cell r="AN155">
            <v>406</v>
          </cell>
          <cell r="AO155">
            <v>544938</v>
          </cell>
          <cell r="AP155">
            <v>487</v>
          </cell>
          <cell r="AQ155">
            <v>544938</v>
          </cell>
          <cell r="AR155">
            <v>0</v>
          </cell>
          <cell r="AS155">
            <v>545320</v>
          </cell>
        </row>
        <row r="156">
          <cell r="G156" t="str">
            <v>10.11.39.200</v>
          </cell>
          <cell r="H156">
            <v>608412</v>
          </cell>
          <cell r="I156">
            <v>608549</v>
          </cell>
          <cell r="J156">
            <v>137</v>
          </cell>
          <cell r="K156">
            <v>608549</v>
          </cell>
          <cell r="L156">
            <v>0</v>
          </cell>
          <cell r="M156">
            <v>608549</v>
          </cell>
          <cell r="N156">
            <v>0</v>
          </cell>
          <cell r="O156">
            <v>608549</v>
          </cell>
          <cell r="P156">
            <v>0</v>
          </cell>
          <cell r="Q156">
            <v>608573</v>
          </cell>
          <cell r="R156">
            <v>24</v>
          </cell>
          <cell r="S156">
            <v>608573</v>
          </cell>
          <cell r="T156">
            <v>0</v>
          </cell>
          <cell r="U156">
            <v>608573</v>
          </cell>
          <cell r="V156">
            <v>0</v>
          </cell>
          <cell r="W156">
            <v>608573</v>
          </cell>
          <cell r="X156">
            <v>0</v>
          </cell>
          <cell r="Y156">
            <v>608573</v>
          </cell>
          <cell r="Z156">
            <v>0</v>
          </cell>
          <cell r="AA156">
            <v>608599</v>
          </cell>
          <cell r="AB156">
            <v>26</v>
          </cell>
          <cell r="AC156">
            <v>608599</v>
          </cell>
          <cell r="AD156">
            <v>0</v>
          </cell>
          <cell r="AE156">
            <v>608599</v>
          </cell>
          <cell r="AF156">
            <v>0</v>
          </cell>
          <cell r="AG156">
            <v>608599</v>
          </cell>
          <cell r="AH156">
            <v>0</v>
          </cell>
          <cell r="AI156">
            <v>608611</v>
          </cell>
          <cell r="AJ156">
            <v>12</v>
          </cell>
          <cell r="AK156">
            <v>608611</v>
          </cell>
          <cell r="AL156">
            <v>0</v>
          </cell>
          <cell r="AM156">
            <v>608611</v>
          </cell>
          <cell r="AN156">
            <v>0</v>
          </cell>
          <cell r="AO156">
            <v>608611</v>
          </cell>
          <cell r="AP156">
            <v>0</v>
          </cell>
          <cell r="AQ156">
            <v>608611</v>
          </cell>
          <cell r="AR156">
            <v>0</v>
          </cell>
          <cell r="AS156">
            <v>608657</v>
          </cell>
        </row>
        <row r="157">
          <cell r="G157" t="str">
            <v>10.10.129.201</v>
          </cell>
          <cell r="H157">
            <v>637295</v>
          </cell>
          <cell r="I157">
            <v>637726</v>
          </cell>
          <cell r="J157">
            <v>431</v>
          </cell>
          <cell r="K157">
            <v>637726</v>
          </cell>
          <cell r="L157">
            <v>0</v>
          </cell>
          <cell r="M157">
            <v>637918</v>
          </cell>
          <cell r="N157">
            <v>192</v>
          </cell>
          <cell r="O157">
            <v>638120</v>
          </cell>
          <cell r="P157">
            <v>202</v>
          </cell>
          <cell r="Q157">
            <v>638347</v>
          </cell>
          <cell r="R157">
            <v>227</v>
          </cell>
          <cell r="S157">
            <v>638347</v>
          </cell>
          <cell r="T157">
            <v>0</v>
          </cell>
          <cell r="U157">
            <v>638347</v>
          </cell>
          <cell r="V157">
            <v>0</v>
          </cell>
          <cell r="W157">
            <v>638347</v>
          </cell>
          <cell r="X157">
            <v>0</v>
          </cell>
          <cell r="Y157">
            <v>638536</v>
          </cell>
          <cell r="Z157">
            <v>189</v>
          </cell>
          <cell r="AA157">
            <v>638736</v>
          </cell>
          <cell r="AB157">
            <v>200</v>
          </cell>
          <cell r="AC157">
            <v>638923</v>
          </cell>
          <cell r="AD157">
            <v>187</v>
          </cell>
          <cell r="AE157">
            <v>639195</v>
          </cell>
          <cell r="AF157">
            <v>272</v>
          </cell>
          <cell r="AG157">
            <v>639432</v>
          </cell>
          <cell r="AH157">
            <v>237</v>
          </cell>
          <cell r="AI157">
            <v>639668</v>
          </cell>
          <cell r="AJ157">
            <v>236</v>
          </cell>
          <cell r="AK157">
            <v>639846</v>
          </cell>
          <cell r="AL157">
            <v>178</v>
          </cell>
          <cell r="AM157">
            <v>640125</v>
          </cell>
          <cell r="AN157">
            <v>279</v>
          </cell>
          <cell r="AO157">
            <v>640578</v>
          </cell>
          <cell r="AP157">
            <v>453</v>
          </cell>
          <cell r="AQ157">
            <v>640578</v>
          </cell>
          <cell r="AR157">
            <v>0</v>
          </cell>
          <cell r="AS157">
            <v>640828</v>
          </cell>
        </row>
        <row r="158">
          <cell r="G158" t="str">
            <v>10.10.23.201</v>
          </cell>
          <cell r="H158">
            <v>690533</v>
          </cell>
          <cell r="I158">
            <v>691017</v>
          </cell>
          <cell r="J158">
            <v>484</v>
          </cell>
          <cell r="K158">
            <v>691017</v>
          </cell>
          <cell r="L158">
            <v>0</v>
          </cell>
          <cell r="M158">
            <v>691216</v>
          </cell>
          <cell r="N158">
            <v>199</v>
          </cell>
          <cell r="O158">
            <v>691353</v>
          </cell>
          <cell r="P158">
            <v>137</v>
          </cell>
          <cell r="Q158">
            <v>691513</v>
          </cell>
          <cell r="R158">
            <v>160</v>
          </cell>
          <cell r="S158">
            <v>691631</v>
          </cell>
          <cell r="T158">
            <v>118</v>
          </cell>
          <cell r="U158">
            <v>691832</v>
          </cell>
          <cell r="V158">
            <v>201</v>
          </cell>
          <cell r="W158">
            <v>691959</v>
          </cell>
          <cell r="X158">
            <v>127</v>
          </cell>
          <cell r="Y158">
            <v>692085</v>
          </cell>
          <cell r="Z158">
            <v>126</v>
          </cell>
          <cell r="AA158">
            <v>692241</v>
          </cell>
          <cell r="AB158">
            <v>156</v>
          </cell>
          <cell r="AC158">
            <v>692442</v>
          </cell>
          <cell r="AD158">
            <v>201</v>
          </cell>
          <cell r="AE158">
            <v>692575</v>
          </cell>
          <cell r="AF158">
            <v>133</v>
          </cell>
          <cell r="AG158">
            <v>692789</v>
          </cell>
          <cell r="AH158">
            <v>214</v>
          </cell>
          <cell r="AI158">
            <v>692989</v>
          </cell>
          <cell r="AJ158">
            <v>200</v>
          </cell>
          <cell r="AK158">
            <v>693268</v>
          </cell>
          <cell r="AL158">
            <v>279</v>
          </cell>
          <cell r="AM158">
            <v>693659</v>
          </cell>
          <cell r="AN158">
            <v>391</v>
          </cell>
          <cell r="AO158">
            <v>694135</v>
          </cell>
          <cell r="AP158">
            <v>476</v>
          </cell>
          <cell r="AQ158">
            <v>694135</v>
          </cell>
          <cell r="AR158">
            <v>0</v>
          </cell>
          <cell r="AS158">
            <v>694365</v>
          </cell>
        </row>
        <row r="159">
          <cell r="G159" t="str">
            <v>10.11.97.200</v>
          </cell>
          <cell r="H159">
            <v>279882</v>
          </cell>
          <cell r="I159">
            <v>280379</v>
          </cell>
          <cell r="J159">
            <v>497</v>
          </cell>
          <cell r="K159">
            <v>280379</v>
          </cell>
          <cell r="L159">
            <v>0</v>
          </cell>
          <cell r="M159">
            <v>280740</v>
          </cell>
          <cell r="N159">
            <v>361</v>
          </cell>
          <cell r="O159">
            <v>280967</v>
          </cell>
          <cell r="P159">
            <v>227</v>
          </cell>
          <cell r="Q159">
            <v>281296</v>
          </cell>
          <cell r="R159">
            <v>329</v>
          </cell>
          <cell r="S159">
            <v>281553</v>
          </cell>
          <cell r="T159">
            <v>257</v>
          </cell>
          <cell r="U159">
            <v>281747</v>
          </cell>
          <cell r="V159">
            <v>194</v>
          </cell>
          <cell r="W159">
            <v>281949</v>
          </cell>
          <cell r="X159">
            <v>202</v>
          </cell>
          <cell r="Y159">
            <v>282125</v>
          </cell>
          <cell r="Z159">
            <v>176</v>
          </cell>
          <cell r="AA159">
            <v>282254</v>
          </cell>
          <cell r="AB159">
            <v>129</v>
          </cell>
          <cell r="AC159">
            <v>282655</v>
          </cell>
          <cell r="AD159">
            <v>401</v>
          </cell>
          <cell r="AE159">
            <v>282879</v>
          </cell>
          <cell r="AF159">
            <v>224</v>
          </cell>
          <cell r="AG159">
            <v>283035</v>
          </cell>
          <cell r="AH159">
            <v>156</v>
          </cell>
          <cell r="AI159">
            <v>283165</v>
          </cell>
          <cell r="AJ159">
            <v>130</v>
          </cell>
          <cell r="AK159">
            <v>283467</v>
          </cell>
          <cell r="AL159">
            <v>302</v>
          </cell>
          <cell r="AM159">
            <v>283666</v>
          </cell>
          <cell r="AN159">
            <v>199</v>
          </cell>
          <cell r="AO159">
            <v>284202</v>
          </cell>
          <cell r="AP159">
            <v>536</v>
          </cell>
          <cell r="AQ159">
            <v>284202</v>
          </cell>
          <cell r="AR159">
            <v>0</v>
          </cell>
          <cell r="AS159">
            <v>284395</v>
          </cell>
        </row>
        <row r="160">
          <cell r="G160" t="str">
            <v>10.10.43.201</v>
          </cell>
          <cell r="H160">
            <v>506593</v>
          </cell>
          <cell r="I160">
            <v>506858</v>
          </cell>
          <cell r="J160">
            <v>265</v>
          </cell>
          <cell r="K160">
            <v>506858</v>
          </cell>
          <cell r="L160">
            <v>0</v>
          </cell>
          <cell r="M160">
            <v>506991</v>
          </cell>
          <cell r="N160">
            <v>133</v>
          </cell>
          <cell r="O160">
            <v>507122</v>
          </cell>
          <cell r="P160">
            <v>131</v>
          </cell>
          <cell r="Q160">
            <v>507264</v>
          </cell>
          <cell r="R160">
            <v>142</v>
          </cell>
          <cell r="S160">
            <v>507427</v>
          </cell>
          <cell r="T160">
            <v>163</v>
          </cell>
          <cell r="U160">
            <v>507552</v>
          </cell>
          <cell r="V160">
            <v>125</v>
          </cell>
          <cell r="W160">
            <v>507663</v>
          </cell>
          <cell r="X160">
            <v>111</v>
          </cell>
          <cell r="Y160">
            <v>507755</v>
          </cell>
          <cell r="Z160">
            <v>92</v>
          </cell>
          <cell r="AA160">
            <v>507855</v>
          </cell>
          <cell r="AB160">
            <v>100</v>
          </cell>
          <cell r="AC160">
            <v>508000</v>
          </cell>
          <cell r="AD160">
            <v>145</v>
          </cell>
          <cell r="AE160">
            <v>508120</v>
          </cell>
          <cell r="AF160">
            <v>120</v>
          </cell>
          <cell r="AG160">
            <v>508247</v>
          </cell>
          <cell r="AH160">
            <v>127</v>
          </cell>
          <cell r="AI160">
            <v>508467</v>
          </cell>
          <cell r="AJ160">
            <v>220</v>
          </cell>
          <cell r="AK160">
            <v>508640</v>
          </cell>
          <cell r="AL160">
            <v>173</v>
          </cell>
          <cell r="AM160">
            <v>508856</v>
          </cell>
          <cell r="AN160">
            <v>216</v>
          </cell>
          <cell r="AO160">
            <v>509077</v>
          </cell>
          <cell r="AP160">
            <v>221</v>
          </cell>
          <cell r="AQ160">
            <v>509077</v>
          </cell>
          <cell r="AR160">
            <v>0</v>
          </cell>
          <cell r="AS160">
            <v>509193</v>
          </cell>
        </row>
        <row r="161">
          <cell r="G161" t="str">
            <v>10.10.119.200</v>
          </cell>
          <cell r="H161">
            <v>628046</v>
          </cell>
          <cell r="I161">
            <v>628479</v>
          </cell>
          <cell r="J161">
            <v>433</v>
          </cell>
          <cell r="K161">
            <v>628479</v>
          </cell>
          <cell r="L161">
            <v>0</v>
          </cell>
          <cell r="M161">
            <v>628881</v>
          </cell>
          <cell r="N161">
            <v>402</v>
          </cell>
          <cell r="O161">
            <v>629060</v>
          </cell>
          <cell r="P161">
            <v>179</v>
          </cell>
          <cell r="Q161">
            <v>629060</v>
          </cell>
          <cell r="R161">
            <v>0</v>
          </cell>
          <cell r="S161">
            <v>629060</v>
          </cell>
          <cell r="T161">
            <v>0</v>
          </cell>
          <cell r="U161">
            <v>629393</v>
          </cell>
          <cell r="V161">
            <v>333</v>
          </cell>
          <cell r="W161">
            <v>629430</v>
          </cell>
          <cell r="X161">
            <v>37</v>
          </cell>
          <cell r="Y161">
            <v>629501</v>
          </cell>
          <cell r="Z161">
            <v>71</v>
          </cell>
          <cell r="AA161">
            <v>629723</v>
          </cell>
          <cell r="AB161">
            <v>222</v>
          </cell>
          <cell r="AC161">
            <v>630050</v>
          </cell>
          <cell r="AD161">
            <v>327</v>
          </cell>
          <cell r="AE161">
            <v>630469</v>
          </cell>
          <cell r="AF161">
            <v>419</v>
          </cell>
          <cell r="AG161">
            <v>630862</v>
          </cell>
          <cell r="AH161">
            <v>393</v>
          </cell>
          <cell r="AI161">
            <v>631230</v>
          </cell>
          <cell r="AJ161">
            <v>368</v>
          </cell>
          <cell r="AK161">
            <v>631623</v>
          </cell>
          <cell r="AL161">
            <v>393</v>
          </cell>
          <cell r="AM161">
            <v>631956</v>
          </cell>
          <cell r="AN161">
            <v>333</v>
          </cell>
          <cell r="AO161">
            <v>632333</v>
          </cell>
          <cell r="AP161">
            <v>377</v>
          </cell>
          <cell r="AQ161">
            <v>632333</v>
          </cell>
          <cell r="AR161">
            <v>0</v>
          </cell>
          <cell r="AS161">
            <v>632722</v>
          </cell>
        </row>
        <row r="162">
          <cell r="G162" t="str">
            <v>10.10.64.101</v>
          </cell>
          <cell r="H162">
            <v>587402</v>
          </cell>
          <cell r="I162">
            <v>587831</v>
          </cell>
          <cell r="J162">
            <v>429</v>
          </cell>
          <cell r="K162">
            <v>587831</v>
          </cell>
          <cell r="L162">
            <v>0</v>
          </cell>
          <cell r="M162">
            <v>587943</v>
          </cell>
          <cell r="N162">
            <v>112</v>
          </cell>
          <cell r="O162">
            <v>588124</v>
          </cell>
          <cell r="P162">
            <v>181</v>
          </cell>
          <cell r="Q162">
            <v>588243</v>
          </cell>
          <cell r="R162">
            <v>119</v>
          </cell>
          <cell r="S162">
            <v>588432</v>
          </cell>
          <cell r="T162">
            <v>189</v>
          </cell>
          <cell r="U162">
            <v>588618</v>
          </cell>
          <cell r="V162">
            <v>186</v>
          </cell>
          <cell r="W162">
            <v>588790</v>
          </cell>
          <cell r="X162">
            <v>172</v>
          </cell>
          <cell r="Y162">
            <v>588910</v>
          </cell>
          <cell r="Z162">
            <v>120</v>
          </cell>
          <cell r="AA162">
            <v>588958</v>
          </cell>
          <cell r="AB162">
            <v>48</v>
          </cell>
          <cell r="AC162">
            <v>589139</v>
          </cell>
          <cell r="AD162">
            <v>181</v>
          </cell>
          <cell r="AE162">
            <v>589324</v>
          </cell>
          <cell r="AF162">
            <v>185</v>
          </cell>
          <cell r="AG162">
            <v>589484</v>
          </cell>
          <cell r="AH162">
            <v>160</v>
          </cell>
          <cell r="AI162">
            <v>589635</v>
          </cell>
          <cell r="AJ162">
            <v>151</v>
          </cell>
          <cell r="AK162">
            <v>589777</v>
          </cell>
          <cell r="AL162">
            <v>142</v>
          </cell>
          <cell r="AM162">
            <v>589912</v>
          </cell>
          <cell r="AN162">
            <v>135</v>
          </cell>
          <cell r="AO162">
            <v>590147</v>
          </cell>
          <cell r="AP162">
            <v>235</v>
          </cell>
          <cell r="AQ162">
            <v>590147</v>
          </cell>
          <cell r="AR162">
            <v>0</v>
          </cell>
          <cell r="AS162">
            <v>590281</v>
          </cell>
        </row>
        <row r="163">
          <cell r="G163" t="str">
            <v>10.11.23.200</v>
          </cell>
          <cell r="H163">
            <v>450107</v>
          </cell>
          <cell r="I163">
            <v>450241</v>
          </cell>
          <cell r="J163">
            <v>134</v>
          </cell>
          <cell r="K163">
            <v>450241</v>
          </cell>
          <cell r="L163">
            <v>0</v>
          </cell>
          <cell r="M163">
            <v>450327</v>
          </cell>
          <cell r="N163">
            <v>86</v>
          </cell>
          <cell r="O163">
            <v>450399</v>
          </cell>
          <cell r="P163">
            <v>72</v>
          </cell>
          <cell r="Q163">
            <v>450509</v>
          </cell>
          <cell r="R163">
            <v>110</v>
          </cell>
          <cell r="S163">
            <v>450630</v>
          </cell>
          <cell r="T163">
            <v>121</v>
          </cell>
          <cell r="U163">
            <v>450723</v>
          </cell>
          <cell r="V163">
            <v>93</v>
          </cell>
          <cell r="W163">
            <v>450842</v>
          </cell>
          <cell r="X163">
            <v>119</v>
          </cell>
          <cell r="Y163">
            <v>450988</v>
          </cell>
          <cell r="Z163">
            <v>146</v>
          </cell>
          <cell r="AA163">
            <v>451132</v>
          </cell>
          <cell r="AB163">
            <v>144</v>
          </cell>
          <cell r="AC163">
            <v>451251</v>
          </cell>
          <cell r="AD163">
            <v>119</v>
          </cell>
          <cell r="AE163">
            <v>451389</v>
          </cell>
          <cell r="AF163">
            <v>138</v>
          </cell>
          <cell r="AG163">
            <v>451584</v>
          </cell>
          <cell r="AH163">
            <v>195</v>
          </cell>
          <cell r="AI163">
            <v>451746</v>
          </cell>
          <cell r="AJ163">
            <v>162</v>
          </cell>
          <cell r="AK163">
            <v>451901</v>
          </cell>
          <cell r="AL163">
            <v>155</v>
          </cell>
          <cell r="AM163">
            <v>452061</v>
          </cell>
          <cell r="AN163">
            <v>160</v>
          </cell>
          <cell r="AO163">
            <v>452290</v>
          </cell>
          <cell r="AP163">
            <v>229</v>
          </cell>
          <cell r="AQ163">
            <v>452290</v>
          </cell>
          <cell r="AR163">
            <v>0</v>
          </cell>
          <cell r="AS163">
            <v>452458</v>
          </cell>
        </row>
        <row r="164">
          <cell r="G164" t="str">
            <v>10.14.89.200</v>
          </cell>
          <cell r="H164">
            <v>763816</v>
          </cell>
          <cell r="I164">
            <v>764231</v>
          </cell>
          <cell r="J164">
            <v>415</v>
          </cell>
          <cell r="K164">
            <v>764231</v>
          </cell>
          <cell r="L164">
            <v>0</v>
          </cell>
          <cell r="M164">
            <v>764471</v>
          </cell>
          <cell r="N164">
            <v>240</v>
          </cell>
          <cell r="O164">
            <v>764543</v>
          </cell>
          <cell r="P164">
            <v>72</v>
          </cell>
          <cell r="Q164">
            <v>764810</v>
          </cell>
          <cell r="R164">
            <v>267</v>
          </cell>
          <cell r="S164">
            <v>765112</v>
          </cell>
          <cell r="T164">
            <v>302</v>
          </cell>
          <cell r="U164">
            <v>765397</v>
          </cell>
          <cell r="V164">
            <v>285</v>
          </cell>
          <cell r="W164">
            <v>765555</v>
          </cell>
          <cell r="X164">
            <v>158</v>
          </cell>
          <cell r="Y164">
            <v>765843</v>
          </cell>
          <cell r="Z164">
            <v>288</v>
          </cell>
          <cell r="AA164">
            <v>766281</v>
          </cell>
          <cell r="AB164">
            <v>438</v>
          </cell>
          <cell r="AC164">
            <v>766369</v>
          </cell>
          <cell r="AD164">
            <v>88</v>
          </cell>
          <cell r="AE164">
            <v>766369</v>
          </cell>
          <cell r="AF164">
            <v>0</v>
          </cell>
          <cell r="AG164">
            <v>766369</v>
          </cell>
          <cell r="AH164">
            <v>0</v>
          </cell>
          <cell r="AI164">
            <v>766369</v>
          </cell>
          <cell r="AJ164">
            <v>0</v>
          </cell>
          <cell r="AK164">
            <v>766369</v>
          </cell>
          <cell r="AL164">
            <v>0</v>
          </cell>
          <cell r="AM164">
            <v>766369</v>
          </cell>
          <cell r="AN164">
            <v>0</v>
          </cell>
          <cell r="AO164">
            <v>766369</v>
          </cell>
          <cell r="AP164">
            <v>0</v>
          </cell>
          <cell r="AQ164">
            <v>766369</v>
          </cell>
          <cell r="AR164">
            <v>0</v>
          </cell>
          <cell r="AS164">
            <v>766369</v>
          </cell>
        </row>
        <row r="165">
          <cell r="G165" t="str">
            <v>10.11.31.200</v>
          </cell>
          <cell r="H165">
            <v>846800</v>
          </cell>
          <cell r="I165">
            <v>847759</v>
          </cell>
          <cell r="J165">
            <v>959</v>
          </cell>
          <cell r="K165">
            <v>847759</v>
          </cell>
          <cell r="L165">
            <v>0</v>
          </cell>
          <cell r="M165">
            <v>848289</v>
          </cell>
          <cell r="N165">
            <v>530</v>
          </cell>
          <cell r="O165">
            <v>848771</v>
          </cell>
          <cell r="P165">
            <v>482</v>
          </cell>
          <cell r="Q165">
            <v>849353</v>
          </cell>
          <cell r="R165">
            <v>582</v>
          </cell>
          <cell r="S165">
            <v>849757</v>
          </cell>
          <cell r="T165">
            <v>404</v>
          </cell>
          <cell r="U165">
            <v>850593</v>
          </cell>
          <cell r="V165">
            <v>836</v>
          </cell>
          <cell r="W165">
            <v>850969</v>
          </cell>
          <cell r="X165">
            <v>376</v>
          </cell>
          <cell r="Y165">
            <v>851465</v>
          </cell>
          <cell r="Z165">
            <v>496</v>
          </cell>
          <cell r="AA165">
            <v>851989</v>
          </cell>
          <cell r="AB165">
            <v>524</v>
          </cell>
          <cell r="AC165">
            <v>852843</v>
          </cell>
          <cell r="AD165">
            <v>854</v>
          </cell>
          <cell r="AE165">
            <v>853660</v>
          </cell>
          <cell r="AF165">
            <v>817</v>
          </cell>
          <cell r="AG165">
            <v>854192</v>
          </cell>
          <cell r="AH165">
            <v>532</v>
          </cell>
          <cell r="AI165">
            <v>854564</v>
          </cell>
          <cell r="AJ165">
            <v>372</v>
          </cell>
          <cell r="AK165">
            <v>854959</v>
          </cell>
          <cell r="AL165">
            <v>395</v>
          </cell>
          <cell r="AM165">
            <v>855495</v>
          </cell>
          <cell r="AN165">
            <v>536</v>
          </cell>
          <cell r="AO165">
            <v>856753</v>
          </cell>
          <cell r="AP165">
            <v>1258</v>
          </cell>
          <cell r="AQ165">
            <v>856753</v>
          </cell>
          <cell r="AR165">
            <v>0</v>
          </cell>
          <cell r="AS165">
            <v>857289</v>
          </cell>
        </row>
        <row r="166">
          <cell r="G166" t="str">
            <v>10.11.6.200</v>
          </cell>
          <cell r="H166">
            <v>266748</v>
          </cell>
          <cell r="I166">
            <v>267289</v>
          </cell>
          <cell r="J166">
            <v>541</v>
          </cell>
          <cell r="K166">
            <v>267289</v>
          </cell>
          <cell r="L166">
            <v>0</v>
          </cell>
          <cell r="M166">
            <v>267427</v>
          </cell>
          <cell r="N166">
            <v>138</v>
          </cell>
          <cell r="O166">
            <v>267652</v>
          </cell>
          <cell r="P166">
            <v>225</v>
          </cell>
          <cell r="Q166">
            <v>267813</v>
          </cell>
          <cell r="R166">
            <v>161</v>
          </cell>
          <cell r="S166">
            <v>267973</v>
          </cell>
          <cell r="T166">
            <v>160</v>
          </cell>
          <cell r="U166">
            <v>268167</v>
          </cell>
          <cell r="V166">
            <v>194</v>
          </cell>
          <cell r="W166">
            <v>268330</v>
          </cell>
          <cell r="X166">
            <v>163</v>
          </cell>
          <cell r="Y166">
            <v>268575</v>
          </cell>
          <cell r="Z166">
            <v>245</v>
          </cell>
          <cell r="AA166">
            <v>268740</v>
          </cell>
          <cell r="AB166">
            <v>165</v>
          </cell>
          <cell r="AC166">
            <v>268898</v>
          </cell>
          <cell r="AD166">
            <v>158</v>
          </cell>
          <cell r="AE166">
            <v>269172</v>
          </cell>
          <cell r="AF166">
            <v>274</v>
          </cell>
          <cell r="AG166">
            <v>269390</v>
          </cell>
          <cell r="AH166">
            <v>218</v>
          </cell>
          <cell r="AI166">
            <v>269516</v>
          </cell>
          <cell r="AJ166">
            <v>126</v>
          </cell>
          <cell r="AK166">
            <v>269709</v>
          </cell>
          <cell r="AL166">
            <v>193</v>
          </cell>
          <cell r="AM166">
            <v>269879</v>
          </cell>
          <cell r="AN166">
            <v>170</v>
          </cell>
          <cell r="AO166">
            <v>270253</v>
          </cell>
          <cell r="AP166">
            <v>374</v>
          </cell>
          <cell r="AQ166">
            <v>270253</v>
          </cell>
          <cell r="AR166">
            <v>0</v>
          </cell>
          <cell r="AS166">
            <v>270433</v>
          </cell>
        </row>
        <row r="167">
          <cell r="G167" t="str">
            <v>10.10.146.200</v>
          </cell>
          <cell r="H167">
            <v>580183</v>
          </cell>
          <cell r="I167">
            <v>580832</v>
          </cell>
          <cell r="J167">
            <v>649</v>
          </cell>
          <cell r="K167">
            <v>580832</v>
          </cell>
          <cell r="L167">
            <v>0</v>
          </cell>
          <cell r="M167">
            <v>581112</v>
          </cell>
          <cell r="N167">
            <v>280</v>
          </cell>
          <cell r="O167">
            <v>581428</v>
          </cell>
          <cell r="P167">
            <v>316</v>
          </cell>
          <cell r="Q167">
            <v>581795</v>
          </cell>
          <cell r="R167">
            <v>367</v>
          </cell>
          <cell r="S167">
            <v>582162</v>
          </cell>
          <cell r="T167">
            <v>367</v>
          </cell>
          <cell r="U167">
            <v>582437</v>
          </cell>
          <cell r="V167">
            <v>275</v>
          </cell>
          <cell r="W167">
            <v>582658</v>
          </cell>
          <cell r="X167">
            <v>221</v>
          </cell>
          <cell r="Y167">
            <v>582836</v>
          </cell>
          <cell r="Z167">
            <v>178</v>
          </cell>
          <cell r="AA167">
            <v>583065</v>
          </cell>
          <cell r="AB167">
            <v>229</v>
          </cell>
          <cell r="AC167">
            <v>583313</v>
          </cell>
          <cell r="AD167">
            <v>248</v>
          </cell>
          <cell r="AE167">
            <v>583606</v>
          </cell>
          <cell r="AF167">
            <v>293</v>
          </cell>
          <cell r="AG167">
            <v>583891</v>
          </cell>
          <cell r="AH167">
            <v>285</v>
          </cell>
          <cell r="AI167">
            <v>584183</v>
          </cell>
          <cell r="AJ167">
            <v>292</v>
          </cell>
          <cell r="AK167">
            <v>584456</v>
          </cell>
          <cell r="AL167">
            <v>273</v>
          </cell>
          <cell r="AM167">
            <v>584737</v>
          </cell>
          <cell r="AN167">
            <v>281</v>
          </cell>
          <cell r="AO167">
            <v>585338</v>
          </cell>
          <cell r="AP167">
            <v>601</v>
          </cell>
          <cell r="AQ167">
            <v>585338</v>
          </cell>
          <cell r="AR167">
            <v>0</v>
          </cell>
          <cell r="AS167">
            <v>585660</v>
          </cell>
        </row>
        <row r="168">
          <cell r="G168" t="str">
            <v>10.10.168.201</v>
          </cell>
          <cell r="H168">
            <v>756074</v>
          </cell>
          <cell r="I168">
            <v>756889</v>
          </cell>
          <cell r="J168">
            <v>815</v>
          </cell>
          <cell r="K168">
            <v>756889</v>
          </cell>
          <cell r="L168">
            <v>0</v>
          </cell>
          <cell r="M168">
            <v>757182</v>
          </cell>
          <cell r="N168">
            <v>293</v>
          </cell>
          <cell r="O168">
            <v>757664</v>
          </cell>
          <cell r="P168">
            <v>482</v>
          </cell>
          <cell r="Q168">
            <v>758004</v>
          </cell>
          <cell r="R168">
            <v>340</v>
          </cell>
          <cell r="S168">
            <v>758320</v>
          </cell>
          <cell r="T168">
            <v>316</v>
          </cell>
          <cell r="U168">
            <v>758800</v>
          </cell>
          <cell r="V168">
            <v>480</v>
          </cell>
          <cell r="W168">
            <v>759256</v>
          </cell>
          <cell r="X168">
            <v>456</v>
          </cell>
          <cell r="Y168">
            <v>759648</v>
          </cell>
          <cell r="Z168">
            <v>392</v>
          </cell>
          <cell r="AA168">
            <v>759958</v>
          </cell>
          <cell r="AB168">
            <v>310</v>
          </cell>
          <cell r="AC168">
            <v>760404</v>
          </cell>
          <cell r="AD168">
            <v>446</v>
          </cell>
          <cell r="AE168">
            <v>760794</v>
          </cell>
          <cell r="AF168">
            <v>390</v>
          </cell>
          <cell r="AG168">
            <v>761180</v>
          </cell>
          <cell r="AH168">
            <v>386</v>
          </cell>
          <cell r="AI168">
            <v>761514</v>
          </cell>
          <cell r="AJ168">
            <v>334</v>
          </cell>
          <cell r="AK168">
            <v>761731</v>
          </cell>
          <cell r="AL168">
            <v>217</v>
          </cell>
          <cell r="AM168">
            <v>762061</v>
          </cell>
          <cell r="AN168">
            <v>330</v>
          </cell>
          <cell r="AO168">
            <v>762732</v>
          </cell>
          <cell r="AP168">
            <v>671</v>
          </cell>
          <cell r="AQ168">
            <v>762732</v>
          </cell>
          <cell r="AR168">
            <v>0</v>
          </cell>
          <cell r="AS168">
            <v>763030</v>
          </cell>
        </row>
        <row r="169">
          <cell r="G169" t="str">
            <v>10.10.14.240</v>
          </cell>
          <cell r="H169">
            <v>239769</v>
          </cell>
          <cell r="I169">
            <v>239786</v>
          </cell>
          <cell r="J169">
            <v>17</v>
          </cell>
          <cell r="K169">
            <v>239786</v>
          </cell>
          <cell r="L169">
            <v>0</v>
          </cell>
          <cell r="M169">
            <v>239796</v>
          </cell>
          <cell r="N169">
            <v>10</v>
          </cell>
          <cell r="O169">
            <v>239828</v>
          </cell>
          <cell r="P169">
            <v>32</v>
          </cell>
          <cell r="Q169">
            <v>239833</v>
          </cell>
          <cell r="R169">
            <v>5</v>
          </cell>
          <cell r="S169">
            <v>239839</v>
          </cell>
          <cell r="T169">
            <v>6</v>
          </cell>
          <cell r="U169">
            <v>239844</v>
          </cell>
          <cell r="V169">
            <v>5</v>
          </cell>
          <cell r="W169">
            <v>239851</v>
          </cell>
          <cell r="X169">
            <v>7</v>
          </cell>
          <cell r="Y169">
            <v>239856</v>
          </cell>
          <cell r="Z169">
            <v>5</v>
          </cell>
          <cell r="AA169">
            <v>239867</v>
          </cell>
          <cell r="AB169">
            <v>11</v>
          </cell>
          <cell r="AC169">
            <v>239875</v>
          </cell>
          <cell r="AD169">
            <v>8</v>
          </cell>
          <cell r="AE169">
            <v>239891</v>
          </cell>
          <cell r="AF169">
            <v>16</v>
          </cell>
          <cell r="AG169">
            <v>239906</v>
          </cell>
          <cell r="AH169">
            <v>15</v>
          </cell>
          <cell r="AI169">
            <v>239916</v>
          </cell>
          <cell r="AJ169">
            <v>10</v>
          </cell>
          <cell r="AK169">
            <v>239924</v>
          </cell>
          <cell r="AL169">
            <v>8</v>
          </cell>
          <cell r="AM169">
            <v>239947</v>
          </cell>
          <cell r="AN169">
            <v>23</v>
          </cell>
          <cell r="AO169">
            <v>239961</v>
          </cell>
          <cell r="AP169">
            <v>14</v>
          </cell>
          <cell r="AQ169">
            <v>239961</v>
          </cell>
          <cell r="AR169">
            <v>0</v>
          </cell>
          <cell r="AS169">
            <v>239968</v>
          </cell>
        </row>
        <row r="170">
          <cell r="G170" t="str">
            <v>10.10.233.201</v>
          </cell>
          <cell r="H170">
            <v>320797</v>
          </cell>
          <cell r="I170">
            <v>320957</v>
          </cell>
          <cell r="J170">
            <v>160</v>
          </cell>
          <cell r="K170">
            <v>320957</v>
          </cell>
          <cell r="L170">
            <v>0</v>
          </cell>
          <cell r="M170">
            <v>320994</v>
          </cell>
          <cell r="N170">
            <v>37</v>
          </cell>
          <cell r="O170">
            <v>321081</v>
          </cell>
          <cell r="P170">
            <v>87</v>
          </cell>
          <cell r="Q170">
            <v>321148</v>
          </cell>
          <cell r="R170">
            <v>67</v>
          </cell>
          <cell r="S170">
            <v>321188</v>
          </cell>
          <cell r="T170">
            <v>40</v>
          </cell>
          <cell r="U170">
            <v>321262</v>
          </cell>
          <cell r="V170">
            <v>74</v>
          </cell>
          <cell r="W170">
            <v>321306</v>
          </cell>
          <cell r="X170">
            <v>44</v>
          </cell>
          <cell r="Y170">
            <v>321391</v>
          </cell>
          <cell r="Z170">
            <v>85</v>
          </cell>
          <cell r="AA170">
            <v>321474</v>
          </cell>
          <cell r="AB170">
            <v>83</v>
          </cell>
          <cell r="AC170">
            <v>321567</v>
          </cell>
          <cell r="AD170">
            <v>93</v>
          </cell>
          <cell r="AE170">
            <v>321672</v>
          </cell>
          <cell r="AF170">
            <v>105</v>
          </cell>
          <cell r="AG170">
            <v>321733</v>
          </cell>
          <cell r="AH170">
            <v>61</v>
          </cell>
          <cell r="AI170">
            <v>321787</v>
          </cell>
          <cell r="AJ170">
            <v>54</v>
          </cell>
          <cell r="AK170">
            <v>321831</v>
          </cell>
          <cell r="AL170">
            <v>44</v>
          </cell>
          <cell r="AM170">
            <v>321908</v>
          </cell>
          <cell r="AN170">
            <v>77</v>
          </cell>
          <cell r="AO170">
            <v>322063</v>
          </cell>
          <cell r="AP170">
            <v>155</v>
          </cell>
          <cell r="AQ170">
            <v>322063</v>
          </cell>
          <cell r="AR170">
            <v>0</v>
          </cell>
          <cell r="AS170">
            <v>322089</v>
          </cell>
        </row>
        <row r="171">
          <cell r="G171" t="str">
            <v>10.10.147.202</v>
          </cell>
          <cell r="H171">
            <v>261403</v>
          </cell>
          <cell r="I171">
            <v>261464</v>
          </cell>
          <cell r="J171">
            <v>61</v>
          </cell>
          <cell r="K171">
            <v>261464</v>
          </cell>
          <cell r="L171">
            <v>0</v>
          </cell>
          <cell r="M171">
            <v>261486</v>
          </cell>
          <cell r="N171">
            <v>22</v>
          </cell>
          <cell r="O171">
            <v>261534</v>
          </cell>
          <cell r="P171">
            <v>48</v>
          </cell>
          <cell r="Q171">
            <v>261665</v>
          </cell>
          <cell r="R171">
            <v>131</v>
          </cell>
          <cell r="S171">
            <v>261732</v>
          </cell>
          <cell r="T171">
            <v>67</v>
          </cell>
          <cell r="U171">
            <v>261829</v>
          </cell>
          <cell r="V171">
            <v>97</v>
          </cell>
          <cell r="W171">
            <v>261872</v>
          </cell>
          <cell r="X171">
            <v>43</v>
          </cell>
          <cell r="Y171">
            <v>261914</v>
          </cell>
          <cell r="Z171">
            <v>42</v>
          </cell>
          <cell r="AA171">
            <v>261985</v>
          </cell>
          <cell r="AB171">
            <v>71</v>
          </cell>
          <cell r="AC171">
            <v>261996</v>
          </cell>
          <cell r="AD171">
            <v>11</v>
          </cell>
          <cell r="AE171">
            <v>262040</v>
          </cell>
          <cell r="AF171">
            <v>44</v>
          </cell>
          <cell r="AG171">
            <v>262118</v>
          </cell>
          <cell r="AH171">
            <v>78</v>
          </cell>
          <cell r="AI171">
            <v>262135</v>
          </cell>
          <cell r="AJ171">
            <v>17</v>
          </cell>
          <cell r="AK171">
            <v>262143</v>
          </cell>
          <cell r="AL171">
            <v>8</v>
          </cell>
          <cell r="AM171">
            <v>262154</v>
          </cell>
          <cell r="AN171">
            <v>11</v>
          </cell>
          <cell r="AO171">
            <v>262234</v>
          </cell>
          <cell r="AP171">
            <v>80</v>
          </cell>
          <cell r="AQ171">
            <v>262234</v>
          </cell>
          <cell r="AR171">
            <v>0</v>
          </cell>
          <cell r="AS171">
            <v>262251</v>
          </cell>
        </row>
        <row r="172">
          <cell r="G172" t="str">
            <v>10.10.159.200</v>
          </cell>
          <cell r="H172">
            <v>436914</v>
          </cell>
          <cell r="I172">
            <v>437385</v>
          </cell>
          <cell r="J172">
            <v>471</v>
          </cell>
          <cell r="K172">
            <v>437385</v>
          </cell>
          <cell r="L172">
            <v>0</v>
          </cell>
          <cell r="M172">
            <v>437855</v>
          </cell>
          <cell r="N172">
            <v>470</v>
          </cell>
          <cell r="O172">
            <v>438125</v>
          </cell>
          <cell r="P172">
            <v>270</v>
          </cell>
          <cell r="Q172">
            <v>438481</v>
          </cell>
          <cell r="R172">
            <v>356</v>
          </cell>
          <cell r="S172">
            <v>438849</v>
          </cell>
          <cell r="T172">
            <v>368</v>
          </cell>
          <cell r="U172">
            <v>439202</v>
          </cell>
          <cell r="V172">
            <v>353</v>
          </cell>
          <cell r="W172">
            <v>439512</v>
          </cell>
          <cell r="X172">
            <v>310</v>
          </cell>
          <cell r="Y172">
            <v>439849</v>
          </cell>
          <cell r="Z172">
            <v>337</v>
          </cell>
          <cell r="AA172">
            <v>440109</v>
          </cell>
          <cell r="AB172">
            <v>260</v>
          </cell>
          <cell r="AC172">
            <v>440445</v>
          </cell>
          <cell r="AD172">
            <v>336</v>
          </cell>
          <cell r="AE172">
            <v>440806</v>
          </cell>
          <cell r="AF172">
            <v>361</v>
          </cell>
          <cell r="AG172">
            <v>441283</v>
          </cell>
          <cell r="AH172">
            <v>477</v>
          </cell>
          <cell r="AI172">
            <v>441634</v>
          </cell>
          <cell r="AJ172">
            <v>351</v>
          </cell>
          <cell r="AK172">
            <v>441960</v>
          </cell>
          <cell r="AL172">
            <v>326</v>
          </cell>
          <cell r="AM172">
            <v>442317</v>
          </cell>
          <cell r="AN172">
            <v>357</v>
          </cell>
          <cell r="AO172">
            <v>442662</v>
          </cell>
          <cell r="AP172">
            <v>345</v>
          </cell>
          <cell r="AQ172">
            <v>442662</v>
          </cell>
          <cell r="AR172">
            <v>0</v>
          </cell>
          <cell r="AS172">
            <v>442955</v>
          </cell>
        </row>
        <row r="173">
          <cell r="G173" t="str">
            <v>10.10.206.205</v>
          </cell>
          <cell r="H173">
            <v>270440</v>
          </cell>
          <cell r="I173">
            <v>270590</v>
          </cell>
          <cell r="J173">
            <v>150</v>
          </cell>
          <cell r="K173">
            <v>270590</v>
          </cell>
          <cell r="L173">
            <v>0</v>
          </cell>
          <cell r="M173">
            <v>270699</v>
          </cell>
          <cell r="N173">
            <v>109</v>
          </cell>
          <cell r="O173">
            <v>270901</v>
          </cell>
          <cell r="P173">
            <v>202</v>
          </cell>
          <cell r="Q173">
            <v>270983</v>
          </cell>
          <cell r="R173">
            <v>82</v>
          </cell>
          <cell r="S173">
            <v>271041</v>
          </cell>
          <cell r="T173">
            <v>58</v>
          </cell>
          <cell r="U173">
            <v>271089</v>
          </cell>
          <cell r="V173">
            <v>48</v>
          </cell>
          <cell r="W173">
            <v>271199</v>
          </cell>
          <cell r="X173">
            <v>110</v>
          </cell>
          <cell r="Y173">
            <v>271290</v>
          </cell>
          <cell r="Z173">
            <v>91</v>
          </cell>
          <cell r="AA173">
            <v>271482</v>
          </cell>
          <cell r="AB173">
            <v>192</v>
          </cell>
          <cell r="AC173">
            <v>271631</v>
          </cell>
          <cell r="AD173">
            <v>149</v>
          </cell>
          <cell r="AE173">
            <v>271654</v>
          </cell>
          <cell r="AF173">
            <v>23</v>
          </cell>
          <cell r="AG173">
            <v>271730</v>
          </cell>
          <cell r="AH173">
            <v>76</v>
          </cell>
          <cell r="AI173">
            <v>271851</v>
          </cell>
          <cell r="AJ173">
            <v>121</v>
          </cell>
          <cell r="AK173">
            <v>272005</v>
          </cell>
          <cell r="AL173">
            <v>154</v>
          </cell>
          <cell r="AM173">
            <v>272067</v>
          </cell>
          <cell r="AN173">
            <v>62</v>
          </cell>
          <cell r="AO173">
            <v>272465</v>
          </cell>
          <cell r="AP173">
            <v>398</v>
          </cell>
          <cell r="AQ173">
            <v>272465</v>
          </cell>
          <cell r="AR173">
            <v>0</v>
          </cell>
          <cell r="AS173">
            <v>272579</v>
          </cell>
        </row>
        <row r="174">
          <cell r="G174" t="str">
            <v>10.14.84.199</v>
          </cell>
          <cell r="H174">
            <v>422882</v>
          </cell>
          <cell r="I174">
            <v>423245</v>
          </cell>
          <cell r="J174">
            <v>363</v>
          </cell>
          <cell r="K174">
            <v>423245</v>
          </cell>
          <cell r="L174">
            <v>0</v>
          </cell>
          <cell r="M174">
            <v>423333</v>
          </cell>
          <cell r="N174">
            <v>88</v>
          </cell>
          <cell r="O174">
            <v>423445</v>
          </cell>
          <cell r="P174">
            <v>112</v>
          </cell>
          <cell r="Q174">
            <v>423586</v>
          </cell>
          <cell r="R174">
            <v>141</v>
          </cell>
          <cell r="S174">
            <v>423695</v>
          </cell>
          <cell r="T174">
            <v>109</v>
          </cell>
          <cell r="U174">
            <v>423831</v>
          </cell>
          <cell r="V174">
            <v>136</v>
          </cell>
          <cell r="W174">
            <v>423934</v>
          </cell>
          <cell r="X174">
            <v>103</v>
          </cell>
          <cell r="Y174">
            <v>424074</v>
          </cell>
          <cell r="Z174">
            <v>140</v>
          </cell>
          <cell r="AA174">
            <v>424143</v>
          </cell>
          <cell r="AB174">
            <v>69</v>
          </cell>
          <cell r="AC174">
            <v>424276</v>
          </cell>
          <cell r="AD174">
            <v>133</v>
          </cell>
          <cell r="AE174">
            <v>424431</v>
          </cell>
          <cell r="AF174">
            <v>155</v>
          </cell>
          <cell r="AG174">
            <v>424577</v>
          </cell>
          <cell r="AH174">
            <v>146</v>
          </cell>
          <cell r="AI174">
            <v>424699</v>
          </cell>
          <cell r="AJ174">
            <v>122</v>
          </cell>
          <cell r="AK174">
            <v>424832</v>
          </cell>
          <cell r="AL174">
            <v>133</v>
          </cell>
          <cell r="AM174">
            <v>424954</v>
          </cell>
          <cell r="AN174">
            <v>122</v>
          </cell>
          <cell r="AO174">
            <v>425379</v>
          </cell>
          <cell r="AP174">
            <v>425</v>
          </cell>
          <cell r="AQ174">
            <v>425379</v>
          </cell>
          <cell r="AR174">
            <v>0</v>
          </cell>
          <cell r="AS174">
            <v>425547</v>
          </cell>
        </row>
        <row r="175">
          <cell r="G175" t="str">
            <v>10.10.147.200</v>
          </cell>
          <cell r="H175">
            <v>769140</v>
          </cell>
          <cell r="I175">
            <v>770067</v>
          </cell>
          <cell r="J175">
            <v>927</v>
          </cell>
          <cell r="K175">
            <v>770067</v>
          </cell>
          <cell r="L175">
            <v>0</v>
          </cell>
          <cell r="M175">
            <v>770502</v>
          </cell>
          <cell r="N175">
            <v>435</v>
          </cell>
          <cell r="O175">
            <v>770939</v>
          </cell>
          <cell r="P175">
            <v>437</v>
          </cell>
          <cell r="Q175">
            <v>771329</v>
          </cell>
          <cell r="R175">
            <v>390</v>
          </cell>
          <cell r="S175">
            <v>771806</v>
          </cell>
          <cell r="T175">
            <v>477</v>
          </cell>
          <cell r="U175">
            <v>772287</v>
          </cell>
          <cell r="V175">
            <v>481</v>
          </cell>
          <cell r="W175">
            <v>772735</v>
          </cell>
          <cell r="X175">
            <v>448</v>
          </cell>
          <cell r="Y175">
            <v>773105</v>
          </cell>
          <cell r="Z175">
            <v>370</v>
          </cell>
          <cell r="AA175">
            <v>773398</v>
          </cell>
          <cell r="AB175">
            <v>293</v>
          </cell>
          <cell r="AC175">
            <v>773845</v>
          </cell>
          <cell r="AD175">
            <v>447</v>
          </cell>
          <cell r="AE175">
            <v>774335</v>
          </cell>
          <cell r="AF175">
            <v>490</v>
          </cell>
          <cell r="AG175">
            <v>774711</v>
          </cell>
          <cell r="AH175">
            <v>376</v>
          </cell>
          <cell r="AI175">
            <v>775107</v>
          </cell>
          <cell r="AJ175">
            <v>396</v>
          </cell>
          <cell r="AK175">
            <v>775541</v>
          </cell>
          <cell r="AL175">
            <v>434</v>
          </cell>
          <cell r="AM175">
            <v>775990</v>
          </cell>
          <cell r="AN175">
            <v>449</v>
          </cell>
          <cell r="AO175">
            <v>776763</v>
          </cell>
          <cell r="AP175">
            <v>773</v>
          </cell>
          <cell r="AQ175">
            <v>776763</v>
          </cell>
          <cell r="AR175">
            <v>0</v>
          </cell>
          <cell r="AS175">
            <v>777239</v>
          </cell>
        </row>
        <row r="176">
          <cell r="G176" t="str">
            <v>10.10.161.206</v>
          </cell>
          <cell r="H176">
            <v>378709</v>
          </cell>
          <cell r="I176">
            <v>378940</v>
          </cell>
          <cell r="J176">
            <v>231</v>
          </cell>
          <cell r="K176">
            <v>378940</v>
          </cell>
          <cell r="L176">
            <v>0</v>
          </cell>
          <cell r="M176">
            <v>378998</v>
          </cell>
          <cell r="N176">
            <v>58</v>
          </cell>
          <cell r="O176">
            <v>379233</v>
          </cell>
          <cell r="P176">
            <v>235</v>
          </cell>
          <cell r="Q176">
            <v>379313</v>
          </cell>
          <cell r="R176">
            <v>80</v>
          </cell>
          <cell r="S176">
            <v>379405</v>
          </cell>
          <cell r="T176">
            <v>92</v>
          </cell>
          <cell r="U176">
            <v>379576</v>
          </cell>
          <cell r="V176">
            <v>171</v>
          </cell>
          <cell r="W176">
            <v>379750</v>
          </cell>
          <cell r="X176">
            <v>174</v>
          </cell>
          <cell r="Y176">
            <v>379893</v>
          </cell>
          <cell r="Z176">
            <v>143</v>
          </cell>
          <cell r="AA176">
            <v>379962</v>
          </cell>
          <cell r="AB176">
            <v>69</v>
          </cell>
          <cell r="AC176">
            <v>380120</v>
          </cell>
          <cell r="AD176">
            <v>158</v>
          </cell>
          <cell r="AE176">
            <v>380199</v>
          </cell>
          <cell r="AF176">
            <v>79</v>
          </cell>
          <cell r="AG176">
            <v>380261</v>
          </cell>
          <cell r="AH176">
            <v>62</v>
          </cell>
          <cell r="AI176">
            <v>380360</v>
          </cell>
          <cell r="AJ176">
            <v>99</v>
          </cell>
          <cell r="AK176">
            <v>380448</v>
          </cell>
          <cell r="AL176">
            <v>88</v>
          </cell>
          <cell r="AM176">
            <v>380617</v>
          </cell>
          <cell r="AN176">
            <v>169</v>
          </cell>
          <cell r="AO176">
            <v>380878</v>
          </cell>
          <cell r="AP176">
            <v>261</v>
          </cell>
          <cell r="AQ176">
            <v>380878</v>
          </cell>
          <cell r="AR176">
            <v>0</v>
          </cell>
          <cell r="AS176">
            <v>380907</v>
          </cell>
        </row>
        <row r="177">
          <cell r="G177" t="str">
            <v>10.10.83.203</v>
          </cell>
          <cell r="H177">
            <v>838954</v>
          </cell>
          <cell r="I177">
            <v>839957</v>
          </cell>
          <cell r="J177">
            <v>1003</v>
          </cell>
          <cell r="K177">
            <v>839957</v>
          </cell>
          <cell r="L177">
            <v>0</v>
          </cell>
          <cell r="M177">
            <v>840551</v>
          </cell>
          <cell r="N177">
            <v>594</v>
          </cell>
          <cell r="O177">
            <v>840950</v>
          </cell>
          <cell r="P177">
            <v>399</v>
          </cell>
          <cell r="Q177">
            <v>841570</v>
          </cell>
          <cell r="R177">
            <v>620</v>
          </cell>
          <cell r="S177">
            <v>842182</v>
          </cell>
          <cell r="T177">
            <v>612</v>
          </cell>
          <cell r="U177">
            <v>842888</v>
          </cell>
          <cell r="V177">
            <v>706</v>
          </cell>
          <cell r="W177">
            <v>843543</v>
          </cell>
          <cell r="X177">
            <v>655</v>
          </cell>
          <cell r="Y177">
            <v>844131</v>
          </cell>
          <cell r="Z177">
            <v>588</v>
          </cell>
          <cell r="AA177">
            <v>844737</v>
          </cell>
          <cell r="AB177">
            <v>606</v>
          </cell>
          <cell r="AC177">
            <v>845361</v>
          </cell>
          <cell r="AD177">
            <v>624</v>
          </cell>
          <cell r="AE177">
            <v>846112</v>
          </cell>
          <cell r="AF177">
            <v>751</v>
          </cell>
          <cell r="AG177">
            <v>846606</v>
          </cell>
          <cell r="AH177">
            <v>494</v>
          </cell>
          <cell r="AI177">
            <v>847176</v>
          </cell>
          <cell r="AJ177">
            <v>570</v>
          </cell>
          <cell r="AK177">
            <v>847727</v>
          </cell>
          <cell r="AL177">
            <v>551</v>
          </cell>
          <cell r="AM177">
            <v>848360</v>
          </cell>
          <cell r="AN177">
            <v>633</v>
          </cell>
          <cell r="AO177">
            <v>848963</v>
          </cell>
          <cell r="AP177">
            <v>603</v>
          </cell>
          <cell r="AQ177">
            <v>848963</v>
          </cell>
          <cell r="AR177">
            <v>0</v>
          </cell>
          <cell r="AS177">
            <v>849663</v>
          </cell>
        </row>
        <row r="178">
          <cell r="G178" t="str">
            <v>10.10.170.200</v>
          </cell>
          <cell r="H178">
            <v>561046</v>
          </cell>
          <cell r="I178">
            <v>561564</v>
          </cell>
          <cell r="J178">
            <v>518</v>
          </cell>
          <cell r="K178">
            <v>561564</v>
          </cell>
          <cell r="L178">
            <v>0</v>
          </cell>
          <cell r="M178">
            <v>561949</v>
          </cell>
          <cell r="N178">
            <v>385</v>
          </cell>
          <cell r="O178">
            <v>562223</v>
          </cell>
          <cell r="P178">
            <v>274</v>
          </cell>
          <cell r="Q178">
            <v>562518</v>
          </cell>
          <cell r="R178">
            <v>295</v>
          </cell>
          <cell r="S178">
            <v>562906</v>
          </cell>
          <cell r="T178">
            <v>388</v>
          </cell>
          <cell r="U178">
            <v>563415</v>
          </cell>
          <cell r="V178">
            <v>509</v>
          </cell>
          <cell r="W178">
            <v>563799</v>
          </cell>
          <cell r="X178">
            <v>384</v>
          </cell>
          <cell r="Y178">
            <v>564194</v>
          </cell>
          <cell r="Z178">
            <v>395</v>
          </cell>
          <cell r="AA178">
            <v>564242</v>
          </cell>
          <cell r="AB178">
            <v>48</v>
          </cell>
          <cell r="AC178">
            <v>564430</v>
          </cell>
          <cell r="AD178">
            <v>188</v>
          </cell>
          <cell r="AE178">
            <v>564941</v>
          </cell>
          <cell r="AF178">
            <v>511</v>
          </cell>
          <cell r="AG178">
            <v>565414</v>
          </cell>
          <cell r="AH178">
            <v>473</v>
          </cell>
          <cell r="AI178">
            <v>565757</v>
          </cell>
          <cell r="AJ178">
            <v>343</v>
          </cell>
          <cell r="AK178">
            <v>566252</v>
          </cell>
          <cell r="AL178">
            <v>495</v>
          </cell>
          <cell r="AM178">
            <v>566786</v>
          </cell>
          <cell r="AN178">
            <v>534</v>
          </cell>
          <cell r="AO178">
            <v>567445</v>
          </cell>
          <cell r="AP178">
            <v>659</v>
          </cell>
          <cell r="AQ178">
            <v>567445</v>
          </cell>
          <cell r="AR178">
            <v>0</v>
          </cell>
          <cell r="AS178">
            <v>567872</v>
          </cell>
        </row>
        <row r="179">
          <cell r="G179" t="str">
            <v>10.10.64.207</v>
          </cell>
          <cell r="H179">
            <v>439000</v>
          </cell>
          <cell r="I179">
            <v>439834</v>
          </cell>
          <cell r="J179">
            <v>834</v>
          </cell>
          <cell r="K179">
            <v>439834</v>
          </cell>
          <cell r="L179">
            <v>0</v>
          </cell>
          <cell r="M179">
            <v>440328</v>
          </cell>
          <cell r="N179">
            <v>494</v>
          </cell>
          <cell r="O179">
            <v>440829</v>
          </cell>
          <cell r="P179">
            <v>501</v>
          </cell>
          <cell r="Q179">
            <v>441215</v>
          </cell>
          <cell r="R179">
            <v>386</v>
          </cell>
          <cell r="S179">
            <v>441660</v>
          </cell>
          <cell r="T179">
            <v>445</v>
          </cell>
          <cell r="U179">
            <v>442117</v>
          </cell>
          <cell r="V179">
            <v>457</v>
          </cell>
          <cell r="W179">
            <v>442421</v>
          </cell>
          <cell r="X179">
            <v>304</v>
          </cell>
          <cell r="Y179">
            <v>442793</v>
          </cell>
          <cell r="Z179">
            <v>372</v>
          </cell>
          <cell r="AA179">
            <v>443119</v>
          </cell>
          <cell r="AB179">
            <v>326</v>
          </cell>
          <cell r="AC179">
            <v>443603</v>
          </cell>
          <cell r="AD179">
            <v>484</v>
          </cell>
          <cell r="AE179">
            <v>444007</v>
          </cell>
          <cell r="AF179">
            <v>404</v>
          </cell>
          <cell r="AG179">
            <v>444419</v>
          </cell>
          <cell r="AH179">
            <v>412</v>
          </cell>
          <cell r="AI179">
            <v>444852</v>
          </cell>
          <cell r="AJ179">
            <v>433</v>
          </cell>
          <cell r="AK179">
            <v>445224</v>
          </cell>
          <cell r="AL179">
            <v>372</v>
          </cell>
          <cell r="AM179">
            <v>445577</v>
          </cell>
          <cell r="AN179">
            <v>353</v>
          </cell>
          <cell r="AO179">
            <v>446473</v>
          </cell>
          <cell r="AP179">
            <v>896</v>
          </cell>
          <cell r="AQ179">
            <v>446473</v>
          </cell>
          <cell r="AR179">
            <v>0</v>
          </cell>
          <cell r="AS179">
            <v>446914</v>
          </cell>
        </row>
        <row r="180">
          <cell r="G180" t="str">
            <v>10.10.240.201</v>
          </cell>
          <cell r="H180">
            <v>398205</v>
          </cell>
          <cell r="I180">
            <v>398462</v>
          </cell>
          <cell r="J180">
            <v>257</v>
          </cell>
          <cell r="K180">
            <v>398462</v>
          </cell>
          <cell r="L180">
            <v>0</v>
          </cell>
          <cell r="M180">
            <v>398529</v>
          </cell>
          <cell r="N180">
            <v>67</v>
          </cell>
          <cell r="O180">
            <v>398645</v>
          </cell>
          <cell r="P180">
            <v>116</v>
          </cell>
          <cell r="Q180">
            <v>398716</v>
          </cell>
          <cell r="R180">
            <v>71</v>
          </cell>
          <cell r="S180">
            <v>398857</v>
          </cell>
          <cell r="T180">
            <v>141</v>
          </cell>
          <cell r="U180">
            <v>398983</v>
          </cell>
          <cell r="V180">
            <v>126</v>
          </cell>
          <cell r="W180">
            <v>399073</v>
          </cell>
          <cell r="X180">
            <v>90</v>
          </cell>
          <cell r="Y180">
            <v>399175</v>
          </cell>
          <cell r="Z180">
            <v>102</v>
          </cell>
          <cell r="AA180">
            <v>399268</v>
          </cell>
          <cell r="AB180">
            <v>93</v>
          </cell>
          <cell r="AC180">
            <v>399417</v>
          </cell>
          <cell r="AD180">
            <v>149</v>
          </cell>
          <cell r="AE180">
            <v>399579</v>
          </cell>
          <cell r="AF180">
            <v>162</v>
          </cell>
          <cell r="AG180">
            <v>399719</v>
          </cell>
          <cell r="AH180">
            <v>140</v>
          </cell>
          <cell r="AI180">
            <v>399816</v>
          </cell>
          <cell r="AJ180">
            <v>97</v>
          </cell>
          <cell r="AK180">
            <v>399954</v>
          </cell>
          <cell r="AL180">
            <v>138</v>
          </cell>
          <cell r="AM180">
            <v>400121</v>
          </cell>
          <cell r="AN180">
            <v>167</v>
          </cell>
          <cell r="AO180">
            <v>400543</v>
          </cell>
          <cell r="AP180">
            <v>422</v>
          </cell>
          <cell r="AQ180">
            <v>400543</v>
          </cell>
          <cell r="AR180">
            <v>0</v>
          </cell>
          <cell r="AS180">
            <v>400724</v>
          </cell>
        </row>
        <row r="181">
          <cell r="G181" t="str">
            <v>10.10.9.201</v>
          </cell>
          <cell r="H181">
            <v>614355</v>
          </cell>
          <cell r="I181">
            <v>614747</v>
          </cell>
          <cell r="J181">
            <v>392</v>
          </cell>
          <cell r="K181">
            <v>614747</v>
          </cell>
          <cell r="L181">
            <v>0</v>
          </cell>
          <cell r="M181">
            <v>614985</v>
          </cell>
          <cell r="N181">
            <v>238</v>
          </cell>
          <cell r="O181">
            <v>615175</v>
          </cell>
          <cell r="P181">
            <v>190</v>
          </cell>
          <cell r="Q181">
            <v>615540</v>
          </cell>
          <cell r="R181">
            <v>365</v>
          </cell>
          <cell r="S181">
            <v>615724</v>
          </cell>
          <cell r="T181">
            <v>184</v>
          </cell>
          <cell r="U181">
            <v>616081</v>
          </cell>
          <cell r="V181">
            <v>357</v>
          </cell>
          <cell r="W181">
            <v>616194</v>
          </cell>
          <cell r="X181">
            <v>113</v>
          </cell>
          <cell r="Y181">
            <v>616405</v>
          </cell>
          <cell r="Z181">
            <v>211</v>
          </cell>
          <cell r="AA181">
            <v>616656</v>
          </cell>
          <cell r="AB181">
            <v>251</v>
          </cell>
          <cell r="AC181">
            <v>616887</v>
          </cell>
          <cell r="AD181">
            <v>231</v>
          </cell>
          <cell r="AE181">
            <v>617139</v>
          </cell>
          <cell r="AF181">
            <v>252</v>
          </cell>
          <cell r="AG181">
            <v>617395</v>
          </cell>
          <cell r="AH181">
            <v>256</v>
          </cell>
          <cell r="AI181">
            <v>617681</v>
          </cell>
          <cell r="AJ181">
            <v>286</v>
          </cell>
          <cell r="AK181">
            <v>617982</v>
          </cell>
          <cell r="AL181">
            <v>301</v>
          </cell>
          <cell r="AM181">
            <v>618233</v>
          </cell>
          <cell r="AN181">
            <v>251</v>
          </cell>
          <cell r="AO181">
            <v>618730</v>
          </cell>
          <cell r="AP181">
            <v>497</v>
          </cell>
          <cell r="AQ181">
            <v>618730</v>
          </cell>
          <cell r="AR181">
            <v>0</v>
          </cell>
          <cell r="AS181">
            <v>619022</v>
          </cell>
        </row>
        <row r="182">
          <cell r="G182" t="str">
            <v>10.14.8.201</v>
          </cell>
          <cell r="H182">
            <v>384856</v>
          </cell>
          <cell r="I182">
            <v>385192</v>
          </cell>
          <cell r="J182">
            <v>336</v>
          </cell>
          <cell r="K182">
            <v>385192</v>
          </cell>
          <cell r="L182">
            <v>0</v>
          </cell>
          <cell r="M182">
            <v>385371</v>
          </cell>
          <cell r="N182">
            <v>179</v>
          </cell>
          <cell r="O182">
            <v>385635</v>
          </cell>
          <cell r="P182">
            <v>264</v>
          </cell>
          <cell r="Q182">
            <v>385890</v>
          </cell>
          <cell r="R182">
            <v>255</v>
          </cell>
          <cell r="S182">
            <v>386089</v>
          </cell>
          <cell r="T182">
            <v>199</v>
          </cell>
          <cell r="U182">
            <v>386316</v>
          </cell>
          <cell r="V182">
            <v>227</v>
          </cell>
          <cell r="W182">
            <v>386514</v>
          </cell>
          <cell r="X182">
            <v>198</v>
          </cell>
          <cell r="Y182">
            <v>386661</v>
          </cell>
          <cell r="Z182">
            <v>147</v>
          </cell>
          <cell r="AA182">
            <v>386818</v>
          </cell>
          <cell r="AB182">
            <v>157</v>
          </cell>
          <cell r="AC182">
            <v>386986</v>
          </cell>
          <cell r="AD182">
            <v>168</v>
          </cell>
          <cell r="AE182">
            <v>387174</v>
          </cell>
          <cell r="AF182">
            <v>188</v>
          </cell>
          <cell r="AG182">
            <v>387423</v>
          </cell>
          <cell r="AH182">
            <v>249</v>
          </cell>
          <cell r="AI182">
            <v>387647</v>
          </cell>
          <cell r="AJ182">
            <v>224</v>
          </cell>
          <cell r="AK182">
            <v>387845</v>
          </cell>
          <cell r="AL182">
            <v>198</v>
          </cell>
          <cell r="AM182">
            <v>388085</v>
          </cell>
          <cell r="AN182">
            <v>240</v>
          </cell>
          <cell r="AO182">
            <v>388470</v>
          </cell>
          <cell r="AP182">
            <v>385</v>
          </cell>
          <cell r="AQ182">
            <v>388470</v>
          </cell>
          <cell r="AR182">
            <v>0</v>
          </cell>
          <cell r="AS182">
            <v>388675</v>
          </cell>
        </row>
        <row r="183">
          <cell r="G183" t="str">
            <v>10.14.86.201</v>
          </cell>
          <cell r="H183">
            <v>377794</v>
          </cell>
          <cell r="I183">
            <v>378048</v>
          </cell>
          <cell r="J183">
            <v>254</v>
          </cell>
          <cell r="K183">
            <v>378048</v>
          </cell>
          <cell r="L183">
            <v>0</v>
          </cell>
          <cell r="M183">
            <v>378100</v>
          </cell>
          <cell r="N183">
            <v>52</v>
          </cell>
          <cell r="O183">
            <v>378155</v>
          </cell>
          <cell r="P183">
            <v>55</v>
          </cell>
          <cell r="Q183">
            <v>378283</v>
          </cell>
          <cell r="R183">
            <v>128</v>
          </cell>
          <cell r="S183">
            <v>378333</v>
          </cell>
          <cell r="T183">
            <v>50</v>
          </cell>
          <cell r="U183">
            <v>378429</v>
          </cell>
          <cell r="V183">
            <v>96</v>
          </cell>
          <cell r="W183">
            <v>378511</v>
          </cell>
          <cell r="X183">
            <v>82</v>
          </cell>
          <cell r="Y183">
            <v>378585</v>
          </cell>
          <cell r="Z183">
            <v>74</v>
          </cell>
          <cell r="AA183">
            <v>378656</v>
          </cell>
          <cell r="AB183">
            <v>71</v>
          </cell>
          <cell r="AC183">
            <v>378709</v>
          </cell>
          <cell r="AD183">
            <v>53</v>
          </cell>
          <cell r="AE183">
            <v>378788</v>
          </cell>
          <cell r="AF183">
            <v>79</v>
          </cell>
          <cell r="AG183">
            <v>378841</v>
          </cell>
          <cell r="AH183">
            <v>53</v>
          </cell>
          <cell r="AI183">
            <v>378920</v>
          </cell>
          <cell r="AJ183">
            <v>79</v>
          </cell>
          <cell r="AK183">
            <v>378989</v>
          </cell>
          <cell r="AL183">
            <v>69</v>
          </cell>
          <cell r="AM183">
            <v>379023</v>
          </cell>
          <cell r="AN183">
            <v>34</v>
          </cell>
          <cell r="AO183">
            <v>379197</v>
          </cell>
          <cell r="AP183">
            <v>174</v>
          </cell>
          <cell r="AQ183">
            <v>379197</v>
          </cell>
          <cell r="AR183">
            <v>0</v>
          </cell>
          <cell r="AS183">
            <v>379252</v>
          </cell>
        </row>
        <row r="184">
          <cell r="G184" t="str">
            <v>10.10.8.200</v>
          </cell>
          <cell r="H184">
            <v>156839</v>
          </cell>
          <cell r="I184">
            <v>156904</v>
          </cell>
          <cell r="J184">
            <v>65</v>
          </cell>
          <cell r="K184">
            <v>156904</v>
          </cell>
          <cell r="L184">
            <v>0</v>
          </cell>
          <cell r="M184">
            <v>156967</v>
          </cell>
          <cell r="N184">
            <v>63</v>
          </cell>
          <cell r="O184">
            <v>156986</v>
          </cell>
          <cell r="P184">
            <v>19</v>
          </cell>
          <cell r="Q184">
            <v>157025</v>
          </cell>
          <cell r="R184">
            <v>39</v>
          </cell>
          <cell r="S184">
            <v>157063</v>
          </cell>
          <cell r="T184">
            <v>38</v>
          </cell>
          <cell r="U184">
            <v>157109</v>
          </cell>
          <cell r="V184">
            <v>46</v>
          </cell>
          <cell r="W184">
            <v>157148</v>
          </cell>
          <cell r="X184">
            <v>39</v>
          </cell>
          <cell r="Y184">
            <v>157209</v>
          </cell>
          <cell r="Z184">
            <v>61</v>
          </cell>
          <cell r="AA184">
            <v>157239</v>
          </cell>
          <cell r="AB184">
            <v>30</v>
          </cell>
          <cell r="AC184">
            <v>157316</v>
          </cell>
          <cell r="AD184">
            <v>77</v>
          </cell>
          <cell r="AE184">
            <v>157337</v>
          </cell>
          <cell r="AF184">
            <v>21</v>
          </cell>
          <cell r="AG184">
            <v>157364</v>
          </cell>
          <cell r="AH184">
            <v>27</v>
          </cell>
          <cell r="AI184">
            <v>157411</v>
          </cell>
          <cell r="AJ184">
            <v>47</v>
          </cell>
          <cell r="AK184">
            <v>157458</v>
          </cell>
          <cell r="AL184">
            <v>47</v>
          </cell>
          <cell r="AM184">
            <v>157507</v>
          </cell>
          <cell r="AN184">
            <v>49</v>
          </cell>
          <cell r="AO184">
            <v>157619</v>
          </cell>
          <cell r="AP184">
            <v>112</v>
          </cell>
          <cell r="AQ184">
            <v>157619</v>
          </cell>
          <cell r="AR184">
            <v>0</v>
          </cell>
          <cell r="AS184">
            <v>157783</v>
          </cell>
        </row>
        <row r="185">
          <cell r="G185" t="str">
            <v>10.10.162.201</v>
          </cell>
          <cell r="H185">
            <v>130465</v>
          </cell>
          <cell r="I185">
            <v>130538</v>
          </cell>
          <cell r="J185">
            <v>73</v>
          </cell>
          <cell r="K185">
            <v>130538</v>
          </cell>
          <cell r="L185">
            <v>0</v>
          </cell>
          <cell r="M185">
            <v>130589</v>
          </cell>
          <cell r="N185">
            <v>51</v>
          </cell>
          <cell r="O185">
            <v>130636</v>
          </cell>
          <cell r="P185">
            <v>47</v>
          </cell>
          <cell r="Q185">
            <v>130683</v>
          </cell>
          <cell r="R185">
            <v>47</v>
          </cell>
          <cell r="S185">
            <v>130729</v>
          </cell>
          <cell r="T185">
            <v>46</v>
          </cell>
          <cell r="U185">
            <v>130779</v>
          </cell>
          <cell r="V185">
            <v>50</v>
          </cell>
          <cell r="W185">
            <v>130791</v>
          </cell>
          <cell r="X185">
            <v>12</v>
          </cell>
          <cell r="Y185">
            <v>130823</v>
          </cell>
          <cell r="Z185">
            <v>32</v>
          </cell>
          <cell r="AA185">
            <v>130850</v>
          </cell>
          <cell r="AB185">
            <v>27</v>
          </cell>
          <cell r="AC185">
            <v>130870</v>
          </cell>
          <cell r="AD185">
            <v>20</v>
          </cell>
          <cell r="AE185">
            <v>130892</v>
          </cell>
          <cell r="AF185">
            <v>22</v>
          </cell>
          <cell r="AG185">
            <v>130956</v>
          </cell>
          <cell r="AH185">
            <v>64</v>
          </cell>
          <cell r="AI185">
            <v>131099</v>
          </cell>
          <cell r="AJ185">
            <v>143</v>
          </cell>
          <cell r="AK185">
            <v>131231</v>
          </cell>
          <cell r="AL185">
            <v>132</v>
          </cell>
          <cell r="AM185">
            <v>131412</v>
          </cell>
          <cell r="AN185">
            <v>181</v>
          </cell>
          <cell r="AO185">
            <v>131683</v>
          </cell>
          <cell r="AP185">
            <v>271</v>
          </cell>
          <cell r="AQ185">
            <v>131683</v>
          </cell>
          <cell r="AR185">
            <v>0</v>
          </cell>
          <cell r="AS185">
            <v>131832</v>
          </cell>
        </row>
        <row r="186">
          <cell r="G186" t="str">
            <v>10.10.227.200</v>
          </cell>
          <cell r="H186">
            <v>564737</v>
          </cell>
          <cell r="I186">
            <v>565084</v>
          </cell>
          <cell r="J186">
            <v>347</v>
          </cell>
          <cell r="K186">
            <v>565084</v>
          </cell>
          <cell r="L186">
            <v>0</v>
          </cell>
          <cell r="M186">
            <v>565253</v>
          </cell>
          <cell r="N186">
            <v>169</v>
          </cell>
          <cell r="O186">
            <v>565466</v>
          </cell>
          <cell r="P186">
            <v>213</v>
          </cell>
          <cell r="Q186">
            <v>565637</v>
          </cell>
          <cell r="R186">
            <v>171</v>
          </cell>
          <cell r="S186">
            <v>565888</v>
          </cell>
          <cell r="T186">
            <v>251</v>
          </cell>
          <cell r="U186">
            <v>566047</v>
          </cell>
          <cell r="V186">
            <v>159</v>
          </cell>
          <cell r="W186">
            <v>566198</v>
          </cell>
          <cell r="X186">
            <v>151</v>
          </cell>
          <cell r="Y186">
            <v>566361</v>
          </cell>
          <cell r="Z186">
            <v>163</v>
          </cell>
          <cell r="AA186">
            <v>566473</v>
          </cell>
          <cell r="AB186">
            <v>112</v>
          </cell>
          <cell r="AC186">
            <v>566679</v>
          </cell>
          <cell r="AD186">
            <v>206</v>
          </cell>
          <cell r="AE186">
            <v>566875</v>
          </cell>
          <cell r="AF186">
            <v>196</v>
          </cell>
          <cell r="AG186">
            <v>567017</v>
          </cell>
          <cell r="AH186">
            <v>142</v>
          </cell>
          <cell r="AI186">
            <v>567179</v>
          </cell>
          <cell r="AJ186">
            <v>162</v>
          </cell>
          <cell r="AK186">
            <v>567297</v>
          </cell>
          <cell r="AL186">
            <v>118</v>
          </cell>
          <cell r="AM186">
            <v>567419</v>
          </cell>
          <cell r="AN186">
            <v>122</v>
          </cell>
          <cell r="AO186">
            <v>567613</v>
          </cell>
          <cell r="AP186">
            <v>194</v>
          </cell>
          <cell r="AQ186">
            <v>567613</v>
          </cell>
          <cell r="AR186">
            <v>0</v>
          </cell>
          <cell r="AS186">
            <v>567685</v>
          </cell>
        </row>
        <row r="187">
          <cell r="G187" t="str">
            <v>10.14.93.203</v>
          </cell>
          <cell r="H187">
            <v>523706</v>
          </cell>
          <cell r="I187">
            <v>523927</v>
          </cell>
          <cell r="J187">
            <v>221</v>
          </cell>
          <cell r="K187">
            <v>523927</v>
          </cell>
          <cell r="L187">
            <v>0</v>
          </cell>
          <cell r="M187">
            <v>524032</v>
          </cell>
          <cell r="N187">
            <v>105</v>
          </cell>
          <cell r="O187">
            <v>524098</v>
          </cell>
          <cell r="P187">
            <v>66</v>
          </cell>
          <cell r="Q187">
            <v>524240</v>
          </cell>
          <cell r="R187">
            <v>142</v>
          </cell>
          <cell r="S187">
            <v>524370</v>
          </cell>
          <cell r="T187">
            <v>130</v>
          </cell>
          <cell r="U187">
            <v>524490</v>
          </cell>
          <cell r="V187">
            <v>120</v>
          </cell>
          <cell r="W187">
            <v>524567</v>
          </cell>
          <cell r="X187">
            <v>77</v>
          </cell>
          <cell r="Y187">
            <v>524619</v>
          </cell>
          <cell r="Z187">
            <v>52</v>
          </cell>
          <cell r="AA187">
            <v>524700</v>
          </cell>
          <cell r="AB187">
            <v>81</v>
          </cell>
          <cell r="AC187">
            <v>524813</v>
          </cell>
          <cell r="AD187">
            <v>113</v>
          </cell>
          <cell r="AE187">
            <v>524972</v>
          </cell>
          <cell r="AF187">
            <v>159</v>
          </cell>
          <cell r="AG187">
            <v>525087</v>
          </cell>
          <cell r="AH187">
            <v>115</v>
          </cell>
          <cell r="AI187">
            <v>525192</v>
          </cell>
          <cell r="AJ187">
            <v>105</v>
          </cell>
          <cell r="AK187">
            <v>525282</v>
          </cell>
          <cell r="AL187">
            <v>90</v>
          </cell>
          <cell r="AM187">
            <v>525414</v>
          </cell>
          <cell r="AN187">
            <v>132</v>
          </cell>
          <cell r="AO187">
            <v>525984</v>
          </cell>
          <cell r="AP187">
            <v>570</v>
          </cell>
          <cell r="AQ187">
            <v>525984</v>
          </cell>
          <cell r="AR187">
            <v>0</v>
          </cell>
          <cell r="AS187">
            <v>526097</v>
          </cell>
        </row>
        <row r="188">
          <cell r="G188" t="str">
            <v>10.10.73.211</v>
          </cell>
          <cell r="H188">
            <v>618842</v>
          </cell>
          <cell r="I188">
            <v>619199</v>
          </cell>
          <cell r="J188">
            <v>357</v>
          </cell>
          <cell r="K188">
            <v>619199</v>
          </cell>
          <cell r="L188">
            <v>0</v>
          </cell>
          <cell r="M188">
            <v>619337</v>
          </cell>
          <cell r="N188">
            <v>138</v>
          </cell>
          <cell r="O188">
            <v>619527</v>
          </cell>
          <cell r="P188">
            <v>190</v>
          </cell>
          <cell r="Q188">
            <v>619645</v>
          </cell>
          <cell r="R188">
            <v>118</v>
          </cell>
          <cell r="S188">
            <v>619833</v>
          </cell>
          <cell r="T188">
            <v>188</v>
          </cell>
          <cell r="U188">
            <v>619941</v>
          </cell>
          <cell r="V188">
            <v>108</v>
          </cell>
          <cell r="W188">
            <v>620037</v>
          </cell>
          <cell r="X188">
            <v>96</v>
          </cell>
          <cell r="Y188">
            <v>620165</v>
          </cell>
          <cell r="Z188">
            <v>128</v>
          </cell>
          <cell r="AA188">
            <v>620247</v>
          </cell>
          <cell r="AB188">
            <v>82</v>
          </cell>
          <cell r="AC188">
            <v>620508</v>
          </cell>
          <cell r="AD188">
            <v>261</v>
          </cell>
          <cell r="AE188">
            <v>620675</v>
          </cell>
          <cell r="AF188">
            <v>167</v>
          </cell>
          <cell r="AG188">
            <v>620845</v>
          </cell>
          <cell r="AH188">
            <v>170</v>
          </cell>
          <cell r="AI188">
            <v>620999</v>
          </cell>
          <cell r="AJ188">
            <v>154</v>
          </cell>
          <cell r="AK188">
            <v>621167</v>
          </cell>
          <cell r="AL188">
            <v>168</v>
          </cell>
          <cell r="AM188">
            <v>621336</v>
          </cell>
          <cell r="AN188">
            <v>169</v>
          </cell>
          <cell r="AO188">
            <v>621746</v>
          </cell>
          <cell r="AP188">
            <v>410</v>
          </cell>
          <cell r="AQ188">
            <v>621746</v>
          </cell>
          <cell r="AR188">
            <v>0</v>
          </cell>
          <cell r="AS188">
            <v>621972</v>
          </cell>
        </row>
        <row r="189">
          <cell r="G189" t="str">
            <v>10.14.47.202</v>
          </cell>
          <cell r="H189">
            <v>529909</v>
          </cell>
          <cell r="I189">
            <v>530243</v>
          </cell>
          <cell r="J189">
            <v>334</v>
          </cell>
          <cell r="K189">
            <v>530243</v>
          </cell>
          <cell r="L189">
            <v>0</v>
          </cell>
          <cell r="M189">
            <v>530386</v>
          </cell>
          <cell r="N189">
            <v>143</v>
          </cell>
          <cell r="O189">
            <v>530519</v>
          </cell>
          <cell r="P189">
            <v>133</v>
          </cell>
          <cell r="Q189">
            <v>530699</v>
          </cell>
          <cell r="R189">
            <v>180</v>
          </cell>
          <cell r="S189">
            <v>530797</v>
          </cell>
          <cell r="T189">
            <v>98</v>
          </cell>
          <cell r="U189">
            <v>530977</v>
          </cell>
          <cell r="V189">
            <v>180</v>
          </cell>
          <cell r="W189">
            <v>531166</v>
          </cell>
          <cell r="X189">
            <v>189</v>
          </cell>
          <cell r="Y189">
            <v>531359</v>
          </cell>
          <cell r="Z189">
            <v>193</v>
          </cell>
          <cell r="AA189">
            <v>531507</v>
          </cell>
          <cell r="AB189">
            <v>148</v>
          </cell>
          <cell r="AC189">
            <v>531686</v>
          </cell>
          <cell r="AD189">
            <v>179</v>
          </cell>
          <cell r="AE189">
            <v>531858</v>
          </cell>
          <cell r="AF189">
            <v>172</v>
          </cell>
          <cell r="AG189">
            <v>532030</v>
          </cell>
          <cell r="AH189">
            <v>172</v>
          </cell>
          <cell r="AI189">
            <v>532255</v>
          </cell>
          <cell r="AJ189">
            <v>225</v>
          </cell>
          <cell r="AK189">
            <v>532378</v>
          </cell>
          <cell r="AL189">
            <v>123</v>
          </cell>
          <cell r="AM189">
            <v>532526</v>
          </cell>
          <cell r="AN189">
            <v>148</v>
          </cell>
          <cell r="AO189">
            <v>532820</v>
          </cell>
          <cell r="AP189">
            <v>294</v>
          </cell>
          <cell r="AQ189">
            <v>532820</v>
          </cell>
          <cell r="AR189">
            <v>0</v>
          </cell>
          <cell r="AS189">
            <v>532961</v>
          </cell>
        </row>
        <row r="190">
          <cell r="G190" t="str">
            <v>10.10.108.203</v>
          </cell>
          <cell r="H190">
            <v>869857</v>
          </cell>
          <cell r="I190">
            <v>870436</v>
          </cell>
          <cell r="J190">
            <v>579</v>
          </cell>
          <cell r="K190">
            <v>870436</v>
          </cell>
          <cell r="L190">
            <v>0</v>
          </cell>
          <cell r="M190">
            <v>870714</v>
          </cell>
          <cell r="N190">
            <v>278</v>
          </cell>
          <cell r="O190">
            <v>871051</v>
          </cell>
          <cell r="P190">
            <v>337</v>
          </cell>
          <cell r="Q190">
            <v>871377</v>
          </cell>
          <cell r="R190">
            <v>326</v>
          </cell>
          <cell r="S190">
            <v>871606</v>
          </cell>
          <cell r="T190">
            <v>229</v>
          </cell>
          <cell r="U190">
            <v>871952</v>
          </cell>
          <cell r="V190">
            <v>346</v>
          </cell>
          <cell r="W190">
            <v>872197</v>
          </cell>
          <cell r="X190">
            <v>245</v>
          </cell>
          <cell r="Y190">
            <v>872359</v>
          </cell>
          <cell r="Z190">
            <v>162</v>
          </cell>
          <cell r="AA190">
            <v>872655</v>
          </cell>
          <cell r="AB190">
            <v>296</v>
          </cell>
          <cell r="AC190">
            <v>872949</v>
          </cell>
          <cell r="AD190">
            <v>294</v>
          </cell>
          <cell r="AE190">
            <v>873276</v>
          </cell>
          <cell r="AF190">
            <v>327</v>
          </cell>
          <cell r="AG190">
            <v>873558</v>
          </cell>
          <cell r="AH190">
            <v>282</v>
          </cell>
          <cell r="AI190">
            <v>873899</v>
          </cell>
          <cell r="AJ190">
            <v>341</v>
          </cell>
          <cell r="AK190">
            <v>874156</v>
          </cell>
          <cell r="AL190">
            <v>257</v>
          </cell>
          <cell r="AM190">
            <v>874430</v>
          </cell>
          <cell r="AN190">
            <v>274</v>
          </cell>
          <cell r="AO190">
            <v>875026</v>
          </cell>
          <cell r="AP190">
            <v>596</v>
          </cell>
          <cell r="AQ190">
            <v>875026</v>
          </cell>
          <cell r="AR190">
            <v>0</v>
          </cell>
          <cell r="AS190">
            <v>875351</v>
          </cell>
        </row>
        <row r="191">
          <cell r="G191" t="str">
            <v>10.10.53.200</v>
          </cell>
          <cell r="H191">
            <v>492776</v>
          </cell>
          <cell r="I191">
            <v>493080</v>
          </cell>
          <cell r="J191">
            <v>304</v>
          </cell>
          <cell r="K191">
            <v>493080</v>
          </cell>
          <cell r="L191">
            <v>0</v>
          </cell>
          <cell r="M191">
            <v>493212</v>
          </cell>
          <cell r="N191">
            <v>132</v>
          </cell>
          <cell r="O191">
            <v>493392</v>
          </cell>
          <cell r="P191">
            <v>180</v>
          </cell>
          <cell r="Q191">
            <v>493519</v>
          </cell>
          <cell r="R191">
            <v>127</v>
          </cell>
          <cell r="S191">
            <v>493679</v>
          </cell>
          <cell r="T191">
            <v>160</v>
          </cell>
          <cell r="U191">
            <v>493827</v>
          </cell>
          <cell r="V191">
            <v>148</v>
          </cell>
          <cell r="W191">
            <v>493952</v>
          </cell>
          <cell r="X191">
            <v>125</v>
          </cell>
          <cell r="Y191">
            <v>494172</v>
          </cell>
          <cell r="Z191">
            <v>220</v>
          </cell>
          <cell r="AA191">
            <v>494392</v>
          </cell>
          <cell r="AB191">
            <v>220</v>
          </cell>
          <cell r="AC191">
            <v>494587</v>
          </cell>
          <cell r="AD191">
            <v>195</v>
          </cell>
          <cell r="AE191">
            <v>494843</v>
          </cell>
          <cell r="AF191">
            <v>256</v>
          </cell>
          <cell r="AG191">
            <v>495016</v>
          </cell>
          <cell r="AH191">
            <v>173</v>
          </cell>
          <cell r="AI191">
            <v>495134</v>
          </cell>
          <cell r="AJ191">
            <v>118</v>
          </cell>
          <cell r="AK191">
            <v>495355</v>
          </cell>
          <cell r="AL191">
            <v>221</v>
          </cell>
          <cell r="AM191">
            <v>495648</v>
          </cell>
          <cell r="AN191">
            <v>293</v>
          </cell>
          <cell r="AO191">
            <v>496171</v>
          </cell>
          <cell r="AP191">
            <v>523</v>
          </cell>
          <cell r="AQ191">
            <v>496171</v>
          </cell>
          <cell r="AR191">
            <v>0</v>
          </cell>
          <cell r="AS191">
            <v>496378</v>
          </cell>
        </row>
        <row r="192">
          <cell r="G192" t="str">
            <v>10.10.71.200</v>
          </cell>
          <cell r="H192">
            <v>950521</v>
          </cell>
          <cell r="I192">
            <v>950863</v>
          </cell>
          <cell r="J192">
            <v>342</v>
          </cell>
          <cell r="K192">
            <v>950863</v>
          </cell>
          <cell r="L192">
            <v>0</v>
          </cell>
          <cell r="M192">
            <v>951093</v>
          </cell>
          <cell r="N192">
            <v>230</v>
          </cell>
          <cell r="O192">
            <v>951296</v>
          </cell>
          <cell r="P192">
            <v>203</v>
          </cell>
          <cell r="Q192">
            <v>951364</v>
          </cell>
          <cell r="R192">
            <v>68</v>
          </cell>
          <cell r="S192">
            <v>951462</v>
          </cell>
          <cell r="T192">
            <v>98</v>
          </cell>
          <cell r="U192">
            <v>951624</v>
          </cell>
          <cell r="V192">
            <v>162</v>
          </cell>
          <cell r="W192">
            <v>951659</v>
          </cell>
          <cell r="X192">
            <v>35</v>
          </cell>
          <cell r="Y192">
            <v>951800</v>
          </cell>
          <cell r="Z192">
            <v>141</v>
          </cell>
          <cell r="AA192">
            <v>951868</v>
          </cell>
          <cell r="AB192">
            <v>68</v>
          </cell>
          <cell r="AC192">
            <v>951897</v>
          </cell>
          <cell r="AD192">
            <v>29</v>
          </cell>
          <cell r="AE192">
            <v>952027</v>
          </cell>
          <cell r="AF192">
            <v>130</v>
          </cell>
          <cell r="AG192">
            <v>952087</v>
          </cell>
          <cell r="AH192">
            <v>60</v>
          </cell>
          <cell r="AI192">
            <v>952153</v>
          </cell>
          <cell r="AJ192">
            <v>66</v>
          </cell>
          <cell r="AK192">
            <v>952227</v>
          </cell>
          <cell r="AL192">
            <v>74</v>
          </cell>
          <cell r="AM192">
            <v>952326</v>
          </cell>
          <cell r="AN192">
            <v>99</v>
          </cell>
          <cell r="AO192">
            <v>952478</v>
          </cell>
          <cell r="AP192">
            <v>152</v>
          </cell>
          <cell r="AQ192">
            <v>952478</v>
          </cell>
          <cell r="AR192">
            <v>0</v>
          </cell>
          <cell r="AS192">
            <v>952546</v>
          </cell>
        </row>
        <row r="193">
          <cell r="G193" t="str">
            <v>10.10.7.200</v>
          </cell>
          <cell r="H193">
            <v>389253</v>
          </cell>
          <cell r="I193">
            <v>389838</v>
          </cell>
          <cell r="J193">
            <v>585</v>
          </cell>
          <cell r="K193">
            <v>389838</v>
          </cell>
          <cell r="L193">
            <v>0</v>
          </cell>
          <cell r="M193">
            <v>390008</v>
          </cell>
          <cell r="N193">
            <v>170</v>
          </cell>
          <cell r="O193">
            <v>390308</v>
          </cell>
          <cell r="P193">
            <v>300</v>
          </cell>
          <cell r="Q193">
            <v>390797</v>
          </cell>
          <cell r="R193">
            <v>489</v>
          </cell>
          <cell r="S193">
            <v>391038</v>
          </cell>
          <cell r="T193">
            <v>241</v>
          </cell>
          <cell r="U193">
            <v>391378</v>
          </cell>
          <cell r="V193">
            <v>340</v>
          </cell>
          <cell r="W193">
            <v>391645</v>
          </cell>
          <cell r="X193">
            <v>267</v>
          </cell>
          <cell r="Y193">
            <v>391868</v>
          </cell>
          <cell r="Z193">
            <v>223</v>
          </cell>
          <cell r="AA193">
            <v>392057</v>
          </cell>
          <cell r="AB193">
            <v>189</v>
          </cell>
          <cell r="AC193">
            <v>392290</v>
          </cell>
          <cell r="AD193">
            <v>233</v>
          </cell>
          <cell r="AE193">
            <v>392521</v>
          </cell>
          <cell r="AF193">
            <v>231</v>
          </cell>
          <cell r="AG193">
            <v>392646</v>
          </cell>
          <cell r="AH193">
            <v>125</v>
          </cell>
          <cell r="AI193">
            <v>392878</v>
          </cell>
          <cell r="AJ193">
            <v>232</v>
          </cell>
          <cell r="AK193">
            <v>393057</v>
          </cell>
          <cell r="AL193">
            <v>179</v>
          </cell>
          <cell r="AM193">
            <v>393526</v>
          </cell>
          <cell r="AN193">
            <v>469</v>
          </cell>
          <cell r="AO193">
            <v>394055</v>
          </cell>
          <cell r="AP193">
            <v>529</v>
          </cell>
          <cell r="AQ193">
            <v>394055</v>
          </cell>
          <cell r="AR193">
            <v>0</v>
          </cell>
          <cell r="AS193">
            <v>394354</v>
          </cell>
        </row>
        <row r="194">
          <cell r="G194" t="str">
            <v>10.14.11.202</v>
          </cell>
          <cell r="H194">
            <v>507438</v>
          </cell>
          <cell r="I194">
            <v>507613</v>
          </cell>
          <cell r="J194">
            <v>175</v>
          </cell>
          <cell r="K194">
            <v>507613</v>
          </cell>
          <cell r="L194">
            <v>0</v>
          </cell>
          <cell r="M194">
            <v>507761</v>
          </cell>
          <cell r="N194">
            <v>148</v>
          </cell>
          <cell r="O194">
            <v>507793</v>
          </cell>
          <cell r="P194">
            <v>32</v>
          </cell>
          <cell r="Q194">
            <v>507842</v>
          </cell>
          <cell r="R194">
            <v>49</v>
          </cell>
          <cell r="S194">
            <v>507986</v>
          </cell>
          <cell r="T194">
            <v>144</v>
          </cell>
          <cell r="U194">
            <v>508146</v>
          </cell>
          <cell r="V194">
            <v>160</v>
          </cell>
          <cell r="W194">
            <v>508217</v>
          </cell>
          <cell r="X194">
            <v>71</v>
          </cell>
          <cell r="Y194">
            <v>508318</v>
          </cell>
          <cell r="Z194">
            <v>101</v>
          </cell>
          <cell r="AA194">
            <v>508415</v>
          </cell>
          <cell r="AB194">
            <v>97</v>
          </cell>
          <cell r="AC194">
            <v>508467</v>
          </cell>
          <cell r="AD194">
            <v>52</v>
          </cell>
          <cell r="AE194">
            <v>508468</v>
          </cell>
          <cell r="AF194">
            <v>1</v>
          </cell>
          <cell r="AG194">
            <v>508523</v>
          </cell>
          <cell r="AH194">
            <v>55</v>
          </cell>
          <cell r="AI194">
            <v>508607</v>
          </cell>
          <cell r="AJ194">
            <v>84</v>
          </cell>
          <cell r="AK194">
            <v>508651</v>
          </cell>
          <cell r="AL194">
            <v>44</v>
          </cell>
          <cell r="AM194">
            <v>508744</v>
          </cell>
          <cell r="AN194">
            <v>93</v>
          </cell>
          <cell r="AO194">
            <v>508917</v>
          </cell>
          <cell r="AP194">
            <v>173</v>
          </cell>
          <cell r="AQ194">
            <v>508917</v>
          </cell>
          <cell r="AR194">
            <v>0</v>
          </cell>
          <cell r="AS194">
            <v>509066</v>
          </cell>
        </row>
        <row r="195">
          <cell r="G195" t="str">
            <v>10.10.12.200</v>
          </cell>
          <cell r="H195">
            <v>413875</v>
          </cell>
          <cell r="I195">
            <v>414107</v>
          </cell>
          <cell r="J195">
            <v>232</v>
          </cell>
          <cell r="K195">
            <v>414107</v>
          </cell>
          <cell r="L195">
            <v>0</v>
          </cell>
          <cell r="M195">
            <v>414237</v>
          </cell>
          <cell r="N195">
            <v>130</v>
          </cell>
          <cell r="O195">
            <v>414317</v>
          </cell>
          <cell r="P195">
            <v>80</v>
          </cell>
          <cell r="Q195">
            <v>414462</v>
          </cell>
          <cell r="R195">
            <v>145</v>
          </cell>
          <cell r="S195">
            <v>414553</v>
          </cell>
          <cell r="T195">
            <v>91</v>
          </cell>
          <cell r="U195">
            <v>414638</v>
          </cell>
          <cell r="V195">
            <v>85</v>
          </cell>
          <cell r="W195">
            <v>414742</v>
          </cell>
          <cell r="X195">
            <v>104</v>
          </cell>
          <cell r="Y195">
            <v>414835</v>
          </cell>
          <cell r="Z195">
            <v>93</v>
          </cell>
          <cell r="AA195">
            <v>414918</v>
          </cell>
          <cell r="AB195">
            <v>83</v>
          </cell>
          <cell r="AC195">
            <v>415044</v>
          </cell>
          <cell r="AD195">
            <v>126</v>
          </cell>
          <cell r="AE195">
            <v>415181</v>
          </cell>
          <cell r="AF195">
            <v>137</v>
          </cell>
          <cell r="AG195">
            <v>415347</v>
          </cell>
          <cell r="AH195">
            <v>166</v>
          </cell>
          <cell r="AI195">
            <v>415448</v>
          </cell>
          <cell r="AJ195">
            <v>101</v>
          </cell>
          <cell r="AK195">
            <v>415517</v>
          </cell>
          <cell r="AL195">
            <v>69</v>
          </cell>
          <cell r="AM195">
            <v>415587</v>
          </cell>
          <cell r="AN195">
            <v>70</v>
          </cell>
          <cell r="AO195">
            <v>415802</v>
          </cell>
          <cell r="AP195">
            <v>215</v>
          </cell>
          <cell r="AQ195">
            <v>415802</v>
          </cell>
          <cell r="AR195">
            <v>0</v>
          </cell>
          <cell r="AS195">
            <v>415931</v>
          </cell>
        </row>
        <row r="196">
          <cell r="G196" t="str">
            <v>10.10.20.202</v>
          </cell>
          <cell r="H196">
            <v>322201</v>
          </cell>
          <cell r="I196">
            <v>322532</v>
          </cell>
          <cell r="J196">
            <v>331</v>
          </cell>
          <cell r="K196">
            <v>322532</v>
          </cell>
          <cell r="L196">
            <v>0</v>
          </cell>
          <cell r="M196">
            <v>322810</v>
          </cell>
          <cell r="N196">
            <v>278</v>
          </cell>
          <cell r="O196">
            <v>323063</v>
          </cell>
          <cell r="P196">
            <v>253</v>
          </cell>
          <cell r="Q196">
            <v>323244</v>
          </cell>
          <cell r="R196">
            <v>181</v>
          </cell>
          <cell r="S196">
            <v>323447</v>
          </cell>
          <cell r="T196">
            <v>203</v>
          </cell>
          <cell r="U196">
            <v>323750</v>
          </cell>
          <cell r="V196">
            <v>303</v>
          </cell>
          <cell r="W196">
            <v>324014</v>
          </cell>
          <cell r="X196">
            <v>264</v>
          </cell>
          <cell r="Y196">
            <v>324234</v>
          </cell>
          <cell r="Z196">
            <v>220</v>
          </cell>
          <cell r="AA196">
            <v>324510</v>
          </cell>
          <cell r="AB196">
            <v>276</v>
          </cell>
          <cell r="AC196">
            <v>324793</v>
          </cell>
          <cell r="AD196">
            <v>283</v>
          </cell>
          <cell r="AE196">
            <v>325061</v>
          </cell>
          <cell r="AF196">
            <v>268</v>
          </cell>
          <cell r="AG196">
            <v>325471</v>
          </cell>
          <cell r="AH196">
            <v>410</v>
          </cell>
          <cell r="AI196">
            <v>325738</v>
          </cell>
          <cell r="AJ196">
            <v>267</v>
          </cell>
          <cell r="AK196">
            <v>326047</v>
          </cell>
          <cell r="AL196">
            <v>309</v>
          </cell>
          <cell r="AM196">
            <v>326486</v>
          </cell>
          <cell r="AN196">
            <v>439</v>
          </cell>
          <cell r="AO196">
            <v>327133</v>
          </cell>
          <cell r="AP196">
            <v>647</v>
          </cell>
          <cell r="AQ196">
            <v>327133</v>
          </cell>
          <cell r="AR196">
            <v>0</v>
          </cell>
          <cell r="AS196">
            <v>327404</v>
          </cell>
        </row>
        <row r="197">
          <cell r="G197" t="str">
            <v>10.10.189.201</v>
          </cell>
          <cell r="H197">
            <v>420944</v>
          </cell>
          <cell r="I197">
            <v>421163</v>
          </cell>
          <cell r="J197">
            <v>219</v>
          </cell>
          <cell r="K197">
            <v>421163</v>
          </cell>
          <cell r="L197">
            <v>0</v>
          </cell>
          <cell r="M197">
            <v>421163</v>
          </cell>
          <cell r="N197">
            <v>0</v>
          </cell>
          <cell r="O197">
            <v>421163</v>
          </cell>
          <cell r="P197">
            <v>0</v>
          </cell>
          <cell r="Q197">
            <v>421164</v>
          </cell>
          <cell r="R197">
            <v>1</v>
          </cell>
          <cell r="S197">
            <v>421484</v>
          </cell>
          <cell r="T197">
            <v>320</v>
          </cell>
          <cell r="U197">
            <v>421728</v>
          </cell>
          <cell r="V197">
            <v>244</v>
          </cell>
          <cell r="W197">
            <v>421999</v>
          </cell>
          <cell r="X197">
            <v>271</v>
          </cell>
          <cell r="Y197">
            <v>422267</v>
          </cell>
          <cell r="Z197">
            <v>268</v>
          </cell>
          <cell r="AA197">
            <v>422622</v>
          </cell>
          <cell r="AB197">
            <v>355</v>
          </cell>
          <cell r="AC197">
            <v>422923</v>
          </cell>
          <cell r="AD197">
            <v>301</v>
          </cell>
          <cell r="AE197">
            <v>422941</v>
          </cell>
          <cell r="AF197">
            <v>18</v>
          </cell>
          <cell r="AG197">
            <v>422941</v>
          </cell>
          <cell r="AH197">
            <v>0</v>
          </cell>
          <cell r="AI197">
            <v>422941</v>
          </cell>
          <cell r="AJ197">
            <v>0</v>
          </cell>
          <cell r="AK197">
            <v>422941</v>
          </cell>
          <cell r="AL197">
            <v>0</v>
          </cell>
          <cell r="AM197">
            <v>422941</v>
          </cell>
          <cell r="AN197">
            <v>0</v>
          </cell>
          <cell r="AO197">
            <v>422941</v>
          </cell>
          <cell r="AP197">
            <v>0</v>
          </cell>
          <cell r="AQ197">
            <v>422941</v>
          </cell>
          <cell r="AR197">
            <v>0</v>
          </cell>
          <cell r="AS197">
            <v>422941</v>
          </cell>
        </row>
        <row r="198">
          <cell r="G198" t="str">
            <v>10.11.37.202</v>
          </cell>
          <cell r="H198">
            <v>318056</v>
          </cell>
          <cell r="I198">
            <v>318204</v>
          </cell>
          <cell r="J198">
            <v>148</v>
          </cell>
          <cell r="K198">
            <v>318204</v>
          </cell>
          <cell r="L198">
            <v>0</v>
          </cell>
          <cell r="M198">
            <v>318295</v>
          </cell>
          <cell r="N198">
            <v>91</v>
          </cell>
          <cell r="O198">
            <v>318373</v>
          </cell>
          <cell r="P198">
            <v>78</v>
          </cell>
          <cell r="Q198">
            <v>318448</v>
          </cell>
          <cell r="R198">
            <v>75</v>
          </cell>
          <cell r="S198">
            <v>318460</v>
          </cell>
          <cell r="T198">
            <v>12</v>
          </cell>
          <cell r="U198">
            <v>318596</v>
          </cell>
          <cell r="V198">
            <v>136</v>
          </cell>
          <cell r="W198">
            <v>318690</v>
          </cell>
          <cell r="X198">
            <v>94</v>
          </cell>
          <cell r="Y198">
            <v>318732</v>
          </cell>
          <cell r="Z198">
            <v>42</v>
          </cell>
          <cell r="AA198">
            <v>318794</v>
          </cell>
          <cell r="AB198">
            <v>62</v>
          </cell>
          <cell r="AC198">
            <v>318894</v>
          </cell>
          <cell r="AD198">
            <v>100</v>
          </cell>
          <cell r="AE198">
            <v>319012</v>
          </cell>
          <cell r="AF198">
            <v>118</v>
          </cell>
          <cell r="AG198">
            <v>319095</v>
          </cell>
          <cell r="AH198">
            <v>83</v>
          </cell>
          <cell r="AI198">
            <v>319202</v>
          </cell>
          <cell r="AJ198">
            <v>107</v>
          </cell>
          <cell r="AK198">
            <v>319281</v>
          </cell>
          <cell r="AL198">
            <v>79</v>
          </cell>
          <cell r="AM198">
            <v>319389</v>
          </cell>
          <cell r="AN198">
            <v>108</v>
          </cell>
          <cell r="AO198">
            <v>319556</v>
          </cell>
          <cell r="AP198">
            <v>167</v>
          </cell>
          <cell r="AQ198">
            <v>319556</v>
          </cell>
          <cell r="AR198">
            <v>0</v>
          </cell>
          <cell r="AS198">
            <v>319677</v>
          </cell>
        </row>
        <row r="199">
          <cell r="G199" t="str">
            <v>10.10.165.202</v>
          </cell>
          <cell r="H199">
            <v>896230</v>
          </cell>
          <cell r="I199">
            <v>897287</v>
          </cell>
          <cell r="J199">
            <v>1057</v>
          </cell>
          <cell r="K199">
            <v>897287</v>
          </cell>
          <cell r="L199">
            <v>0</v>
          </cell>
          <cell r="M199">
            <v>897676</v>
          </cell>
          <cell r="N199">
            <v>389</v>
          </cell>
          <cell r="O199">
            <v>898224</v>
          </cell>
          <cell r="P199">
            <v>548</v>
          </cell>
          <cell r="Q199">
            <v>898838</v>
          </cell>
          <cell r="R199">
            <v>614</v>
          </cell>
          <cell r="S199">
            <v>899221</v>
          </cell>
          <cell r="T199">
            <v>383</v>
          </cell>
          <cell r="U199">
            <v>899662</v>
          </cell>
          <cell r="V199">
            <v>441</v>
          </cell>
          <cell r="W199">
            <v>900194</v>
          </cell>
          <cell r="X199">
            <v>532</v>
          </cell>
          <cell r="Y199">
            <v>900563</v>
          </cell>
          <cell r="Z199">
            <v>369</v>
          </cell>
          <cell r="AA199">
            <v>901070</v>
          </cell>
          <cell r="AB199">
            <v>507</v>
          </cell>
          <cell r="AC199">
            <v>901592</v>
          </cell>
          <cell r="AD199">
            <v>522</v>
          </cell>
          <cell r="AE199">
            <v>902027</v>
          </cell>
          <cell r="AF199">
            <v>435</v>
          </cell>
          <cell r="AG199">
            <v>902482</v>
          </cell>
          <cell r="AH199">
            <v>455</v>
          </cell>
          <cell r="AI199">
            <v>902979</v>
          </cell>
          <cell r="AJ199">
            <v>497</v>
          </cell>
          <cell r="AK199">
            <v>903413</v>
          </cell>
          <cell r="AL199">
            <v>434</v>
          </cell>
          <cell r="AM199">
            <v>903974</v>
          </cell>
          <cell r="AN199">
            <v>561</v>
          </cell>
          <cell r="AO199">
            <v>904835</v>
          </cell>
          <cell r="AP199">
            <v>861</v>
          </cell>
          <cell r="AQ199">
            <v>904835</v>
          </cell>
          <cell r="AR199">
            <v>0</v>
          </cell>
          <cell r="AS199">
            <v>905184</v>
          </cell>
        </row>
        <row r="200">
          <cell r="G200" t="str">
            <v>10.10.230.203</v>
          </cell>
          <cell r="H200">
            <v>997045</v>
          </cell>
          <cell r="I200">
            <v>998832</v>
          </cell>
          <cell r="J200">
            <v>1787</v>
          </cell>
          <cell r="K200">
            <v>998832</v>
          </cell>
          <cell r="L200">
            <v>0</v>
          </cell>
          <cell r="M200">
            <v>999846</v>
          </cell>
          <cell r="N200">
            <v>1014</v>
          </cell>
          <cell r="O200">
            <v>1000685</v>
          </cell>
          <cell r="P200">
            <v>839</v>
          </cell>
          <cell r="Q200">
            <v>1001974</v>
          </cell>
          <cell r="R200">
            <v>1289</v>
          </cell>
          <cell r="S200">
            <v>1002947</v>
          </cell>
          <cell r="T200">
            <v>973</v>
          </cell>
          <cell r="U200">
            <v>1003748</v>
          </cell>
          <cell r="V200">
            <v>801</v>
          </cell>
          <cell r="W200">
            <v>1004789</v>
          </cell>
          <cell r="X200">
            <v>1041</v>
          </cell>
          <cell r="Y200">
            <v>1005783</v>
          </cell>
          <cell r="Z200">
            <v>994</v>
          </cell>
          <cell r="AA200">
            <v>1006246</v>
          </cell>
          <cell r="AB200">
            <v>463</v>
          </cell>
          <cell r="AC200">
            <v>1007223</v>
          </cell>
          <cell r="AD200">
            <v>977</v>
          </cell>
          <cell r="AE200">
            <v>1007807</v>
          </cell>
          <cell r="AF200">
            <v>584</v>
          </cell>
          <cell r="AG200">
            <v>1008799</v>
          </cell>
          <cell r="AH200">
            <v>992</v>
          </cell>
          <cell r="AI200">
            <v>1009325</v>
          </cell>
          <cell r="AJ200">
            <v>526</v>
          </cell>
          <cell r="AK200">
            <v>1010348</v>
          </cell>
          <cell r="AL200">
            <v>1023</v>
          </cell>
          <cell r="AM200">
            <v>1011118</v>
          </cell>
          <cell r="AN200">
            <v>770</v>
          </cell>
          <cell r="AO200">
            <v>1011776</v>
          </cell>
          <cell r="AP200">
            <v>658</v>
          </cell>
          <cell r="AQ200">
            <v>1011956</v>
          </cell>
          <cell r="AR200">
            <v>180</v>
          </cell>
          <cell r="AS200">
            <v>1012135</v>
          </cell>
        </row>
        <row r="201">
          <cell r="G201" t="str">
            <v>10.10.1.201</v>
          </cell>
          <cell r="H201">
            <v>504691</v>
          </cell>
          <cell r="I201">
            <v>504985</v>
          </cell>
          <cell r="J201">
            <v>294</v>
          </cell>
          <cell r="K201">
            <v>504985</v>
          </cell>
          <cell r="L201">
            <v>0</v>
          </cell>
          <cell r="M201">
            <v>505083</v>
          </cell>
          <cell r="N201">
            <v>98</v>
          </cell>
          <cell r="O201">
            <v>505134</v>
          </cell>
          <cell r="P201">
            <v>51</v>
          </cell>
          <cell r="Q201">
            <v>505198</v>
          </cell>
          <cell r="R201">
            <v>64</v>
          </cell>
          <cell r="S201">
            <v>505256</v>
          </cell>
          <cell r="T201">
            <v>58</v>
          </cell>
          <cell r="U201">
            <v>505307</v>
          </cell>
          <cell r="V201">
            <v>51</v>
          </cell>
          <cell r="W201">
            <v>505389</v>
          </cell>
          <cell r="X201">
            <v>82</v>
          </cell>
          <cell r="Y201">
            <v>505404</v>
          </cell>
          <cell r="Z201">
            <v>15</v>
          </cell>
          <cell r="AA201">
            <v>505414</v>
          </cell>
          <cell r="AB201">
            <v>10</v>
          </cell>
          <cell r="AC201">
            <v>505526</v>
          </cell>
          <cell r="AD201">
            <v>112</v>
          </cell>
          <cell r="AE201">
            <v>505653</v>
          </cell>
          <cell r="AF201">
            <v>127</v>
          </cell>
          <cell r="AG201">
            <v>505680</v>
          </cell>
          <cell r="AH201">
            <v>27</v>
          </cell>
          <cell r="AI201">
            <v>505705</v>
          </cell>
          <cell r="AJ201">
            <v>25</v>
          </cell>
          <cell r="AK201">
            <v>505783</v>
          </cell>
          <cell r="AL201">
            <v>78</v>
          </cell>
          <cell r="AM201">
            <v>505884</v>
          </cell>
          <cell r="AN201">
            <v>101</v>
          </cell>
          <cell r="AO201">
            <v>505984</v>
          </cell>
          <cell r="AP201">
            <v>100</v>
          </cell>
          <cell r="AQ201">
            <v>505984</v>
          </cell>
          <cell r="AR201">
            <v>0</v>
          </cell>
          <cell r="AS201">
            <v>506032</v>
          </cell>
        </row>
        <row r="202">
          <cell r="G202" t="str">
            <v>10.11.26.200</v>
          </cell>
          <cell r="H202">
            <v>730752</v>
          </cell>
          <cell r="I202">
            <v>731201</v>
          </cell>
          <cell r="J202">
            <v>449</v>
          </cell>
          <cell r="K202">
            <v>731201</v>
          </cell>
          <cell r="L202">
            <v>0</v>
          </cell>
          <cell r="M202">
            <v>731491</v>
          </cell>
          <cell r="N202">
            <v>290</v>
          </cell>
          <cell r="O202">
            <v>731908</v>
          </cell>
          <cell r="P202">
            <v>417</v>
          </cell>
          <cell r="Q202">
            <v>732156</v>
          </cell>
          <cell r="R202">
            <v>248</v>
          </cell>
          <cell r="S202">
            <v>732307</v>
          </cell>
          <cell r="T202">
            <v>151</v>
          </cell>
          <cell r="U202">
            <v>732625</v>
          </cell>
          <cell r="V202">
            <v>318</v>
          </cell>
          <cell r="W202">
            <v>732801</v>
          </cell>
          <cell r="X202">
            <v>176</v>
          </cell>
          <cell r="Y202">
            <v>732993</v>
          </cell>
          <cell r="Z202">
            <v>192</v>
          </cell>
          <cell r="AA202">
            <v>733262</v>
          </cell>
          <cell r="AB202">
            <v>269</v>
          </cell>
          <cell r="AC202">
            <v>733488</v>
          </cell>
          <cell r="AD202">
            <v>226</v>
          </cell>
          <cell r="AE202">
            <v>733795</v>
          </cell>
          <cell r="AF202">
            <v>307</v>
          </cell>
          <cell r="AG202">
            <v>734089</v>
          </cell>
          <cell r="AH202">
            <v>294</v>
          </cell>
          <cell r="AI202">
            <v>734386</v>
          </cell>
          <cell r="AJ202">
            <v>297</v>
          </cell>
          <cell r="AK202">
            <v>734653</v>
          </cell>
          <cell r="AL202">
            <v>267</v>
          </cell>
          <cell r="AM202">
            <v>734794</v>
          </cell>
          <cell r="AN202">
            <v>141</v>
          </cell>
          <cell r="AO202">
            <v>735233</v>
          </cell>
          <cell r="AP202">
            <v>439</v>
          </cell>
          <cell r="AQ202">
            <v>735233</v>
          </cell>
          <cell r="AR202">
            <v>0</v>
          </cell>
          <cell r="AS202">
            <v>735545</v>
          </cell>
        </row>
        <row r="203">
          <cell r="G203" t="str">
            <v>10.11.24.200</v>
          </cell>
          <cell r="H203">
            <v>408551</v>
          </cell>
          <cell r="I203">
            <v>408898</v>
          </cell>
          <cell r="J203">
            <v>347</v>
          </cell>
          <cell r="K203">
            <v>408898</v>
          </cell>
          <cell r="L203">
            <v>0</v>
          </cell>
          <cell r="M203">
            <v>409073</v>
          </cell>
          <cell r="N203">
            <v>175</v>
          </cell>
          <cell r="O203">
            <v>409294</v>
          </cell>
          <cell r="P203">
            <v>221</v>
          </cell>
          <cell r="Q203">
            <v>409577</v>
          </cell>
          <cell r="R203">
            <v>283</v>
          </cell>
          <cell r="S203">
            <v>409738</v>
          </cell>
          <cell r="T203">
            <v>161</v>
          </cell>
          <cell r="U203">
            <v>409938</v>
          </cell>
          <cell r="V203">
            <v>200</v>
          </cell>
          <cell r="W203">
            <v>410125</v>
          </cell>
          <cell r="X203">
            <v>187</v>
          </cell>
          <cell r="Y203">
            <v>410310</v>
          </cell>
          <cell r="Z203">
            <v>185</v>
          </cell>
          <cell r="AA203">
            <v>410497</v>
          </cell>
          <cell r="AB203">
            <v>187</v>
          </cell>
          <cell r="AC203">
            <v>410735</v>
          </cell>
          <cell r="AD203">
            <v>238</v>
          </cell>
          <cell r="AE203">
            <v>410906</v>
          </cell>
          <cell r="AF203">
            <v>171</v>
          </cell>
          <cell r="AG203">
            <v>410998</v>
          </cell>
          <cell r="AH203">
            <v>92</v>
          </cell>
          <cell r="AI203">
            <v>411132</v>
          </cell>
          <cell r="AJ203">
            <v>134</v>
          </cell>
          <cell r="AK203">
            <v>411222</v>
          </cell>
          <cell r="AL203">
            <v>90</v>
          </cell>
          <cell r="AM203">
            <v>411311</v>
          </cell>
          <cell r="AN203">
            <v>89</v>
          </cell>
          <cell r="AO203">
            <v>411527</v>
          </cell>
          <cell r="AP203">
            <v>216</v>
          </cell>
          <cell r="AQ203">
            <v>411527</v>
          </cell>
          <cell r="AR203">
            <v>0</v>
          </cell>
          <cell r="AS203">
            <v>411687</v>
          </cell>
        </row>
        <row r="204">
          <cell r="G204" t="str">
            <v>10.10.161.212</v>
          </cell>
          <cell r="H204">
            <v>227796</v>
          </cell>
          <cell r="I204">
            <v>227829</v>
          </cell>
          <cell r="J204">
            <v>33</v>
          </cell>
          <cell r="K204">
            <v>227829</v>
          </cell>
          <cell r="L204">
            <v>0</v>
          </cell>
          <cell r="M204">
            <v>227851</v>
          </cell>
          <cell r="N204">
            <v>22</v>
          </cell>
          <cell r="O204">
            <v>227892</v>
          </cell>
          <cell r="P204">
            <v>41</v>
          </cell>
          <cell r="Q204">
            <v>227919</v>
          </cell>
          <cell r="R204">
            <v>27</v>
          </cell>
          <cell r="S204">
            <v>227937</v>
          </cell>
          <cell r="T204">
            <v>18</v>
          </cell>
          <cell r="U204">
            <v>227969</v>
          </cell>
          <cell r="V204">
            <v>32</v>
          </cell>
          <cell r="W204">
            <v>227993</v>
          </cell>
          <cell r="X204">
            <v>24</v>
          </cell>
          <cell r="Y204">
            <v>228019</v>
          </cell>
          <cell r="Z204">
            <v>26</v>
          </cell>
          <cell r="AA204">
            <v>228040</v>
          </cell>
          <cell r="AB204">
            <v>21</v>
          </cell>
          <cell r="AC204">
            <v>228050</v>
          </cell>
          <cell r="AD204">
            <v>10</v>
          </cell>
          <cell r="AE204">
            <v>228181</v>
          </cell>
          <cell r="AF204">
            <v>131</v>
          </cell>
          <cell r="AG204">
            <v>228253</v>
          </cell>
          <cell r="AH204">
            <v>72</v>
          </cell>
          <cell r="AI204">
            <v>228270</v>
          </cell>
          <cell r="AJ204">
            <v>17</v>
          </cell>
          <cell r="AK204">
            <v>228293</v>
          </cell>
          <cell r="AL204">
            <v>23</v>
          </cell>
          <cell r="AM204">
            <v>228328</v>
          </cell>
          <cell r="AN204">
            <v>35</v>
          </cell>
          <cell r="AO204">
            <v>228367</v>
          </cell>
          <cell r="AP204">
            <v>39</v>
          </cell>
          <cell r="AQ204">
            <v>228367</v>
          </cell>
          <cell r="AR204">
            <v>0</v>
          </cell>
          <cell r="AS204">
            <v>228386</v>
          </cell>
        </row>
        <row r="205">
          <cell r="G205" t="str">
            <v>10.10.90.200</v>
          </cell>
          <cell r="H205">
            <v>678235</v>
          </cell>
          <cell r="I205">
            <v>678925</v>
          </cell>
          <cell r="J205">
            <v>690</v>
          </cell>
          <cell r="K205">
            <v>678925</v>
          </cell>
          <cell r="L205">
            <v>0</v>
          </cell>
          <cell r="M205">
            <v>679203</v>
          </cell>
          <cell r="N205">
            <v>278</v>
          </cell>
          <cell r="O205">
            <v>679539</v>
          </cell>
          <cell r="P205">
            <v>336</v>
          </cell>
          <cell r="Q205">
            <v>679868</v>
          </cell>
          <cell r="R205">
            <v>329</v>
          </cell>
          <cell r="S205">
            <v>680139</v>
          </cell>
          <cell r="T205">
            <v>271</v>
          </cell>
          <cell r="U205">
            <v>680690</v>
          </cell>
          <cell r="V205">
            <v>551</v>
          </cell>
          <cell r="W205">
            <v>680981</v>
          </cell>
          <cell r="X205">
            <v>291</v>
          </cell>
          <cell r="Y205">
            <v>681254</v>
          </cell>
          <cell r="Z205">
            <v>273</v>
          </cell>
          <cell r="AA205">
            <v>681570</v>
          </cell>
          <cell r="AB205">
            <v>316</v>
          </cell>
          <cell r="AC205">
            <v>681937</v>
          </cell>
          <cell r="AD205">
            <v>367</v>
          </cell>
          <cell r="AE205">
            <v>682345</v>
          </cell>
          <cell r="AF205">
            <v>408</v>
          </cell>
          <cell r="AG205">
            <v>682657</v>
          </cell>
          <cell r="AH205">
            <v>312</v>
          </cell>
          <cell r="AI205">
            <v>683025</v>
          </cell>
          <cell r="AJ205">
            <v>368</v>
          </cell>
          <cell r="AK205">
            <v>683273</v>
          </cell>
          <cell r="AL205">
            <v>248</v>
          </cell>
          <cell r="AM205">
            <v>683571</v>
          </cell>
          <cell r="AN205">
            <v>298</v>
          </cell>
          <cell r="AO205">
            <v>684466</v>
          </cell>
          <cell r="AP205">
            <v>895</v>
          </cell>
          <cell r="AQ205">
            <v>684466</v>
          </cell>
          <cell r="AR205">
            <v>0</v>
          </cell>
          <cell r="AS205">
            <v>684907</v>
          </cell>
        </row>
        <row r="206">
          <cell r="G206" t="str">
            <v>10.14.81.201</v>
          </cell>
          <cell r="H206">
            <v>96469</v>
          </cell>
          <cell r="I206">
            <v>96469</v>
          </cell>
          <cell r="J206">
            <v>0</v>
          </cell>
          <cell r="K206">
            <v>96469</v>
          </cell>
          <cell r="L206">
            <v>0</v>
          </cell>
          <cell r="M206">
            <v>96469</v>
          </cell>
          <cell r="N206">
            <v>0</v>
          </cell>
          <cell r="O206">
            <v>96469</v>
          </cell>
          <cell r="P206">
            <v>0</v>
          </cell>
          <cell r="Q206">
            <v>96469</v>
          </cell>
          <cell r="R206">
            <v>0</v>
          </cell>
          <cell r="S206">
            <v>96469</v>
          </cell>
          <cell r="T206">
            <v>0</v>
          </cell>
          <cell r="U206">
            <v>96469</v>
          </cell>
          <cell r="V206">
            <v>0</v>
          </cell>
          <cell r="W206">
            <v>96469</v>
          </cell>
          <cell r="X206">
            <v>0</v>
          </cell>
          <cell r="Y206">
            <v>96469</v>
          </cell>
          <cell r="Z206">
            <v>0</v>
          </cell>
          <cell r="AA206">
            <v>96469</v>
          </cell>
          <cell r="AB206">
            <v>0</v>
          </cell>
          <cell r="AC206">
            <v>96469</v>
          </cell>
          <cell r="AD206">
            <v>0</v>
          </cell>
          <cell r="AE206">
            <v>96469</v>
          </cell>
          <cell r="AF206">
            <v>0</v>
          </cell>
          <cell r="AG206">
            <v>96469</v>
          </cell>
          <cell r="AH206">
            <v>0</v>
          </cell>
          <cell r="AI206">
            <v>96469</v>
          </cell>
          <cell r="AJ206">
            <v>0</v>
          </cell>
          <cell r="AK206">
            <v>96469</v>
          </cell>
          <cell r="AL206">
            <v>0</v>
          </cell>
          <cell r="AM206">
            <v>96469</v>
          </cell>
          <cell r="AN206">
            <v>0</v>
          </cell>
          <cell r="AO206">
            <v>96469</v>
          </cell>
          <cell r="AP206">
            <v>0</v>
          </cell>
          <cell r="AQ206">
            <v>96469</v>
          </cell>
          <cell r="AR206">
            <v>0</v>
          </cell>
          <cell r="AS206">
            <v>96469</v>
          </cell>
        </row>
        <row r="207">
          <cell r="G207" t="str">
            <v>10.10.40.200</v>
          </cell>
          <cell r="H207">
            <v>272787</v>
          </cell>
          <cell r="I207">
            <v>272787</v>
          </cell>
          <cell r="J207">
            <v>0</v>
          </cell>
          <cell r="K207">
            <v>272787</v>
          </cell>
          <cell r="L207">
            <v>0</v>
          </cell>
          <cell r="M207">
            <v>272787</v>
          </cell>
          <cell r="N207">
            <v>0</v>
          </cell>
          <cell r="O207">
            <v>272787</v>
          </cell>
          <cell r="P207">
            <v>0</v>
          </cell>
          <cell r="Q207">
            <v>272787</v>
          </cell>
          <cell r="R207">
            <v>0</v>
          </cell>
          <cell r="S207">
            <v>272787</v>
          </cell>
          <cell r="T207">
            <v>0</v>
          </cell>
          <cell r="U207">
            <v>272787</v>
          </cell>
          <cell r="V207">
            <v>0</v>
          </cell>
          <cell r="W207">
            <v>272787</v>
          </cell>
          <cell r="X207">
            <v>0</v>
          </cell>
          <cell r="Y207">
            <v>272787</v>
          </cell>
          <cell r="Z207">
            <v>0</v>
          </cell>
          <cell r="AA207">
            <v>272787</v>
          </cell>
          <cell r="AB207">
            <v>0</v>
          </cell>
          <cell r="AC207">
            <v>272787</v>
          </cell>
          <cell r="AD207">
            <v>0</v>
          </cell>
          <cell r="AE207">
            <v>272787</v>
          </cell>
          <cell r="AF207">
            <v>0</v>
          </cell>
          <cell r="AG207">
            <v>272787</v>
          </cell>
          <cell r="AH207">
            <v>0</v>
          </cell>
          <cell r="AI207">
            <v>272787</v>
          </cell>
          <cell r="AJ207">
            <v>0</v>
          </cell>
          <cell r="AK207">
            <v>272787</v>
          </cell>
          <cell r="AL207">
            <v>0</v>
          </cell>
          <cell r="AM207">
            <v>272787</v>
          </cell>
          <cell r="AN207">
            <v>0</v>
          </cell>
          <cell r="AO207">
            <v>272787</v>
          </cell>
          <cell r="AP207">
            <v>0</v>
          </cell>
          <cell r="AQ207">
            <v>272787</v>
          </cell>
          <cell r="AR207">
            <v>0</v>
          </cell>
          <cell r="AS207">
            <v>272787</v>
          </cell>
        </row>
        <row r="208">
          <cell r="G208" t="str">
            <v>10.14.90.201</v>
          </cell>
          <cell r="H208">
            <v>289553</v>
          </cell>
          <cell r="I208">
            <v>289553</v>
          </cell>
          <cell r="J208">
            <v>0</v>
          </cell>
          <cell r="K208">
            <v>289553</v>
          </cell>
          <cell r="L208">
            <v>0</v>
          </cell>
          <cell r="M208">
            <v>289553</v>
          </cell>
          <cell r="N208">
            <v>0</v>
          </cell>
          <cell r="O208">
            <v>289553</v>
          </cell>
          <cell r="P208">
            <v>0</v>
          </cell>
          <cell r="Q208">
            <v>289553</v>
          </cell>
          <cell r="R208">
            <v>0</v>
          </cell>
          <cell r="S208">
            <v>289553</v>
          </cell>
          <cell r="T208">
            <v>0</v>
          </cell>
          <cell r="U208">
            <v>289553</v>
          </cell>
          <cell r="V208">
            <v>0</v>
          </cell>
          <cell r="W208">
            <v>289553</v>
          </cell>
          <cell r="X208">
            <v>0</v>
          </cell>
          <cell r="Y208">
            <v>289553</v>
          </cell>
          <cell r="Z208">
            <v>0</v>
          </cell>
          <cell r="AA208">
            <v>289553</v>
          </cell>
          <cell r="AB208">
            <v>0</v>
          </cell>
          <cell r="AC208">
            <v>289553</v>
          </cell>
          <cell r="AD208">
            <v>0</v>
          </cell>
          <cell r="AE208">
            <v>289553</v>
          </cell>
          <cell r="AF208">
            <v>0</v>
          </cell>
          <cell r="AG208">
            <v>289553</v>
          </cell>
          <cell r="AH208">
            <v>0</v>
          </cell>
          <cell r="AI208">
            <v>289553</v>
          </cell>
          <cell r="AJ208">
            <v>0</v>
          </cell>
          <cell r="AK208">
            <v>289553</v>
          </cell>
          <cell r="AL208">
            <v>0</v>
          </cell>
          <cell r="AM208">
            <v>289553</v>
          </cell>
          <cell r="AN208">
            <v>0</v>
          </cell>
          <cell r="AO208">
            <v>289553</v>
          </cell>
          <cell r="AP208">
            <v>0</v>
          </cell>
          <cell r="AQ208">
            <v>289553</v>
          </cell>
          <cell r="AR208">
            <v>0</v>
          </cell>
          <cell r="AS208">
            <v>289553</v>
          </cell>
        </row>
        <row r="209">
          <cell r="G209" t="str">
            <v>10.10.6.202</v>
          </cell>
          <cell r="H209">
            <v>152288</v>
          </cell>
          <cell r="I209">
            <v>152288</v>
          </cell>
          <cell r="J209">
            <v>0</v>
          </cell>
          <cell r="K209">
            <v>152288</v>
          </cell>
          <cell r="L209">
            <v>0</v>
          </cell>
          <cell r="M209">
            <v>152288</v>
          </cell>
          <cell r="N209">
            <v>0</v>
          </cell>
          <cell r="O209">
            <v>152288</v>
          </cell>
          <cell r="P209">
            <v>0</v>
          </cell>
          <cell r="Q209">
            <v>152288</v>
          </cell>
          <cell r="R209">
            <v>0</v>
          </cell>
          <cell r="S209">
            <v>152288</v>
          </cell>
          <cell r="T209">
            <v>0</v>
          </cell>
          <cell r="U209">
            <v>152288</v>
          </cell>
          <cell r="V209">
            <v>0</v>
          </cell>
          <cell r="W209">
            <v>152288</v>
          </cell>
          <cell r="X209">
            <v>0</v>
          </cell>
          <cell r="Y209">
            <v>152288</v>
          </cell>
          <cell r="Z209">
            <v>0</v>
          </cell>
          <cell r="AA209">
            <v>152288</v>
          </cell>
          <cell r="AB209">
            <v>0</v>
          </cell>
          <cell r="AC209">
            <v>152288</v>
          </cell>
          <cell r="AD209">
            <v>0</v>
          </cell>
          <cell r="AE209">
            <v>152288</v>
          </cell>
          <cell r="AF209">
            <v>0</v>
          </cell>
          <cell r="AG209">
            <v>152288</v>
          </cell>
          <cell r="AH209">
            <v>0</v>
          </cell>
          <cell r="AI209">
            <v>152288</v>
          </cell>
          <cell r="AJ209">
            <v>0</v>
          </cell>
          <cell r="AK209">
            <v>152288</v>
          </cell>
          <cell r="AL209">
            <v>0</v>
          </cell>
          <cell r="AM209">
            <v>152288</v>
          </cell>
          <cell r="AN209">
            <v>0</v>
          </cell>
          <cell r="AO209">
            <v>152288</v>
          </cell>
          <cell r="AP209">
            <v>0</v>
          </cell>
          <cell r="AQ209">
            <v>152288</v>
          </cell>
          <cell r="AR209">
            <v>0</v>
          </cell>
          <cell r="AS209">
            <v>152288</v>
          </cell>
        </row>
        <row r="210">
          <cell r="G210" t="str">
            <v>10.11.13.200</v>
          </cell>
          <cell r="H210">
            <v>106018</v>
          </cell>
          <cell r="I210">
            <v>106018</v>
          </cell>
          <cell r="J210">
            <v>0</v>
          </cell>
          <cell r="K210">
            <v>106018</v>
          </cell>
          <cell r="L210">
            <v>0</v>
          </cell>
          <cell r="M210">
            <v>106018</v>
          </cell>
          <cell r="N210">
            <v>0</v>
          </cell>
          <cell r="O210">
            <v>106018</v>
          </cell>
          <cell r="P210">
            <v>0</v>
          </cell>
          <cell r="Q210">
            <v>106018</v>
          </cell>
          <cell r="R210">
            <v>0</v>
          </cell>
          <cell r="S210">
            <v>106018</v>
          </cell>
          <cell r="T210">
            <v>0</v>
          </cell>
          <cell r="U210">
            <v>106018</v>
          </cell>
          <cell r="V210">
            <v>0</v>
          </cell>
          <cell r="W210">
            <v>106018</v>
          </cell>
          <cell r="X210">
            <v>0</v>
          </cell>
          <cell r="Y210">
            <v>106018</v>
          </cell>
          <cell r="Z210">
            <v>0</v>
          </cell>
          <cell r="AA210">
            <v>106018</v>
          </cell>
          <cell r="AB210">
            <v>0</v>
          </cell>
          <cell r="AC210">
            <v>106018</v>
          </cell>
          <cell r="AD210">
            <v>0</v>
          </cell>
          <cell r="AE210">
            <v>106018</v>
          </cell>
          <cell r="AF210">
            <v>0</v>
          </cell>
          <cell r="AG210">
            <v>106018</v>
          </cell>
          <cell r="AH210">
            <v>0</v>
          </cell>
          <cell r="AI210">
            <v>106018</v>
          </cell>
          <cell r="AJ210">
            <v>0</v>
          </cell>
          <cell r="AK210">
            <v>106018</v>
          </cell>
          <cell r="AL210">
            <v>0</v>
          </cell>
          <cell r="AM210">
            <v>106018</v>
          </cell>
          <cell r="AN210">
            <v>0</v>
          </cell>
          <cell r="AO210">
            <v>106018</v>
          </cell>
          <cell r="AP210">
            <v>0</v>
          </cell>
          <cell r="AQ210">
            <v>106018</v>
          </cell>
          <cell r="AR210">
            <v>0</v>
          </cell>
          <cell r="AS210">
            <v>106018</v>
          </cell>
        </row>
        <row r="211">
          <cell r="G211" t="str">
            <v>10.10.188.201</v>
          </cell>
          <cell r="H211">
            <v>276689</v>
          </cell>
          <cell r="I211">
            <v>276689</v>
          </cell>
          <cell r="J211">
            <v>0</v>
          </cell>
          <cell r="K211">
            <v>276689</v>
          </cell>
          <cell r="L211">
            <v>0</v>
          </cell>
          <cell r="M211">
            <v>276689</v>
          </cell>
          <cell r="N211">
            <v>0</v>
          </cell>
          <cell r="O211">
            <v>276689</v>
          </cell>
          <cell r="P211">
            <v>0</v>
          </cell>
          <cell r="Q211">
            <v>276689</v>
          </cell>
          <cell r="R211">
            <v>0</v>
          </cell>
          <cell r="S211">
            <v>276689</v>
          </cell>
          <cell r="T211">
            <v>0</v>
          </cell>
          <cell r="U211">
            <v>276689</v>
          </cell>
          <cell r="V211">
            <v>0</v>
          </cell>
          <cell r="W211">
            <v>276689</v>
          </cell>
          <cell r="X211">
            <v>0</v>
          </cell>
          <cell r="Y211">
            <v>276689</v>
          </cell>
          <cell r="Z211">
            <v>0</v>
          </cell>
          <cell r="AA211">
            <v>276689</v>
          </cell>
          <cell r="AB211">
            <v>0</v>
          </cell>
          <cell r="AC211">
            <v>276689</v>
          </cell>
          <cell r="AD211">
            <v>0</v>
          </cell>
          <cell r="AE211">
            <v>276689</v>
          </cell>
          <cell r="AF211">
            <v>0</v>
          </cell>
          <cell r="AG211">
            <v>276689</v>
          </cell>
          <cell r="AH211">
            <v>0</v>
          </cell>
          <cell r="AI211">
            <v>276689</v>
          </cell>
          <cell r="AJ211">
            <v>0</v>
          </cell>
          <cell r="AK211">
            <v>276689</v>
          </cell>
          <cell r="AL211">
            <v>0</v>
          </cell>
          <cell r="AM211">
            <v>276689</v>
          </cell>
          <cell r="AN211">
            <v>0</v>
          </cell>
          <cell r="AO211">
            <v>276689</v>
          </cell>
          <cell r="AP211">
            <v>0</v>
          </cell>
          <cell r="AQ211">
            <v>276689</v>
          </cell>
          <cell r="AR211">
            <v>0</v>
          </cell>
          <cell r="AS211">
            <v>276689</v>
          </cell>
        </row>
        <row r="212">
          <cell r="G212" t="str">
            <v>10.11.43.110</v>
          </cell>
          <cell r="H212">
            <v>33396</v>
          </cell>
          <cell r="I212">
            <v>33396</v>
          </cell>
          <cell r="J212">
            <v>0</v>
          </cell>
          <cell r="K212">
            <v>33396</v>
          </cell>
          <cell r="L212">
            <v>0</v>
          </cell>
          <cell r="M212">
            <v>33396</v>
          </cell>
          <cell r="N212">
            <v>0</v>
          </cell>
          <cell r="O212">
            <v>33396</v>
          </cell>
          <cell r="P212">
            <v>0</v>
          </cell>
          <cell r="Q212">
            <v>33396</v>
          </cell>
          <cell r="R212">
            <v>0</v>
          </cell>
          <cell r="S212">
            <v>33396</v>
          </cell>
          <cell r="T212">
            <v>0</v>
          </cell>
          <cell r="U212">
            <v>33396</v>
          </cell>
          <cell r="V212">
            <v>0</v>
          </cell>
          <cell r="W212">
            <v>33396</v>
          </cell>
          <cell r="X212">
            <v>0</v>
          </cell>
          <cell r="Y212">
            <v>33396</v>
          </cell>
          <cell r="Z212">
            <v>0</v>
          </cell>
          <cell r="AA212">
            <v>33396</v>
          </cell>
          <cell r="AB212">
            <v>0</v>
          </cell>
          <cell r="AC212">
            <v>33396</v>
          </cell>
          <cell r="AD212">
            <v>0</v>
          </cell>
          <cell r="AE212">
            <v>33396</v>
          </cell>
          <cell r="AF212">
            <v>0</v>
          </cell>
          <cell r="AG212">
            <v>33396</v>
          </cell>
          <cell r="AH212">
            <v>0</v>
          </cell>
          <cell r="AI212">
            <v>33396</v>
          </cell>
          <cell r="AJ212">
            <v>0</v>
          </cell>
          <cell r="AK212">
            <v>33396</v>
          </cell>
          <cell r="AL212">
            <v>0</v>
          </cell>
          <cell r="AM212">
            <v>33396</v>
          </cell>
          <cell r="AN212">
            <v>0</v>
          </cell>
          <cell r="AO212">
            <v>33396</v>
          </cell>
          <cell r="AP212">
            <v>0</v>
          </cell>
          <cell r="AQ212">
            <v>33396</v>
          </cell>
          <cell r="AR212">
            <v>0</v>
          </cell>
          <cell r="AS212">
            <v>33396</v>
          </cell>
        </row>
        <row r="213">
          <cell r="G213" t="str">
            <v>10.14.12.201</v>
          </cell>
          <cell r="H213">
            <v>93852</v>
          </cell>
          <cell r="I213">
            <v>93852</v>
          </cell>
          <cell r="J213">
            <v>0</v>
          </cell>
          <cell r="K213">
            <v>93852</v>
          </cell>
          <cell r="L213">
            <v>0</v>
          </cell>
          <cell r="M213">
            <v>93852</v>
          </cell>
          <cell r="N213">
            <v>0</v>
          </cell>
          <cell r="O213">
            <v>93852</v>
          </cell>
          <cell r="P213">
            <v>0</v>
          </cell>
          <cell r="Q213">
            <v>93852</v>
          </cell>
          <cell r="R213">
            <v>0</v>
          </cell>
          <cell r="S213">
            <v>93852</v>
          </cell>
          <cell r="T213">
            <v>0</v>
          </cell>
          <cell r="U213">
            <v>93852</v>
          </cell>
          <cell r="V213">
            <v>0</v>
          </cell>
          <cell r="W213">
            <v>93852</v>
          </cell>
          <cell r="X213">
            <v>0</v>
          </cell>
          <cell r="Y213">
            <v>93852</v>
          </cell>
          <cell r="Z213">
            <v>0</v>
          </cell>
          <cell r="AA213">
            <v>93852</v>
          </cell>
          <cell r="AB213">
            <v>0</v>
          </cell>
          <cell r="AC213">
            <v>93852</v>
          </cell>
          <cell r="AD213">
            <v>0</v>
          </cell>
          <cell r="AE213">
            <v>93852</v>
          </cell>
          <cell r="AF213">
            <v>0</v>
          </cell>
          <cell r="AG213">
            <v>93852</v>
          </cell>
          <cell r="AH213">
            <v>0</v>
          </cell>
          <cell r="AI213">
            <v>93852</v>
          </cell>
          <cell r="AJ213">
            <v>0</v>
          </cell>
          <cell r="AK213">
            <v>93852</v>
          </cell>
          <cell r="AL213">
            <v>0</v>
          </cell>
          <cell r="AM213">
            <v>93852</v>
          </cell>
          <cell r="AN213">
            <v>0</v>
          </cell>
          <cell r="AO213">
            <v>93852</v>
          </cell>
          <cell r="AP213">
            <v>0</v>
          </cell>
          <cell r="AQ213">
            <v>93852</v>
          </cell>
          <cell r="AR213">
            <v>0</v>
          </cell>
          <cell r="AS213">
            <v>93852</v>
          </cell>
        </row>
        <row r="214">
          <cell r="G214" t="str">
            <v>10.11.45.201</v>
          </cell>
          <cell r="H214">
            <v>38208</v>
          </cell>
          <cell r="I214">
            <v>38208</v>
          </cell>
          <cell r="J214">
            <v>0</v>
          </cell>
          <cell r="K214">
            <v>38208</v>
          </cell>
          <cell r="L214">
            <v>0</v>
          </cell>
          <cell r="M214">
            <v>38208</v>
          </cell>
          <cell r="N214">
            <v>0</v>
          </cell>
          <cell r="O214">
            <v>38208</v>
          </cell>
          <cell r="P214">
            <v>0</v>
          </cell>
          <cell r="Q214">
            <v>38208</v>
          </cell>
          <cell r="R214">
            <v>0</v>
          </cell>
          <cell r="S214">
            <v>38208</v>
          </cell>
          <cell r="T214">
            <v>0</v>
          </cell>
          <cell r="U214">
            <v>38208</v>
          </cell>
          <cell r="V214">
            <v>0</v>
          </cell>
          <cell r="W214">
            <v>38208</v>
          </cell>
          <cell r="X214">
            <v>0</v>
          </cell>
          <cell r="Y214">
            <v>38208</v>
          </cell>
          <cell r="Z214">
            <v>0</v>
          </cell>
          <cell r="AA214">
            <v>38208</v>
          </cell>
          <cell r="AB214">
            <v>0</v>
          </cell>
          <cell r="AC214">
            <v>38208</v>
          </cell>
          <cell r="AD214">
            <v>0</v>
          </cell>
          <cell r="AE214">
            <v>38208</v>
          </cell>
          <cell r="AF214">
            <v>0</v>
          </cell>
          <cell r="AG214">
            <v>38208</v>
          </cell>
          <cell r="AH214">
            <v>0</v>
          </cell>
          <cell r="AI214">
            <v>38208</v>
          </cell>
          <cell r="AJ214">
            <v>0</v>
          </cell>
          <cell r="AK214">
            <v>38208</v>
          </cell>
          <cell r="AL214">
            <v>0</v>
          </cell>
          <cell r="AM214">
            <v>38208</v>
          </cell>
          <cell r="AN214">
            <v>0</v>
          </cell>
          <cell r="AO214">
            <v>38208</v>
          </cell>
          <cell r="AP214">
            <v>0</v>
          </cell>
          <cell r="AQ214">
            <v>38208</v>
          </cell>
          <cell r="AR214">
            <v>0</v>
          </cell>
          <cell r="AS214">
            <v>38208</v>
          </cell>
        </row>
        <row r="215">
          <cell r="G215" t="str">
            <v>10.14.87.203</v>
          </cell>
          <cell r="H215">
            <v>410493</v>
          </cell>
          <cell r="I215">
            <v>410493</v>
          </cell>
          <cell r="J215">
            <v>0</v>
          </cell>
          <cell r="K215">
            <v>410493</v>
          </cell>
          <cell r="L215">
            <v>0</v>
          </cell>
          <cell r="M215">
            <v>410493</v>
          </cell>
          <cell r="N215">
            <v>0</v>
          </cell>
          <cell r="O215">
            <v>410493</v>
          </cell>
          <cell r="P215">
            <v>0</v>
          </cell>
          <cell r="Q215">
            <v>410493</v>
          </cell>
          <cell r="R215">
            <v>0</v>
          </cell>
          <cell r="S215">
            <v>410493</v>
          </cell>
          <cell r="T215">
            <v>0</v>
          </cell>
          <cell r="U215">
            <v>410493</v>
          </cell>
          <cell r="V215">
            <v>0</v>
          </cell>
          <cell r="W215">
            <v>410493</v>
          </cell>
          <cell r="X215">
            <v>0</v>
          </cell>
          <cell r="Y215">
            <v>410493</v>
          </cell>
          <cell r="Z215">
            <v>0</v>
          </cell>
          <cell r="AA215">
            <v>410493</v>
          </cell>
          <cell r="AB215">
            <v>0</v>
          </cell>
          <cell r="AC215">
            <v>410493</v>
          </cell>
          <cell r="AD215">
            <v>0</v>
          </cell>
          <cell r="AE215">
            <v>410493</v>
          </cell>
          <cell r="AF215">
            <v>0</v>
          </cell>
          <cell r="AG215">
            <v>410493</v>
          </cell>
          <cell r="AH215">
            <v>0</v>
          </cell>
          <cell r="AI215">
            <v>410493</v>
          </cell>
          <cell r="AJ215">
            <v>0</v>
          </cell>
          <cell r="AK215">
            <v>410493</v>
          </cell>
          <cell r="AL215">
            <v>0</v>
          </cell>
          <cell r="AM215">
            <v>410493</v>
          </cell>
          <cell r="AN215">
            <v>0</v>
          </cell>
          <cell r="AO215">
            <v>410493</v>
          </cell>
          <cell r="AP215">
            <v>0</v>
          </cell>
          <cell r="AQ215">
            <v>410493</v>
          </cell>
          <cell r="AR215">
            <v>0</v>
          </cell>
          <cell r="AS215">
            <v>410493</v>
          </cell>
        </row>
        <row r="216">
          <cell r="G216" t="str">
            <v>10.14.85.202</v>
          </cell>
          <cell r="H216">
            <v>94657</v>
          </cell>
          <cell r="I216">
            <v>94657</v>
          </cell>
          <cell r="J216">
            <v>0</v>
          </cell>
          <cell r="K216">
            <v>94657</v>
          </cell>
          <cell r="L216">
            <v>0</v>
          </cell>
          <cell r="M216">
            <v>94657</v>
          </cell>
          <cell r="N216">
            <v>0</v>
          </cell>
          <cell r="O216">
            <v>94657</v>
          </cell>
          <cell r="P216">
            <v>0</v>
          </cell>
          <cell r="Q216">
            <v>94657</v>
          </cell>
          <cell r="R216">
            <v>0</v>
          </cell>
          <cell r="S216">
            <v>94657</v>
          </cell>
          <cell r="T216">
            <v>0</v>
          </cell>
          <cell r="U216">
            <v>94657</v>
          </cell>
          <cell r="V216">
            <v>0</v>
          </cell>
          <cell r="W216">
            <v>94657</v>
          </cell>
          <cell r="X216">
            <v>0</v>
          </cell>
          <cell r="Y216">
            <v>94657</v>
          </cell>
          <cell r="Z216">
            <v>0</v>
          </cell>
          <cell r="AA216">
            <v>94657</v>
          </cell>
          <cell r="AB216">
            <v>0</v>
          </cell>
          <cell r="AC216">
            <v>94657</v>
          </cell>
          <cell r="AD216">
            <v>0</v>
          </cell>
          <cell r="AE216">
            <v>94657</v>
          </cell>
          <cell r="AF216">
            <v>0</v>
          </cell>
          <cell r="AG216">
            <v>94657</v>
          </cell>
          <cell r="AH216">
            <v>0</v>
          </cell>
          <cell r="AI216">
            <v>94657</v>
          </cell>
          <cell r="AJ216">
            <v>0</v>
          </cell>
          <cell r="AK216">
            <v>94657</v>
          </cell>
          <cell r="AL216">
            <v>0</v>
          </cell>
          <cell r="AM216">
            <v>94657</v>
          </cell>
          <cell r="AN216">
            <v>0</v>
          </cell>
          <cell r="AO216">
            <v>94657</v>
          </cell>
          <cell r="AP216">
            <v>0</v>
          </cell>
          <cell r="AQ216">
            <v>94657</v>
          </cell>
          <cell r="AR216">
            <v>0</v>
          </cell>
          <cell r="AS216">
            <v>94657</v>
          </cell>
        </row>
        <row r="217">
          <cell r="G217" t="str">
            <v>10.10.100.110</v>
          </cell>
          <cell r="H217">
            <v>221210</v>
          </cell>
          <cell r="I217">
            <v>221210</v>
          </cell>
          <cell r="J217">
            <v>0</v>
          </cell>
          <cell r="K217">
            <v>221210</v>
          </cell>
          <cell r="L217">
            <v>0</v>
          </cell>
          <cell r="M217">
            <v>221210</v>
          </cell>
          <cell r="N217">
            <v>0</v>
          </cell>
          <cell r="O217">
            <v>221210</v>
          </cell>
          <cell r="P217">
            <v>0</v>
          </cell>
          <cell r="Q217">
            <v>221210</v>
          </cell>
          <cell r="R217">
            <v>0</v>
          </cell>
          <cell r="S217">
            <v>221210</v>
          </cell>
          <cell r="T217">
            <v>0</v>
          </cell>
          <cell r="U217">
            <v>221210</v>
          </cell>
          <cell r="V217">
            <v>0</v>
          </cell>
          <cell r="W217">
            <v>221210</v>
          </cell>
          <cell r="X217">
            <v>0</v>
          </cell>
          <cell r="Y217">
            <v>221210</v>
          </cell>
          <cell r="Z217">
            <v>0</v>
          </cell>
          <cell r="AA217">
            <v>221210</v>
          </cell>
          <cell r="AB217">
            <v>0</v>
          </cell>
          <cell r="AC217">
            <v>221210</v>
          </cell>
          <cell r="AD217">
            <v>0</v>
          </cell>
          <cell r="AE217">
            <v>221210</v>
          </cell>
          <cell r="AF217">
            <v>0</v>
          </cell>
          <cell r="AG217">
            <v>221210</v>
          </cell>
          <cell r="AH217">
            <v>0</v>
          </cell>
          <cell r="AI217">
            <v>221210</v>
          </cell>
          <cell r="AJ217">
            <v>0</v>
          </cell>
          <cell r="AK217">
            <v>221210</v>
          </cell>
          <cell r="AL217">
            <v>0</v>
          </cell>
          <cell r="AM217">
            <v>221210</v>
          </cell>
          <cell r="AN217">
            <v>0</v>
          </cell>
          <cell r="AO217">
            <v>221210</v>
          </cell>
          <cell r="AP217">
            <v>0</v>
          </cell>
          <cell r="AQ217">
            <v>221210</v>
          </cell>
          <cell r="AR217">
            <v>0</v>
          </cell>
          <cell r="AS217">
            <v>221210</v>
          </cell>
        </row>
        <row r="218">
          <cell r="G218" t="str">
            <v>10.10.50.201</v>
          </cell>
          <cell r="H218">
            <v>144092</v>
          </cell>
          <cell r="I218">
            <v>144092</v>
          </cell>
          <cell r="J218">
            <v>0</v>
          </cell>
          <cell r="K218">
            <v>144092</v>
          </cell>
          <cell r="L218">
            <v>0</v>
          </cell>
          <cell r="M218">
            <v>144092</v>
          </cell>
          <cell r="N218">
            <v>0</v>
          </cell>
          <cell r="O218">
            <v>144092</v>
          </cell>
          <cell r="P218">
            <v>0</v>
          </cell>
          <cell r="Q218">
            <v>144092</v>
          </cell>
          <cell r="R218">
            <v>0</v>
          </cell>
          <cell r="S218">
            <v>144092</v>
          </cell>
          <cell r="T218">
            <v>0</v>
          </cell>
          <cell r="U218">
            <v>144092</v>
          </cell>
          <cell r="V218">
            <v>0</v>
          </cell>
          <cell r="W218">
            <v>144092</v>
          </cell>
          <cell r="X218">
            <v>0</v>
          </cell>
          <cell r="Y218">
            <v>144092</v>
          </cell>
          <cell r="Z218">
            <v>0</v>
          </cell>
          <cell r="AA218">
            <v>144092</v>
          </cell>
          <cell r="AB218">
            <v>0</v>
          </cell>
          <cell r="AC218">
            <v>144092</v>
          </cell>
          <cell r="AD218">
            <v>0</v>
          </cell>
          <cell r="AE218">
            <v>144092</v>
          </cell>
          <cell r="AF218">
            <v>0</v>
          </cell>
          <cell r="AG218">
            <v>144092</v>
          </cell>
          <cell r="AH218">
            <v>0</v>
          </cell>
          <cell r="AI218">
            <v>144092</v>
          </cell>
          <cell r="AJ218">
            <v>0</v>
          </cell>
          <cell r="AK218">
            <v>144092</v>
          </cell>
          <cell r="AL218">
            <v>0</v>
          </cell>
          <cell r="AM218">
            <v>144092</v>
          </cell>
          <cell r="AN218">
            <v>0</v>
          </cell>
          <cell r="AO218">
            <v>144092</v>
          </cell>
          <cell r="AP218">
            <v>0</v>
          </cell>
          <cell r="AQ218">
            <v>144092</v>
          </cell>
          <cell r="AR218">
            <v>0</v>
          </cell>
          <cell r="AS218">
            <v>144092</v>
          </cell>
        </row>
        <row r="219">
          <cell r="G219" t="str">
            <v>10.14.44.201</v>
          </cell>
          <cell r="H219">
            <v>121282</v>
          </cell>
          <cell r="I219">
            <v>121282</v>
          </cell>
          <cell r="J219">
            <v>0</v>
          </cell>
          <cell r="K219">
            <v>121282</v>
          </cell>
          <cell r="L219">
            <v>0</v>
          </cell>
          <cell r="M219">
            <v>121282</v>
          </cell>
          <cell r="N219">
            <v>0</v>
          </cell>
          <cell r="O219">
            <v>121282</v>
          </cell>
          <cell r="P219">
            <v>0</v>
          </cell>
          <cell r="Q219">
            <v>121282</v>
          </cell>
          <cell r="R219">
            <v>0</v>
          </cell>
          <cell r="S219">
            <v>121282</v>
          </cell>
          <cell r="T219">
            <v>0</v>
          </cell>
          <cell r="U219">
            <v>121282</v>
          </cell>
          <cell r="V219">
            <v>0</v>
          </cell>
          <cell r="W219">
            <v>121282</v>
          </cell>
          <cell r="X219">
            <v>0</v>
          </cell>
          <cell r="Y219">
            <v>121282</v>
          </cell>
          <cell r="Z219">
            <v>0</v>
          </cell>
          <cell r="AA219">
            <v>121282</v>
          </cell>
          <cell r="AB219">
            <v>0</v>
          </cell>
          <cell r="AC219">
            <v>121282</v>
          </cell>
          <cell r="AD219">
            <v>0</v>
          </cell>
          <cell r="AE219">
            <v>121282</v>
          </cell>
          <cell r="AF219">
            <v>0</v>
          </cell>
          <cell r="AG219">
            <v>121282</v>
          </cell>
          <cell r="AH219">
            <v>0</v>
          </cell>
          <cell r="AI219">
            <v>121282</v>
          </cell>
          <cell r="AJ219">
            <v>0</v>
          </cell>
          <cell r="AK219">
            <v>121282</v>
          </cell>
          <cell r="AL219">
            <v>0</v>
          </cell>
          <cell r="AM219">
            <v>121282</v>
          </cell>
          <cell r="AN219">
            <v>0</v>
          </cell>
          <cell r="AO219">
            <v>121282</v>
          </cell>
          <cell r="AP219">
            <v>0</v>
          </cell>
          <cell r="AQ219">
            <v>121282</v>
          </cell>
          <cell r="AR219">
            <v>0</v>
          </cell>
          <cell r="AS219">
            <v>121282</v>
          </cell>
        </row>
        <row r="220">
          <cell r="G220" t="str">
            <v>10.10.95.200</v>
          </cell>
          <cell r="H220">
            <v>173577</v>
          </cell>
          <cell r="I220">
            <v>173577</v>
          </cell>
          <cell r="J220">
            <v>0</v>
          </cell>
          <cell r="K220">
            <v>173577</v>
          </cell>
          <cell r="L220">
            <v>0</v>
          </cell>
          <cell r="M220">
            <v>173577</v>
          </cell>
          <cell r="N220">
            <v>0</v>
          </cell>
          <cell r="O220">
            <v>173577</v>
          </cell>
          <cell r="P220">
            <v>0</v>
          </cell>
          <cell r="Q220">
            <v>173577</v>
          </cell>
          <cell r="R220">
            <v>0</v>
          </cell>
          <cell r="S220">
            <v>173577</v>
          </cell>
          <cell r="T220">
            <v>0</v>
          </cell>
          <cell r="U220">
            <v>173577</v>
          </cell>
          <cell r="V220">
            <v>0</v>
          </cell>
          <cell r="W220">
            <v>173577</v>
          </cell>
          <cell r="X220">
            <v>0</v>
          </cell>
          <cell r="Y220">
            <v>173577</v>
          </cell>
          <cell r="Z220">
            <v>0</v>
          </cell>
          <cell r="AA220">
            <v>173577</v>
          </cell>
          <cell r="AB220">
            <v>0</v>
          </cell>
          <cell r="AC220">
            <v>173577</v>
          </cell>
          <cell r="AD220">
            <v>0</v>
          </cell>
          <cell r="AE220">
            <v>173577</v>
          </cell>
          <cell r="AF220">
            <v>0</v>
          </cell>
          <cell r="AG220">
            <v>173577</v>
          </cell>
          <cell r="AH220">
            <v>0</v>
          </cell>
          <cell r="AI220">
            <v>173577</v>
          </cell>
          <cell r="AJ220">
            <v>0</v>
          </cell>
          <cell r="AK220">
            <v>173577</v>
          </cell>
          <cell r="AL220">
            <v>0</v>
          </cell>
          <cell r="AM220">
            <v>173577</v>
          </cell>
          <cell r="AN220">
            <v>0</v>
          </cell>
          <cell r="AO220">
            <v>173577</v>
          </cell>
          <cell r="AP220">
            <v>0</v>
          </cell>
          <cell r="AQ220">
            <v>173577</v>
          </cell>
          <cell r="AR220">
            <v>0</v>
          </cell>
          <cell r="AS220">
            <v>173577</v>
          </cell>
        </row>
        <row r="221">
          <cell r="G221" t="str">
            <v>10.11.10.200</v>
          </cell>
          <cell r="H221">
            <v>103947</v>
          </cell>
          <cell r="I221">
            <v>103947</v>
          </cell>
          <cell r="J221">
            <v>0</v>
          </cell>
          <cell r="K221">
            <v>103947</v>
          </cell>
          <cell r="L221">
            <v>0</v>
          </cell>
          <cell r="M221">
            <v>103947</v>
          </cell>
          <cell r="N221">
            <v>0</v>
          </cell>
          <cell r="O221">
            <v>103947</v>
          </cell>
          <cell r="P221">
            <v>0</v>
          </cell>
          <cell r="Q221">
            <v>103947</v>
          </cell>
          <cell r="R221">
            <v>0</v>
          </cell>
          <cell r="S221">
            <v>103947</v>
          </cell>
          <cell r="T221">
            <v>0</v>
          </cell>
          <cell r="U221">
            <v>103947</v>
          </cell>
          <cell r="V221">
            <v>0</v>
          </cell>
          <cell r="W221">
            <v>103947</v>
          </cell>
          <cell r="X221">
            <v>0</v>
          </cell>
          <cell r="Y221">
            <v>103947</v>
          </cell>
          <cell r="Z221">
            <v>0</v>
          </cell>
          <cell r="AA221">
            <v>103947</v>
          </cell>
          <cell r="AB221">
            <v>0</v>
          </cell>
          <cell r="AC221">
            <v>103947</v>
          </cell>
          <cell r="AD221">
            <v>0</v>
          </cell>
          <cell r="AE221">
            <v>103947</v>
          </cell>
          <cell r="AF221">
            <v>0</v>
          </cell>
          <cell r="AG221">
            <v>103947</v>
          </cell>
          <cell r="AH221">
            <v>0</v>
          </cell>
          <cell r="AI221">
            <v>103947</v>
          </cell>
          <cell r="AJ221">
            <v>0</v>
          </cell>
          <cell r="AK221">
            <v>103947</v>
          </cell>
          <cell r="AL221">
            <v>0</v>
          </cell>
          <cell r="AM221">
            <v>103947</v>
          </cell>
          <cell r="AN221">
            <v>0</v>
          </cell>
          <cell r="AO221">
            <v>103947</v>
          </cell>
          <cell r="AP221">
            <v>0</v>
          </cell>
          <cell r="AQ221">
            <v>103947</v>
          </cell>
          <cell r="AR221">
            <v>0</v>
          </cell>
          <cell r="AS221">
            <v>103947</v>
          </cell>
        </row>
        <row r="222">
          <cell r="G222" t="str">
            <v>10.10.153.202</v>
          </cell>
          <cell r="H222">
            <v>192932</v>
          </cell>
          <cell r="I222">
            <v>192932</v>
          </cell>
          <cell r="J222">
            <v>0</v>
          </cell>
          <cell r="K222">
            <v>192932</v>
          </cell>
          <cell r="L222">
            <v>0</v>
          </cell>
          <cell r="M222">
            <v>192932</v>
          </cell>
          <cell r="N222">
            <v>0</v>
          </cell>
          <cell r="O222">
            <v>192932</v>
          </cell>
          <cell r="P222">
            <v>0</v>
          </cell>
          <cell r="Q222">
            <v>192932</v>
          </cell>
          <cell r="R222">
            <v>0</v>
          </cell>
          <cell r="S222">
            <v>192932</v>
          </cell>
          <cell r="T222">
            <v>0</v>
          </cell>
          <cell r="U222">
            <v>192932</v>
          </cell>
          <cell r="V222">
            <v>0</v>
          </cell>
          <cell r="W222">
            <v>192932</v>
          </cell>
          <cell r="X222">
            <v>0</v>
          </cell>
          <cell r="Y222">
            <v>192932</v>
          </cell>
          <cell r="Z222">
            <v>0</v>
          </cell>
          <cell r="AA222">
            <v>192932</v>
          </cell>
          <cell r="AB222">
            <v>0</v>
          </cell>
          <cell r="AC222">
            <v>192932</v>
          </cell>
          <cell r="AD222">
            <v>0</v>
          </cell>
          <cell r="AE222">
            <v>192932</v>
          </cell>
          <cell r="AF222">
            <v>0</v>
          </cell>
          <cell r="AG222">
            <v>192932</v>
          </cell>
          <cell r="AH222">
            <v>0</v>
          </cell>
          <cell r="AI222">
            <v>192932</v>
          </cell>
          <cell r="AJ222">
            <v>0</v>
          </cell>
          <cell r="AK222">
            <v>192932</v>
          </cell>
          <cell r="AL222">
            <v>0</v>
          </cell>
          <cell r="AM222">
            <v>192932</v>
          </cell>
          <cell r="AN222">
            <v>0</v>
          </cell>
          <cell r="AO222">
            <v>192932</v>
          </cell>
          <cell r="AP222">
            <v>0</v>
          </cell>
          <cell r="AQ222">
            <v>192932</v>
          </cell>
          <cell r="AR222">
            <v>0</v>
          </cell>
          <cell r="AS222">
            <v>192932</v>
          </cell>
        </row>
        <row r="223">
          <cell r="G223" t="str">
            <v>10.11.35.200</v>
          </cell>
          <cell r="H223">
            <v>274989</v>
          </cell>
          <cell r="I223">
            <v>274989</v>
          </cell>
          <cell r="J223">
            <v>0</v>
          </cell>
          <cell r="K223">
            <v>274989</v>
          </cell>
          <cell r="L223">
            <v>0</v>
          </cell>
          <cell r="M223">
            <v>274989</v>
          </cell>
          <cell r="N223">
            <v>0</v>
          </cell>
          <cell r="O223">
            <v>274989</v>
          </cell>
          <cell r="P223">
            <v>0</v>
          </cell>
          <cell r="Q223">
            <v>274989</v>
          </cell>
          <cell r="R223">
            <v>0</v>
          </cell>
          <cell r="S223">
            <v>274989</v>
          </cell>
          <cell r="T223">
            <v>0</v>
          </cell>
          <cell r="U223">
            <v>274989</v>
          </cell>
          <cell r="V223">
            <v>0</v>
          </cell>
          <cell r="W223">
            <v>274989</v>
          </cell>
          <cell r="X223">
            <v>0</v>
          </cell>
          <cell r="Y223">
            <v>274989</v>
          </cell>
          <cell r="Z223">
            <v>0</v>
          </cell>
          <cell r="AA223">
            <v>274989</v>
          </cell>
          <cell r="AB223">
            <v>0</v>
          </cell>
          <cell r="AC223">
            <v>274989</v>
          </cell>
          <cell r="AD223">
            <v>0</v>
          </cell>
          <cell r="AE223">
            <v>274989</v>
          </cell>
          <cell r="AF223">
            <v>0</v>
          </cell>
          <cell r="AG223">
            <v>274989</v>
          </cell>
          <cell r="AH223">
            <v>0</v>
          </cell>
          <cell r="AI223">
            <v>274989</v>
          </cell>
          <cell r="AJ223">
            <v>0</v>
          </cell>
          <cell r="AK223">
            <v>274989</v>
          </cell>
          <cell r="AL223">
            <v>0</v>
          </cell>
          <cell r="AM223">
            <v>274989</v>
          </cell>
          <cell r="AN223">
            <v>0</v>
          </cell>
          <cell r="AO223">
            <v>274989</v>
          </cell>
          <cell r="AP223">
            <v>0</v>
          </cell>
          <cell r="AQ223">
            <v>274989</v>
          </cell>
          <cell r="AR223">
            <v>0</v>
          </cell>
          <cell r="AS223">
            <v>274989</v>
          </cell>
        </row>
        <row r="224">
          <cell r="G224" t="str">
            <v>10.10.162.202</v>
          </cell>
          <cell r="H224">
            <v>256868</v>
          </cell>
          <cell r="I224">
            <v>256868</v>
          </cell>
          <cell r="J224">
            <v>0</v>
          </cell>
          <cell r="K224">
            <v>256868</v>
          </cell>
          <cell r="L224">
            <v>0</v>
          </cell>
          <cell r="M224">
            <v>256868</v>
          </cell>
          <cell r="N224">
            <v>0</v>
          </cell>
          <cell r="O224">
            <v>256868</v>
          </cell>
          <cell r="P224">
            <v>0</v>
          </cell>
          <cell r="Q224">
            <v>256868</v>
          </cell>
          <cell r="R224">
            <v>0</v>
          </cell>
          <cell r="S224">
            <v>256868</v>
          </cell>
          <cell r="T224">
            <v>0</v>
          </cell>
          <cell r="U224">
            <v>256868</v>
          </cell>
          <cell r="V224">
            <v>0</v>
          </cell>
          <cell r="W224">
            <v>256868</v>
          </cell>
          <cell r="X224">
            <v>0</v>
          </cell>
          <cell r="Y224">
            <v>256868</v>
          </cell>
          <cell r="Z224">
            <v>0</v>
          </cell>
          <cell r="AA224">
            <v>256868</v>
          </cell>
          <cell r="AB224">
            <v>0</v>
          </cell>
          <cell r="AC224">
            <v>256868</v>
          </cell>
          <cell r="AD224">
            <v>0</v>
          </cell>
          <cell r="AE224">
            <v>256868</v>
          </cell>
          <cell r="AF224">
            <v>0</v>
          </cell>
          <cell r="AG224">
            <v>256868</v>
          </cell>
          <cell r="AH224">
            <v>0</v>
          </cell>
          <cell r="AI224">
            <v>256868</v>
          </cell>
          <cell r="AJ224">
            <v>0</v>
          </cell>
          <cell r="AK224">
            <v>256868</v>
          </cell>
          <cell r="AL224">
            <v>0</v>
          </cell>
          <cell r="AM224">
            <v>256868</v>
          </cell>
          <cell r="AN224">
            <v>0</v>
          </cell>
          <cell r="AO224">
            <v>256868</v>
          </cell>
          <cell r="AP224">
            <v>0</v>
          </cell>
          <cell r="AQ224">
            <v>256868</v>
          </cell>
          <cell r="AR224">
            <v>0</v>
          </cell>
          <cell r="AS224">
            <v>256868</v>
          </cell>
        </row>
        <row r="225">
          <cell r="G225" t="str">
            <v>10.10.144.203</v>
          </cell>
          <cell r="H225">
            <v>144319</v>
          </cell>
          <cell r="I225">
            <v>144319</v>
          </cell>
          <cell r="J225">
            <v>0</v>
          </cell>
          <cell r="K225">
            <v>144319</v>
          </cell>
          <cell r="L225">
            <v>0</v>
          </cell>
          <cell r="M225">
            <v>144319</v>
          </cell>
          <cell r="N225">
            <v>0</v>
          </cell>
          <cell r="O225">
            <v>144319</v>
          </cell>
          <cell r="P225">
            <v>0</v>
          </cell>
          <cell r="Q225">
            <v>144319</v>
          </cell>
          <cell r="R225">
            <v>0</v>
          </cell>
          <cell r="S225">
            <v>144319</v>
          </cell>
          <cell r="T225">
            <v>0</v>
          </cell>
          <cell r="U225">
            <v>144319</v>
          </cell>
          <cell r="V225">
            <v>0</v>
          </cell>
          <cell r="W225">
            <v>144319</v>
          </cell>
          <cell r="X225">
            <v>0</v>
          </cell>
          <cell r="Y225">
            <v>144319</v>
          </cell>
          <cell r="Z225">
            <v>0</v>
          </cell>
          <cell r="AA225">
            <v>144319</v>
          </cell>
          <cell r="AB225">
            <v>0</v>
          </cell>
          <cell r="AC225">
            <v>144319</v>
          </cell>
          <cell r="AD225">
            <v>0</v>
          </cell>
          <cell r="AE225">
            <v>144319</v>
          </cell>
          <cell r="AF225">
            <v>0</v>
          </cell>
          <cell r="AG225">
            <v>144319</v>
          </cell>
          <cell r="AH225">
            <v>0</v>
          </cell>
          <cell r="AI225">
            <v>144319</v>
          </cell>
          <cell r="AJ225">
            <v>0</v>
          </cell>
          <cell r="AK225">
            <v>144319</v>
          </cell>
          <cell r="AL225">
            <v>0</v>
          </cell>
          <cell r="AM225">
            <v>144319</v>
          </cell>
          <cell r="AN225">
            <v>0</v>
          </cell>
          <cell r="AO225">
            <v>144319</v>
          </cell>
          <cell r="AP225">
            <v>0</v>
          </cell>
          <cell r="AQ225">
            <v>144319</v>
          </cell>
          <cell r="AR225">
            <v>0</v>
          </cell>
          <cell r="AS225">
            <v>144319</v>
          </cell>
        </row>
        <row r="226">
          <cell r="G226" t="str">
            <v>10.10.3.200</v>
          </cell>
          <cell r="H226">
            <v>79875</v>
          </cell>
          <cell r="I226">
            <v>79875</v>
          </cell>
          <cell r="J226">
            <v>0</v>
          </cell>
          <cell r="K226">
            <v>79875</v>
          </cell>
          <cell r="L226">
            <v>0</v>
          </cell>
          <cell r="M226">
            <v>79875</v>
          </cell>
          <cell r="N226">
            <v>0</v>
          </cell>
          <cell r="O226">
            <v>79875</v>
          </cell>
          <cell r="P226">
            <v>0</v>
          </cell>
          <cell r="Q226">
            <v>79875</v>
          </cell>
          <cell r="R226">
            <v>0</v>
          </cell>
          <cell r="S226">
            <v>79875</v>
          </cell>
          <cell r="T226">
            <v>0</v>
          </cell>
          <cell r="U226">
            <v>79875</v>
          </cell>
          <cell r="V226">
            <v>0</v>
          </cell>
          <cell r="W226">
            <v>79875</v>
          </cell>
          <cell r="X226">
            <v>0</v>
          </cell>
          <cell r="Y226">
            <v>79875</v>
          </cell>
          <cell r="Z226">
            <v>0</v>
          </cell>
          <cell r="AA226">
            <v>79875</v>
          </cell>
          <cell r="AB226">
            <v>0</v>
          </cell>
          <cell r="AC226">
            <v>79875</v>
          </cell>
          <cell r="AD226">
            <v>0</v>
          </cell>
          <cell r="AE226">
            <v>79875</v>
          </cell>
          <cell r="AF226">
            <v>0</v>
          </cell>
          <cell r="AG226">
            <v>79875</v>
          </cell>
          <cell r="AH226">
            <v>0</v>
          </cell>
          <cell r="AI226">
            <v>79875</v>
          </cell>
          <cell r="AJ226">
            <v>0</v>
          </cell>
          <cell r="AK226">
            <v>79875</v>
          </cell>
          <cell r="AL226">
            <v>0</v>
          </cell>
          <cell r="AM226">
            <v>79875</v>
          </cell>
          <cell r="AN226">
            <v>0</v>
          </cell>
          <cell r="AO226">
            <v>79875</v>
          </cell>
          <cell r="AP226">
            <v>0</v>
          </cell>
          <cell r="AQ226">
            <v>79875</v>
          </cell>
          <cell r="AR226">
            <v>0</v>
          </cell>
          <cell r="AS226">
            <v>79875</v>
          </cell>
        </row>
        <row r="227">
          <cell r="G227" t="str">
            <v>10.10.163.200</v>
          </cell>
          <cell r="H227">
            <v>250936</v>
          </cell>
          <cell r="I227">
            <v>250936</v>
          </cell>
          <cell r="J227">
            <v>0</v>
          </cell>
          <cell r="K227">
            <v>250936</v>
          </cell>
          <cell r="L227">
            <v>0</v>
          </cell>
          <cell r="M227">
            <v>250936</v>
          </cell>
          <cell r="N227">
            <v>0</v>
          </cell>
          <cell r="O227">
            <v>250936</v>
          </cell>
          <cell r="P227">
            <v>0</v>
          </cell>
          <cell r="Q227">
            <v>250936</v>
          </cell>
          <cell r="R227">
            <v>0</v>
          </cell>
          <cell r="S227">
            <v>250936</v>
          </cell>
          <cell r="T227">
            <v>0</v>
          </cell>
          <cell r="U227">
            <v>250936</v>
          </cell>
          <cell r="V227">
            <v>0</v>
          </cell>
          <cell r="W227">
            <v>250936</v>
          </cell>
          <cell r="X227">
            <v>0</v>
          </cell>
          <cell r="Y227">
            <v>250936</v>
          </cell>
          <cell r="Z227">
            <v>0</v>
          </cell>
          <cell r="AA227">
            <v>250936</v>
          </cell>
          <cell r="AB227">
            <v>0</v>
          </cell>
          <cell r="AC227">
            <v>250936</v>
          </cell>
          <cell r="AD227">
            <v>0</v>
          </cell>
          <cell r="AE227">
            <v>250936</v>
          </cell>
          <cell r="AF227">
            <v>0</v>
          </cell>
          <cell r="AG227">
            <v>250936</v>
          </cell>
          <cell r="AH227">
            <v>0</v>
          </cell>
          <cell r="AI227">
            <v>250936</v>
          </cell>
          <cell r="AJ227">
            <v>0</v>
          </cell>
          <cell r="AK227">
            <v>250936</v>
          </cell>
          <cell r="AL227">
            <v>0</v>
          </cell>
          <cell r="AM227">
            <v>250936</v>
          </cell>
          <cell r="AN227">
            <v>0</v>
          </cell>
          <cell r="AO227">
            <v>250936</v>
          </cell>
          <cell r="AP227">
            <v>0</v>
          </cell>
          <cell r="AQ227">
            <v>250936</v>
          </cell>
          <cell r="AR227">
            <v>0</v>
          </cell>
          <cell r="AS227">
            <v>250936</v>
          </cell>
        </row>
        <row r="228">
          <cell r="G228" t="str">
            <v>10.11.39.201</v>
          </cell>
          <cell r="H228">
            <v>116281</v>
          </cell>
          <cell r="I228">
            <v>116281</v>
          </cell>
          <cell r="J228">
            <v>0</v>
          </cell>
          <cell r="K228">
            <v>116281</v>
          </cell>
          <cell r="L228">
            <v>0</v>
          </cell>
          <cell r="M228">
            <v>116281</v>
          </cell>
          <cell r="N228">
            <v>0</v>
          </cell>
          <cell r="O228">
            <v>116281</v>
          </cell>
          <cell r="P228">
            <v>0</v>
          </cell>
          <cell r="Q228">
            <v>116281</v>
          </cell>
          <cell r="R228">
            <v>0</v>
          </cell>
          <cell r="S228">
            <v>116281</v>
          </cell>
          <cell r="T228">
            <v>0</v>
          </cell>
          <cell r="U228">
            <v>116281</v>
          </cell>
          <cell r="V228">
            <v>0</v>
          </cell>
          <cell r="W228">
            <v>116281</v>
          </cell>
          <cell r="X228">
            <v>0</v>
          </cell>
          <cell r="Y228">
            <v>116281</v>
          </cell>
          <cell r="Z228">
            <v>0</v>
          </cell>
          <cell r="AA228">
            <v>116281</v>
          </cell>
          <cell r="AB228">
            <v>0</v>
          </cell>
          <cell r="AC228">
            <v>116281</v>
          </cell>
          <cell r="AD228">
            <v>0</v>
          </cell>
          <cell r="AE228">
            <v>116281</v>
          </cell>
          <cell r="AF228">
            <v>0</v>
          </cell>
          <cell r="AG228">
            <v>116281</v>
          </cell>
          <cell r="AH228">
            <v>0</v>
          </cell>
          <cell r="AI228">
            <v>116281</v>
          </cell>
          <cell r="AJ228">
            <v>0</v>
          </cell>
          <cell r="AK228">
            <v>116281</v>
          </cell>
          <cell r="AL228">
            <v>0</v>
          </cell>
          <cell r="AM228">
            <v>116281</v>
          </cell>
          <cell r="AN228">
            <v>0</v>
          </cell>
          <cell r="AO228">
            <v>116281</v>
          </cell>
          <cell r="AP228">
            <v>0</v>
          </cell>
          <cell r="AQ228">
            <v>116281</v>
          </cell>
          <cell r="AR228">
            <v>0</v>
          </cell>
          <cell r="AS228">
            <v>116281</v>
          </cell>
        </row>
        <row r="229">
          <cell r="G229" t="str">
            <v>10.11.67.226</v>
          </cell>
          <cell r="H229">
            <v>76108</v>
          </cell>
          <cell r="I229">
            <v>76108</v>
          </cell>
          <cell r="J229">
            <v>0</v>
          </cell>
          <cell r="K229">
            <v>76108</v>
          </cell>
          <cell r="L229">
            <v>0</v>
          </cell>
          <cell r="M229">
            <v>76108</v>
          </cell>
          <cell r="N229">
            <v>0</v>
          </cell>
          <cell r="O229">
            <v>76108</v>
          </cell>
          <cell r="P229">
            <v>0</v>
          </cell>
          <cell r="Q229">
            <v>76108</v>
          </cell>
          <cell r="R229">
            <v>0</v>
          </cell>
          <cell r="S229">
            <v>76108</v>
          </cell>
          <cell r="T229">
            <v>0</v>
          </cell>
          <cell r="U229">
            <v>76108</v>
          </cell>
          <cell r="V229">
            <v>0</v>
          </cell>
          <cell r="W229">
            <v>76108</v>
          </cell>
          <cell r="X229">
            <v>0</v>
          </cell>
          <cell r="Y229">
            <v>76108</v>
          </cell>
          <cell r="Z229">
            <v>0</v>
          </cell>
          <cell r="AA229">
            <v>76108</v>
          </cell>
          <cell r="AB229">
            <v>0</v>
          </cell>
          <cell r="AC229">
            <v>76108</v>
          </cell>
          <cell r="AD229">
            <v>0</v>
          </cell>
          <cell r="AE229">
            <v>76108</v>
          </cell>
          <cell r="AF229">
            <v>0</v>
          </cell>
          <cell r="AG229">
            <v>76108</v>
          </cell>
          <cell r="AH229">
            <v>0</v>
          </cell>
          <cell r="AI229">
            <v>76108</v>
          </cell>
          <cell r="AJ229">
            <v>0</v>
          </cell>
          <cell r="AK229">
            <v>76108</v>
          </cell>
          <cell r="AL229">
            <v>0</v>
          </cell>
          <cell r="AM229">
            <v>76108</v>
          </cell>
          <cell r="AN229">
            <v>0</v>
          </cell>
          <cell r="AO229">
            <v>76108</v>
          </cell>
          <cell r="AP229">
            <v>0</v>
          </cell>
          <cell r="AQ229">
            <v>76108</v>
          </cell>
          <cell r="AR229">
            <v>0</v>
          </cell>
          <cell r="AS229">
            <v>76108</v>
          </cell>
        </row>
        <row r="230">
          <cell r="G230" t="str">
            <v>10.10.230.200</v>
          </cell>
          <cell r="H230">
            <v>426870</v>
          </cell>
          <cell r="I230">
            <v>426870</v>
          </cell>
          <cell r="J230">
            <v>0</v>
          </cell>
          <cell r="K230">
            <v>426870</v>
          </cell>
          <cell r="L230">
            <v>0</v>
          </cell>
          <cell r="M230">
            <v>426870</v>
          </cell>
          <cell r="N230">
            <v>0</v>
          </cell>
          <cell r="O230">
            <v>426870</v>
          </cell>
          <cell r="P230">
            <v>0</v>
          </cell>
          <cell r="Q230">
            <v>426870</v>
          </cell>
          <cell r="R230">
            <v>0</v>
          </cell>
          <cell r="S230">
            <v>426870</v>
          </cell>
          <cell r="T230">
            <v>0</v>
          </cell>
          <cell r="U230">
            <v>426870</v>
          </cell>
          <cell r="V230">
            <v>0</v>
          </cell>
          <cell r="W230">
            <v>426870</v>
          </cell>
          <cell r="X230">
            <v>0</v>
          </cell>
          <cell r="Y230">
            <v>426870</v>
          </cell>
          <cell r="Z230">
            <v>0</v>
          </cell>
          <cell r="AA230">
            <v>426870</v>
          </cell>
          <cell r="AB230">
            <v>0</v>
          </cell>
          <cell r="AC230">
            <v>426870</v>
          </cell>
          <cell r="AD230">
            <v>0</v>
          </cell>
          <cell r="AE230">
            <v>426870</v>
          </cell>
          <cell r="AF230">
            <v>0</v>
          </cell>
          <cell r="AG230">
            <v>426870</v>
          </cell>
          <cell r="AH230">
            <v>0</v>
          </cell>
          <cell r="AI230">
            <v>426870</v>
          </cell>
          <cell r="AJ230">
            <v>0</v>
          </cell>
          <cell r="AK230">
            <v>426870</v>
          </cell>
          <cell r="AL230">
            <v>0</v>
          </cell>
          <cell r="AM230">
            <v>426870</v>
          </cell>
          <cell r="AN230">
            <v>0</v>
          </cell>
          <cell r="AO230">
            <v>426870</v>
          </cell>
          <cell r="AP230">
            <v>0</v>
          </cell>
          <cell r="AQ230">
            <v>426870</v>
          </cell>
          <cell r="AR230">
            <v>0</v>
          </cell>
          <cell r="AS230">
            <v>426870</v>
          </cell>
        </row>
        <row r="231">
          <cell r="G231" t="str">
            <v>10.10.77.201</v>
          </cell>
          <cell r="H231">
            <v>95129</v>
          </cell>
          <cell r="I231">
            <v>95129</v>
          </cell>
          <cell r="J231">
            <v>0</v>
          </cell>
          <cell r="K231">
            <v>95129</v>
          </cell>
          <cell r="L231">
            <v>0</v>
          </cell>
          <cell r="M231">
            <v>95129</v>
          </cell>
          <cell r="N231">
            <v>0</v>
          </cell>
          <cell r="O231">
            <v>95129</v>
          </cell>
          <cell r="P231">
            <v>0</v>
          </cell>
          <cell r="Q231">
            <v>95129</v>
          </cell>
          <cell r="R231">
            <v>0</v>
          </cell>
          <cell r="S231">
            <v>95129</v>
          </cell>
          <cell r="T231">
            <v>0</v>
          </cell>
          <cell r="U231">
            <v>95129</v>
          </cell>
          <cell r="V231">
            <v>0</v>
          </cell>
          <cell r="W231">
            <v>95129</v>
          </cell>
          <cell r="X231">
            <v>0</v>
          </cell>
          <cell r="Y231">
            <v>95129</v>
          </cell>
          <cell r="Z231">
            <v>0</v>
          </cell>
          <cell r="AA231">
            <v>95129</v>
          </cell>
          <cell r="AB231">
            <v>0</v>
          </cell>
          <cell r="AC231">
            <v>95129</v>
          </cell>
          <cell r="AD231">
            <v>0</v>
          </cell>
          <cell r="AE231">
            <v>95129</v>
          </cell>
          <cell r="AF231">
            <v>0</v>
          </cell>
          <cell r="AG231">
            <v>95129</v>
          </cell>
          <cell r="AH231">
            <v>0</v>
          </cell>
          <cell r="AI231">
            <v>95129</v>
          </cell>
          <cell r="AJ231">
            <v>0</v>
          </cell>
          <cell r="AK231">
            <v>95129</v>
          </cell>
          <cell r="AL231">
            <v>0</v>
          </cell>
          <cell r="AM231">
            <v>95129</v>
          </cell>
          <cell r="AN231">
            <v>0</v>
          </cell>
          <cell r="AO231">
            <v>95129</v>
          </cell>
          <cell r="AP231">
            <v>0</v>
          </cell>
          <cell r="AQ231">
            <v>95129</v>
          </cell>
          <cell r="AR231">
            <v>0</v>
          </cell>
          <cell r="AS231">
            <v>95129</v>
          </cell>
        </row>
        <row r="232">
          <cell r="H232">
            <v>299170</v>
          </cell>
          <cell r="I232">
            <v>299170</v>
          </cell>
          <cell r="J232">
            <v>0</v>
          </cell>
          <cell r="K232">
            <v>299170</v>
          </cell>
          <cell r="L232">
            <v>0</v>
          </cell>
          <cell r="M232">
            <v>299170</v>
          </cell>
          <cell r="N232">
            <v>0</v>
          </cell>
          <cell r="O232">
            <v>299170</v>
          </cell>
          <cell r="P232">
            <v>0</v>
          </cell>
          <cell r="Q232">
            <v>299170</v>
          </cell>
          <cell r="R232">
            <v>0</v>
          </cell>
          <cell r="S232">
            <v>299170</v>
          </cell>
          <cell r="T232">
            <v>0</v>
          </cell>
          <cell r="U232">
            <v>299170</v>
          </cell>
          <cell r="V232">
            <v>0</v>
          </cell>
          <cell r="W232">
            <v>299170</v>
          </cell>
          <cell r="X232">
            <v>0</v>
          </cell>
          <cell r="Y232">
            <v>299170</v>
          </cell>
          <cell r="Z232">
            <v>0</v>
          </cell>
          <cell r="AA232">
            <v>299170</v>
          </cell>
          <cell r="AB232">
            <v>0</v>
          </cell>
          <cell r="AC232">
            <v>299170</v>
          </cell>
          <cell r="AD232">
            <v>0</v>
          </cell>
          <cell r="AE232">
            <v>299170</v>
          </cell>
          <cell r="AF232">
            <v>0</v>
          </cell>
          <cell r="AG232">
            <v>299170</v>
          </cell>
          <cell r="AH232">
            <v>0</v>
          </cell>
          <cell r="AI232">
            <v>299170</v>
          </cell>
          <cell r="AJ232">
            <v>0</v>
          </cell>
          <cell r="AK232">
            <v>299170</v>
          </cell>
          <cell r="AL232">
            <v>0</v>
          </cell>
          <cell r="AM232">
            <v>299170</v>
          </cell>
          <cell r="AN232">
            <v>0</v>
          </cell>
          <cell r="AO232">
            <v>299170</v>
          </cell>
          <cell r="AP232">
            <v>0</v>
          </cell>
          <cell r="AQ232">
            <v>299170</v>
          </cell>
          <cell r="AR232">
            <v>0</v>
          </cell>
          <cell r="AS232">
            <v>299170</v>
          </cell>
        </row>
        <row r="233">
          <cell r="H233">
            <v>373057</v>
          </cell>
          <cell r="I233">
            <v>373057</v>
          </cell>
          <cell r="J233">
            <v>0</v>
          </cell>
          <cell r="K233">
            <v>373057</v>
          </cell>
          <cell r="L233">
            <v>0</v>
          </cell>
          <cell r="M233">
            <v>373057</v>
          </cell>
          <cell r="N233">
            <v>0</v>
          </cell>
          <cell r="O233">
            <v>373057</v>
          </cell>
          <cell r="P233">
            <v>0</v>
          </cell>
          <cell r="Q233">
            <v>373057</v>
          </cell>
          <cell r="R233">
            <v>0</v>
          </cell>
          <cell r="S233">
            <v>373057</v>
          </cell>
          <cell r="T233">
            <v>0</v>
          </cell>
          <cell r="U233">
            <v>373057</v>
          </cell>
          <cell r="V233">
            <v>0</v>
          </cell>
          <cell r="W233">
            <v>373057</v>
          </cell>
          <cell r="X233">
            <v>0</v>
          </cell>
          <cell r="Y233">
            <v>373057</v>
          </cell>
          <cell r="Z233">
            <v>0</v>
          </cell>
          <cell r="AA233">
            <v>373057</v>
          </cell>
          <cell r="AB233">
            <v>0</v>
          </cell>
          <cell r="AC233">
            <v>373057</v>
          </cell>
          <cell r="AD233">
            <v>0</v>
          </cell>
          <cell r="AE233">
            <v>373057</v>
          </cell>
          <cell r="AF233">
            <v>0</v>
          </cell>
          <cell r="AG233">
            <v>373057</v>
          </cell>
          <cell r="AH233">
            <v>0</v>
          </cell>
          <cell r="AI233">
            <v>373057</v>
          </cell>
          <cell r="AJ233">
            <v>0</v>
          </cell>
          <cell r="AK233">
            <v>373057</v>
          </cell>
          <cell r="AL233">
            <v>0</v>
          </cell>
          <cell r="AM233">
            <v>373057</v>
          </cell>
          <cell r="AN233">
            <v>0</v>
          </cell>
          <cell r="AO233">
            <v>373057</v>
          </cell>
          <cell r="AP233">
            <v>0</v>
          </cell>
          <cell r="AQ233">
            <v>373057</v>
          </cell>
          <cell r="AR233">
            <v>0</v>
          </cell>
          <cell r="AS233">
            <v>373057</v>
          </cell>
        </row>
        <row r="234">
          <cell r="G234" t="str">
            <v>10.10.216.200</v>
          </cell>
          <cell r="H234">
            <v>129321</v>
          </cell>
          <cell r="I234">
            <v>129321</v>
          </cell>
          <cell r="J234">
            <v>0</v>
          </cell>
          <cell r="K234">
            <v>129321</v>
          </cell>
          <cell r="L234">
            <v>0</v>
          </cell>
          <cell r="M234">
            <v>129321</v>
          </cell>
          <cell r="N234">
            <v>0</v>
          </cell>
          <cell r="O234">
            <v>129321</v>
          </cell>
          <cell r="P234">
            <v>0</v>
          </cell>
          <cell r="Q234">
            <v>129321</v>
          </cell>
          <cell r="R234">
            <v>0</v>
          </cell>
          <cell r="S234">
            <v>129321</v>
          </cell>
          <cell r="T234">
            <v>0</v>
          </cell>
          <cell r="U234">
            <v>129321</v>
          </cell>
          <cell r="V234">
            <v>0</v>
          </cell>
          <cell r="W234">
            <v>129321</v>
          </cell>
          <cell r="X234">
            <v>0</v>
          </cell>
          <cell r="Y234">
            <v>129321</v>
          </cell>
          <cell r="Z234">
            <v>0</v>
          </cell>
          <cell r="AA234">
            <v>129321</v>
          </cell>
          <cell r="AB234">
            <v>0</v>
          </cell>
          <cell r="AC234">
            <v>129321</v>
          </cell>
          <cell r="AD234">
            <v>0</v>
          </cell>
          <cell r="AE234">
            <v>129321</v>
          </cell>
          <cell r="AF234">
            <v>0</v>
          </cell>
          <cell r="AG234">
            <v>129321</v>
          </cell>
          <cell r="AH234">
            <v>0</v>
          </cell>
          <cell r="AI234">
            <v>129321</v>
          </cell>
          <cell r="AJ234">
            <v>0</v>
          </cell>
          <cell r="AK234">
            <v>129321</v>
          </cell>
          <cell r="AL234">
            <v>0</v>
          </cell>
          <cell r="AM234">
            <v>129321</v>
          </cell>
          <cell r="AN234">
            <v>0</v>
          </cell>
          <cell r="AO234">
            <v>129321</v>
          </cell>
          <cell r="AP234">
            <v>0</v>
          </cell>
          <cell r="AQ234">
            <v>129321</v>
          </cell>
          <cell r="AR234">
            <v>0</v>
          </cell>
          <cell r="AS234">
            <v>129321</v>
          </cell>
        </row>
        <row r="235">
          <cell r="G235" t="str">
            <v>10.11.19.201</v>
          </cell>
          <cell r="H235">
            <v>94841</v>
          </cell>
          <cell r="I235">
            <v>94841</v>
          </cell>
          <cell r="J235">
            <v>0</v>
          </cell>
          <cell r="K235">
            <v>94841</v>
          </cell>
          <cell r="L235">
            <v>0</v>
          </cell>
          <cell r="M235">
            <v>94841</v>
          </cell>
          <cell r="N235">
            <v>0</v>
          </cell>
          <cell r="O235">
            <v>94841</v>
          </cell>
          <cell r="P235">
            <v>0</v>
          </cell>
          <cell r="Q235">
            <v>94841</v>
          </cell>
          <cell r="R235">
            <v>0</v>
          </cell>
          <cell r="S235">
            <v>94841</v>
          </cell>
          <cell r="T235">
            <v>0</v>
          </cell>
          <cell r="U235">
            <v>94841</v>
          </cell>
          <cell r="V235">
            <v>0</v>
          </cell>
          <cell r="W235">
            <v>94841</v>
          </cell>
          <cell r="X235">
            <v>0</v>
          </cell>
          <cell r="Y235">
            <v>94841</v>
          </cell>
          <cell r="Z235">
            <v>0</v>
          </cell>
          <cell r="AA235">
            <v>94841</v>
          </cell>
          <cell r="AB235">
            <v>0</v>
          </cell>
          <cell r="AC235">
            <v>94841</v>
          </cell>
          <cell r="AD235">
            <v>0</v>
          </cell>
          <cell r="AE235">
            <v>94841</v>
          </cell>
          <cell r="AF235">
            <v>0</v>
          </cell>
          <cell r="AG235">
            <v>94841</v>
          </cell>
          <cell r="AH235">
            <v>0</v>
          </cell>
          <cell r="AI235">
            <v>94841</v>
          </cell>
          <cell r="AJ235">
            <v>0</v>
          </cell>
          <cell r="AK235">
            <v>94841</v>
          </cell>
          <cell r="AL235">
            <v>0</v>
          </cell>
          <cell r="AM235">
            <v>94841</v>
          </cell>
          <cell r="AN235">
            <v>0</v>
          </cell>
          <cell r="AO235">
            <v>94841</v>
          </cell>
          <cell r="AP235">
            <v>0</v>
          </cell>
          <cell r="AQ235">
            <v>94841</v>
          </cell>
          <cell r="AR235">
            <v>0</v>
          </cell>
          <cell r="AS235">
            <v>94841</v>
          </cell>
        </row>
        <row r="236">
          <cell r="G236" t="str">
            <v>10.10.55.200</v>
          </cell>
          <cell r="H236">
            <v>77105</v>
          </cell>
          <cell r="I236">
            <v>77105</v>
          </cell>
          <cell r="J236">
            <v>0</v>
          </cell>
          <cell r="K236">
            <v>77105</v>
          </cell>
          <cell r="L236">
            <v>0</v>
          </cell>
          <cell r="M236">
            <v>77105</v>
          </cell>
          <cell r="N236">
            <v>0</v>
          </cell>
          <cell r="O236">
            <v>77105</v>
          </cell>
          <cell r="P236">
            <v>0</v>
          </cell>
          <cell r="Q236">
            <v>77105</v>
          </cell>
          <cell r="R236">
            <v>0</v>
          </cell>
          <cell r="S236">
            <v>77105</v>
          </cell>
          <cell r="T236">
            <v>0</v>
          </cell>
          <cell r="U236">
            <v>77105</v>
          </cell>
          <cell r="V236">
            <v>0</v>
          </cell>
          <cell r="W236">
            <v>77105</v>
          </cell>
          <cell r="X236">
            <v>0</v>
          </cell>
          <cell r="Y236">
            <v>77105</v>
          </cell>
          <cell r="Z236">
            <v>0</v>
          </cell>
          <cell r="AA236">
            <v>77105</v>
          </cell>
          <cell r="AB236">
            <v>0</v>
          </cell>
          <cell r="AC236">
            <v>77105</v>
          </cell>
          <cell r="AD236">
            <v>0</v>
          </cell>
          <cell r="AE236">
            <v>77105</v>
          </cell>
          <cell r="AF236">
            <v>0</v>
          </cell>
          <cell r="AG236">
            <v>77105</v>
          </cell>
          <cell r="AH236">
            <v>0</v>
          </cell>
          <cell r="AI236">
            <v>77105</v>
          </cell>
          <cell r="AJ236">
            <v>0</v>
          </cell>
          <cell r="AK236">
            <v>77105</v>
          </cell>
          <cell r="AL236">
            <v>0</v>
          </cell>
          <cell r="AM236">
            <v>77105</v>
          </cell>
          <cell r="AN236">
            <v>0</v>
          </cell>
          <cell r="AO236">
            <v>77105</v>
          </cell>
          <cell r="AP236">
            <v>0</v>
          </cell>
          <cell r="AQ236">
            <v>77105</v>
          </cell>
          <cell r="AR236">
            <v>0</v>
          </cell>
          <cell r="AS236">
            <v>77105</v>
          </cell>
        </row>
        <row r="237">
          <cell r="G237" t="str">
            <v>10.14.94.201</v>
          </cell>
          <cell r="H237">
            <v>190533</v>
          </cell>
          <cell r="I237">
            <v>190533</v>
          </cell>
          <cell r="J237">
            <v>0</v>
          </cell>
          <cell r="K237">
            <v>190533</v>
          </cell>
          <cell r="L237">
            <v>0</v>
          </cell>
          <cell r="M237">
            <v>190533</v>
          </cell>
          <cell r="N237">
            <v>0</v>
          </cell>
          <cell r="O237">
            <v>190533</v>
          </cell>
          <cell r="P237">
            <v>0</v>
          </cell>
          <cell r="Q237">
            <v>190533</v>
          </cell>
          <cell r="R237">
            <v>0</v>
          </cell>
          <cell r="S237">
            <v>190533</v>
          </cell>
          <cell r="T237">
            <v>0</v>
          </cell>
          <cell r="U237">
            <v>190533</v>
          </cell>
          <cell r="V237">
            <v>0</v>
          </cell>
          <cell r="W237">
            <v>190533</v>
          </cell>
          <cell r="X237">
            <v>0</v>
          </cell>
          <cell r="Y237">
            <v>190533</v>
          </cell>
          <cell r="Z237">
            <v>0</v>
          </cell>
          <cell r="AA237">
            <v>190533</v>
          </cell>
          <cell r="AB237">
            <v>0</v>
          </cell>
          <cell r="AC237">
            <v>190533</v>
          </cell>
          <cell r="AD237">
            <v>0</v>
          </cell>
          <cell r="AE237">
            <v>190533</v>
          </cell>
          <cell r="AF237">
            <v>0</v>
          </cell>
          <cell r="AG237">
            <v>190533</v>
          </cell>
          <cell r="AH237">
            <v>0</v>
          </cell>
          <cell r="AI237">
            <v>190533</v>
          </cell>
          <cell r="AJ237">
            <v>0</v>
          </cell>
          <cell r="AK237">
            <v>190533</v>
          </cell>
          <cell r="AL237">
            <v>0</v>
          </cell>
          <cell r="AM237">
            <v>190533</v>
          </cell>
          <cell r="AN237">
            <v>0</v>
          </cell>
          <cell r="AO237">
            <v>190533</v>
          </cell>
          <cell r="AP237">
            <v>0</v>
          </cell>
          <cell r="AQ237">
            <v>190533</v>
          </cell>
          <cell r="AR237">
            <v>0</v>
          </cell>
          <cell r="AS237">
            <v>190533</v>
          </cell>
        </row>
        <row r="238">
          <cell r="G238" t="str">
            <v>10.14.21.201</v>
          </cell>
          <cell r="H238">
            <v>135454</v>
          </cell>
          <cell r="I238">
            <v>135454</v>
          </cell>
          <cell r="J238">
            <v>0</v>
          </cell>
          <cell r="K238">
            <v>135454</v>
          </cell>
          <cell r="L238">
            <v>0</v>
          </cell>
          <cell r="M238">
            <v>135454</v>
          </cell>
          <cell r="N238">
            <v>0</v>
          </cell>
          <cell r="O238">
            <v>135454</v>
          </cell>
          <cell r="P238">
            <v>0</v>
          </cell>
          <cell r="Q238">
            <v>135454</v>
          </cell>
          <cell r="R238">
            <v>0</v>
          </cell>
          <cell r="S238">
            <v>135454</v>
          </cell>
          <cell r="T238">
            <v>0</v>
          </cell>
          <cell r="U238">
            <v>135454</v>
          </cell>
          <cell r="V238">
            <v>0</v>
          </cell>
          <cell r="W238">
            <v>135454</v>
          </cell>
          <cell r="X238">
            <v>0</v>
          </cell>
          <cell r="Y238">
            <v>135454</v>
          </cell>
          <cell r="Z238">
            <v>0</v>
          </cell>
          <cell r="AA238">
            <v>135454</v>
          </cell>
          <cell r="AB238">
            <v>0</v>
          </cell>
          <cell r="AC238">
            <v>135454</v>
          </cell>
          <cell r="AD238">
            <v>0</v>
          </cell>
          <cell r="AE238">
            <v>135454</v>
          </cell>
          <cell r="AF238">
            <v>0</v>
          </cell>
          <cell r="AG238">
            <v>135454</v>
          </cell>
          <cell r="AH238">
            <v>0</v>
          </cell>
          <cell r="AI238">
            <v>135454</v>
          </cell>
          <cell r="AJ238">
            <v>0</v>
          </cell>
          <cell r="AK238">
            <v>135454</v>
          </cell>
          <cell r="AL238">
            <v>0</v>
          </cell>
          <cell r="AM238">
            <v>135454</v>
          </cell>
          <cell r="AN238">
            <v>0</v>
          </cell>
          <cell r="AO238">
            <v>135454</v>
          </cell>
          <cell r="AP238">
            <v>0</v>
          </cell>
          <cell r="AQ238">
            <v>135454</v>
          </cell>
          <cell r="AR238">
            <v>0</v>
          </cell>
          <cell r="AS238">
            <v>135454</v>
          </cell>
        </row>
        <row r="239">
          <cell r="G239" t="str">
            <v>10.14.16.200</v>
          </cell>
          <cell r="H239">
            <v>148923</v>
          </cell>
          <cell r="I239">
            <v>148923</v>
          </cell>
          <cell r="J239">
            <v>0</v>
          </cell>
          <cell r="K239">
            <v>148923</v>
          </cell>
          <cell r="L239">
            <v>0</v>
          </cell>
          <cell r="M239">
            <v>148923</v>
          </cell>
          <cell r="N239">
            <v>0</v>
          </cell>
          <cell r="O239">
            <v>148923</v>
          </cell>
          <cell r="P239">
            <v>0</v>
          </cell>
          <cell r="Q239">
            <v>148923</v>
          </cell>
          <cell r="R239">
            <v>0</v>
          </cell>
          <cell r="S239">
            <v>148923</v>
          </cell>
          <cell r="T239">
            <v>0</v>
          </cell>
          <cell r="U239">
            <v>148923</v>
          </cell>
          <cell r="V239">
            <v>0</v>
          </cell>
          <cell r="W239">
            <v>148923</v>
          </cell>
          <cell r="X239">
            <v>0</v>
          </cell>
          <cell r="Y239">
            <v>148923</v>
          </cell>
          <cell r="Z239">
            <v>0</v>
          </cell>
          <cell r="AA239">
            <v>148923</v>
          </cell>
          <cell r="AB239">
            <v>0</v>
          </cell>
          <cell r="AC239">
            <v>148923</v>
          </cell>
          <cell r="AD239">
            <v>0</v>
          </cell>
          <cell r="AE239">
            <v>148923</v>
          </cell>
          <cell r="AF239">
            <v>0</v>
          </cell>
          <cell r="AG239">
            <v>148923</v>
          </cell>
          <cell r="AH239">
            <v>0</v>
          </cell>
          <cell r="AI239">
            <v>148923</v>
          </cell>
          <cell r="AJ239">
            <v>0</v>
          </cell>
          <cell r="AK239">
            <v>148923</v>
          </cell>
          <cell r="AL239">
            <v>0</v>
          </cell>
          <cell r="AM239">
            <v>148923</v>
          </cell>
          <cell r="AN239">
            <v>0</v>
          </cell>
          <cell r="AO239">
            <v>148923</v>
          </cell>
          <cell r="AP239">
            <v>0</v>
          </cell>
          <cell r="AQ239">
            <v>148923</v>
          </cell>
          <cell r="AR239">
            <v>0</v>
          </cell>
          <cell r="AS239">
            <v>148923</v>
          </cell>
        </row>
        <row r="240">
          <cell r="G240" t="str">
            <v>10.11.28.203</v>
          </cell>
          <cell r="H240">
            <v>117508</v>
          </cell>
          <cell r="I240">
            <v>117508</v>
          </cell>
          <cell r="J240">
            <v>0</v>
          </cell>
          <cell r="K240">
            <v>117508</v>
          </cell>
          <cell r="L240">
            <v>0</v>
          </cell>
          <cell r="M240">
            <v>117508</v>
          </cell>
          <cell r="N240">
            <v>0</v>
          </cell>
          <cell r="O240">
            <v>117508</v>
          </cell>
          <cell r="P240">
            <v>0</v>
          </cell>
          <cell r="Q240">
            <v>117508</v>
          </cell>
          <cell r="R240">
            <v>0</v>
          </cell>
          <cell r="S240">
            <v>117508</v>
          </cell>
          <cell r="T240">
            <v>0</v>
          </cell>
          <cell r="U240">
            <v>117508</v>
          </cell>
          <cell r="V240">
            <v>0</v>
          </cell>
          <cell r="W240">
            <v>117508</v>
          </cell>
          <cell r="X240">
            <v>0</v>
          </cell>
          <cell r="Y240">
            <v>117508</v>
          </cell>
          <cell r="Z240">
            <v>0</v>
          </cell>
          <cell r="AA240">
            <v>117508</v>
          </cell>
          <cell r="AB240">
            <v>0</v>
          </cell>
          <cell r="AC240">
            <v>117508</v>
          </cell>
          <cell r="AD240">
            <v>0</v>
          </cell>
          <cell r="AE240">
            <v>117508</v>
          </cell>
          <cell r="AF240">
            <v>0</v>
          </cell>
          <cell r="AG240">
            <v>117508</v>
          </cell>
          <cell r="AH240">
            <v>0</v>
          </cell>
          <cell r="AI240">
            <v>117508</v>
          </cell>
          <cell r="AJ240">
            <v>0</v>
          </cell>
          <cell r="AK240">
            <v>117508</v>
          </cell>
          <cell r="AL240">
            <v>0</v>
          </cell>
          <cell r="AM240">
            <v>117508</v>
          </cell>
          <cell r="AN240">
            <v>0</v>
          </cell>
          <cell r="AO240">
            <v>117508</v>
          </cell>
          <cell r="AP240">
            <v>0</v>
          </cell>
          <cell r="AQ240">
            <v>117508</v>
          </cell>
          <cell r="AR240">
            <v>0</v>
          </cell>
          <cell r="AS240">
            <v>117508</v>
          </cell>
        </row>
        <row r="241">
          <cell r="H241">
            <v>215860</v>
          </cell>
          <cell r="I241">
            <v>215860</v>
          </cell>
          <cell r="J241">
            <v>0</v>
          </cell>
          <cell r="K241">
            <v>215860</v>
          </cell>
          <cell r="L241">
            <v>0</v>
          </cell>
          <cell r="M241">
            <v>215860</v>
          </cell>
          <cell r="N241">
            <v>0</v>
          </cell>
          <cell r="O241">
            <v>215860</v>
          </cell>
          <cell r="P241">
            <v>0</v>
          </cell>
          <cell r="Q241">
            <v>215860</v>
          </cell>
          <cell r="R241">
            <v>0</v>
          </cell>
          <cell r="S241">
            <v>215860</v>
          </cell>
          <cell r="T241">
            <v>0</v>
          </cell>
          <cell r="U241">
            <v>215860</v>
          </cell>
          <cell r="V241">
            <v>0</v>
          </cell>
          <cell r="W241">
            <v>215860</v>
          </cell>
          <cell r="X241">
            <v>0</v>
          </cell>
          <cell r="Y241">
            <v>215860</v>
          </cell>
          <cell r="Z241">
            <v>0</v>
          </cell>
          <cell r="AA241">
            <v>215860</v>
          </cell>
          <cell r="AB241">
            <v>0</v>
          </cell>
          <cell r="AC241">
            <v>215860</v>
          </cell>
          <cell r="AD241">
            <v>0</v>
          </cell>
          <cell r="AE241">
            <v>215860</v>
          </cell>
          <cell r="AF241">
            <v>0</v>
          </cell>
          <cell r="AG241">
            <v>215860</v>
          </cell>
          <cell r="AH241">
            <v>0</v>
          </cell>
          <cell r="AI241">
            <v>215860</v>
          </cell>
          <cell r="AJ241">
            <v>0</v>
          </cell>
          <cell r="AK241">
            <v>215860</v>
          </cell>
          <cell r="AL241">
            <v>0</v>
          </cell>
          <cell r="AM241">
            <v>215860</v>
          </cell>
          <cell r="AN241">
            <v>0</v>
          </cell>
          <cell r="AO241">
            <v>215860</v>
          </cell>
          <cell r="AP241">
            <v>0</v>
          </cell>
          <cell r="AQ241">
            <v>215860</v>
          </cell>
          <cell r="AR241">
            <v>0</v>
          </cell>
          <cell r="AS241">
            <v>215860</v>
          </cell>
        </row>
        <row r="242">
          <cell r="G242" t="str">
            <v>10.10.20.203</v>
          </cell>
          <cell r="H242">
            <v>241261</v>
          </cell>
          <cell r="I242">
            <v>241261</v>
          </cell>
          <cell r="J242">
            <v>0</v>
          </cell>
          <cell r="K242">
            <v>241261</v>
          </cell>
          <cell r="L242">
            <v>0</v>
          </cell>
          <cell r="M242">
            <v>241261</v>
          </cell>
          <cell r="N242">
            <v>0</v>
          </cell>
          <cell r="O242">
            <v>241261</v>
          </cell>
          <cell r="P242">
            <v>0</v>
          </cell>
          <cell r="Q242">
            <v>241261</v>
          </cell>
          <cell r="R242">
            <v>0</v>
          </cell>
          <cell r="S242">
            <v>241261</v>
          </cell>
          <cell r="T242">
            <v>0</v>
          </cell>
          <cell r="U242">
            <v>241261</v>
          </cell>
          <cell r="V242">
            <v>0</v>
          </cell>
          <cell r="W242">
            <v>241261</v>
          </cell>
          <cell r="X242">
            <v>0</v>
          </cell>
          <cell r="Y242">
            <v>241261</v>
          </cell>
          <cell r="Z242">
            <v>0</v>
          </cell>
          <cell r="AA242">
            <v>241261</v>
          </cell>
          <cell r="AB242">
            <v>0</v>
          </cell>
          <cell r="AC242">
            <v>241261</v>
          </cell>
          <cell r="AD242">
            <v>0</v>
          </cell>
          <cell r="AE242">
            <v>241261</v>
          </cell>
          <cell r="AF242">
            <v>0</v>
          </cell>
          <cell r="AG242">
            <v>241261</v>
          </cell>
          <cell r="AH242">
            <v>0</v>
          </cell>
          <cell r="AI242">
            <v>241261</v>
          </cell>
          <cell r="AJ242">
            <v>0</v>
          </cell>
          <cell r="AK242">
            <v>241261</v>
          </cell>
          <cell r="AL242">
            <v>0</v>
          </cell>
          <cell r="AM242">
            <v>241261</v>
          </cell>
          <cell r="AN242">
            <v>0</v>
          </cell>
          <cell r="AO242">
            <v>241261</v>
          </cell>
          <cell r="AP242">
            <v>0</v>
          </cell>
          <cell r="AQ242">
            <v>241261</v>
          </cell>
          <cell r="AR242">
            <v>0</v>
          </cell>
          <cell r="AS242">
            <v>241261</v>
          </cell>
        </row>
        <row r="243">
          <cell r="G243" t="str">
            <v>10.10.52.202</v>
          </cell>
          <cell r="H243">
            <v>127910</v>
          </cell>
          <cell r="I243">
            <v>127910</v>
          </cell>
          <cell r="J243">
            <v>0</v>
          </cell>
          <cell r="K243">
            <v>127910</v>
          </cell>
          <cell r="L243">
            <v>0</v>
          </cell>
          <cell r="M243">
            <v>127910</v>
          </cell>
          <cell r="N243">
            <v>0</v>
          </cell>
          <cell r="O243">
            <v>127910</v>
          </cell>
          <cell r="P243">
            <v>0</v>
          </cell>
          <cell r="Q243">
            <v>127910</v>
          </cell>
          <cell r="R243">
            <v>0</v>
          </cell>
          <cell r="S243">
            <v>127910</v>
          </cell>
          <cell r="T243">
            <v>0</v>
          </cell>
          <cell r="U243">
            <v>127910</v>
          </cell>
          <cell r="V243">
            <v>0</v>
          </cell>
          <cell r="W243">
            <v>127910</v>
          </cell>
          <cell r="X243">
            <v>0</v>
          </cell>
          <cell r="Y243">
            <v>127910</v>
          </cell>
          <cell r="Z243">
            <v>0</v>
          </cell>
          <cell r="AA243">
            <v>127910</v>
          </cell>
          <cell r="AB243">
            <v>0</v>
          </cell>
          <cell r="AC243">
            <v>127910</v>
          </cell>
          <cell r="AD243">
            <v>0</v>
          </cell>
          <cell r="AE243">
            <v>127910</v>
          </cell>
          <cell r="AF243">
            <v>0</v>
          </cell>
          <cell r="AG243">
            <v>127910</v>
          </cell>
          <cell r="AH243">
            <v>0</v>
          </cell>
          <cell r="AI243">
            <v>127910</v>
          </cell>
          <cell r="AJ243">
            <v>0</v>
          </cell>
          <cell r="AK243">
            <v>127910</v>
          </cell>
          <cell r="AL243">
            <v>0</v>
          </cell>
          <cell r="AM243">
            <v>127910</v>
          </cell>
          <cell r="AN243">
            <v>0</v>
          </cell>
          <cell r="AO243">
            <v>127910</v>
          </cell>
          <cell r="AP243">
            <v>0</v>
          </cell>
          <cell r="AQ243">
            <v>127910</v>
          </cell>
          <cell r="AR243">
            <v>0</v>
          </cell>
          <cell r="AS243">
            <v>127910</v>
          </cell>
        </row>
        <row r="244">
          <cell r="G244" t="str">
            <v>10.10.143.201</v>
          </cell>
          <cell r="H244">
            <v>200980</v>
          </cell>
          <cell r="I244">
            <v>200980</v>
          </cell>
          <cell r="J244">
            <v>0</v>
          </cell>
          <cell r="K244">
            <v>200980</v>
          </cell>
          <cell r="L244">
            <v>0</v>
          </cell>
          <cell r="M244">
            <v>200980</v>
          </cell>
          <cell r="N244">
            <v>0</v>
          </cell>
          <cell r="O244">
            <v>200980</v>
          </cell>
          <cell r="P244">
            <v>0</v>
          </cell>
          <cell r="Q244">
            <v>200980</v>
          </cell>
          <cell r="R244">
            <v>0</v>
          </cell>
          <cell r="S244">
            <v>200980</v>
          </cell>
          <cell r="T244">
            <v>0</v>
          </cell>
          <cell r="U244">
            <v>200980</v>
          </cell>
          <cell r="V244">
            <v>0</v>
          </cell>
          <cell r="W244">
            <v>200980</v>
          </cell>
          <cell r="X244">
            <v>0</v>
          </cell>
          <cell r="Y244">
            <v>200980</v>
          </cell>
          <cell r="Z244">
            <v>0</v>
          </cell>
          <cell r="AA244">
            <v>200980</v>
          </cell>
          <cell r="AB244">
            <v>0</v>
          </cell>
          <cell r="AC244">
            <v>200980</v>
          </cell>
          <cell r="AD244">
            <v>0</v>
          </cell>
          <cell r="AE244">
            <v>200980</v>
          </cell>
          <cell r="AF244">
            <v>0</v>
          </cell>
          <cell r="AG244">
            <v>200980</v>
          </cell>
          <cell r="AH244">
            <v>0</v>
          </cell>
          <cell r="AI244">
            <v>200980</v>
          </cell>
          <cell r="AJ244">
            <v>0</v>
          </cell>
          <cell r="AK244">
            <v>200980</v>
          </cell>
          <cell r="AL244">
            <v>0</v>
          </cell>
          <cell r="AM244">
            <v>200980</v>
          </cell>
          <cell r="AN244">
            <v>0</v>
          </cell>
          <cell r="AO244">
            <v>200980</v>
          </cell>
          <cell r="AP244">
            <v>0</v>
          </cell>
          <cell r="AQ244">
            <v>200980</v>
          </cell>
          <cell r="AR244">
            <v>0</v>
          </cell>
          <cell r="AS244">
            <v>200980</v>
          </cell>
        </row>
        <row r="245">
          <cell r="G245" t="str">
            <v>10.11.29.205</v>
          </cell>
          <cell r="H245">
            <v>172355</v>
          </cell>
          <cell r="I245">
            <v>172355</v>
          </cell>
          <cell r="J245">
            <v>0</v>
          </cell>
          <cell r="K245">
            <v>172355</v>
          </cell>
          <cell r="L245">
            <v>0</v>
          </cell>
          <cell r="M245">
            <v>172355</v>
          </cell>
          <cell r="N245">
            <v>0</v>
          </cell>
          <cell r="O245">
            <v>172355</v>
          </cell>
          <cell r="P245">
            <v>0</v>
          </cell>
          <cell r="Q245">
            <v>172355</v>
          </cell>
          <cell r="R245">
            <v>0</v>
          </cell>
          <cell r="S245">
            <v>172355</v>
          </cell>
          <cell r="T245">
            <v>0</v>
          </cell>
          <cell r="U245">
            <v>172355</v>
          </cell>
          <cell r="V245">
            <v>0</v>
          </cell>
          <cell r="W245">
            <v>172355</v>
          </cell>
          <cell r="X245">
            <v>0</v>
          </cell>
          <cell r="Y245">
            <v>172355</v>
          </cell>
          <cell r="Z245">
            <v>0</v>
          </cell>
          <cell r="AA245">
            <v>172355</v>
          </cell>
          <cell r="AB245">
            <v>0</v>
          </cell>
          <cell r="AC245">
            <v>172355</v>
          </cell>
          <cell r="AD245">
            <v>0</v>
          </cell>
          <cell r="AE245">
            <v>172355</v>
          </cell>
          <cell r="AF245">
            <v>0</v>
          </cell>
          <cell r="AG245">
            <v>172355</v>
          </cell>
          <cell r="AH245">
            <v>0</v>
          </cell>
          <cell r="AI245">
            <v>172355</v>
          </cell>
          <cell r="AJ245">
            <v>0</v>
          </cell>
          <cell r="AK245">
            <v>172355</v>
          </cell>
          <cell r="AL245">
            <v>0</v>
          </cell>
          <cell r="AM245">
            <v>172355</v>
          </cell>
          <cell r="AN245">
            <v>0</v>
          </cell>
          <cell r="AO245">
            <v>172355</v>
          </cell>
          <cell r="AP245">
            <v>0</v>
          </cell>
          <cell r="AQ245">
            <v>172355</v>
          </cell>
          <cell r="AR245">
            <v>0</v>
          </cell>
          <cell r="AS245">
            <v>172355</v>
          </cell>
        </row>
        <row r="246">
          <cell r="H246">
            <v>159301</v>
          </cell>
          <cell r="I246">
            <v>159301</v>
          </cell>
          <cell r="J246">
            <v>0</v>
          </cell>
          <cell r="K246">
            <v>159301</v>
          </cell>
          <cell r="L246">
            <v>0</v>
          </cell>
          <cell r="M246">
            <v>159301</v>
          </cell>
          <cell r="N246">
            <v>0</v>
          </cell>
          <cell r="O246">
            <v>159301</v>
          </cell>
          <cell r="P246">
            <v>0</v>
          </cell>
          <cell r="Q246">
            <v>159301</v>
          </cell>
          <cell r="R246">
            <v>0</v>
          </cell>
          <cell r="S246">
            <v>159301</v>
          </cell>
          <cell r="T246">
            <v>0</v>
          </cell>
          <cell r="U246">
            <v>159301</v>
          </cell>
          <cell r="V246">
            <v>0</v>
          </cell>
          <cell r="W246">
            <v>159301</v>
          </cell>
          <cell r="X246">
            <v>0</v>
          </cell>
          <cell r="Y246">
            <v>159301</v>
          </cell>
          <cell r="Z246">
            <v>0</v>
          </cell>
          <cell r="AA246">
            <v>159301</v>
          </cell>
          <cell r="AB246">
            <v>0</v>
          </cell>
          <cell r="AC246">
            <v>159301</v>
          </cell>
          <cell r="AD246">
            <v>0</v>
          </cell>
          <cell r="AE246">
            <v>159301</v>
          </cell>
          <cell r="AF246">
            <v>0</v>
          </cell>
          <cell r="AG246">
            <v>159301</v>
          </cell>
          <cell r="AH246">
            <v>0</v>
          </cell>
          <cell r="AI246">
            <v>159301</v>
          </cell>
          <cell r="AJ246">
            <v>0</v>
          </cell>
          <cell r="AK246">
            <v>159301</v>
          </cell>
          <cell r="AL246">
            <v>0</v>
          </cell>
          <cell r="AM246">
            <v>159301</v>
          </cell>
          <cell r="AN246">
            <v>0</v>
          </cell>
          <cell r="AO246">
            <v>159301</v>
          </cell>
          <cell r="AP246">
            <v>0</v>
          </cell>
          <cell r="AQ246">
            <v>159301</v>
          </cell>
          <cell r="AR246">
            <v>0</v>
          </cell>
          <cell r="AS246">
            <v>159301</v>
          </cell>
        </row>
        <row r="247">
          <cell r="G247" t="str">
            <v>10.10.141.207</v>
          </cell>
          <cell r="H247">
            <v>88547</v>
          </cell>
          <cell r="I247">
            <v>88547</v>
          </cell>
          <cell r="J247">
            <v>0</v>
          </cell>
          <cell r="K247">
            <v>88547</v>
          </cell>
          <cell r="L247">
            <v>0</v>
          </cell>
          <cell r="M247">
            <v>88547</v>
          </cell>
          <cell r="N247">
            <v>0</v>
          </cell>
          <cell r="O247">
            <v>88547</v>
          </cell>
          <cell r="P247">
            <v>0</v>
          </cell>
          <cell r="Q247">
            <v>88547</v>
          </cell>
          <cell r="R247">
            <v>0</v>
          </cell>
          <cell r="S247">
            <v>88547</v>
          </cell>
          <cell r="T247">
            <v>0</v>
          </cell>
          <cell r="U247">
            <v>88547</v>
          </cell>
          <cell r="V247">
            <v>0</v>
          </cell>
          <cell r="W247">
            <v>88547</v>
          </cell>
          <cell r="X247">
            <v>0</v>
          </cell>
          <cell r="Y247">
            <v>88547</v>
          </cell>
          <cell r="Z247">
            <v>0</v>
          </cell>
          <cell r="AA247">
            <v>88547</v>
          </cell>
          <cell r="AB247">
            <v>0</v>
          </cell>
          <cell r="AC247">
            <v>88547</v>
          </cell>
          <cell r="AD247">
            <v>0</v>
          </cell>
          <cell r="AE247">
            <v>88547</v>
          </cell>
          <cell r="AF247">
            <v>0</v>
          </cell>
          <cell r="AG247">
            <v>88547</v>
          </cell>
          <cell r="AH247">
            <v>0</v>
          </cell>
          <cell r="AI247">
            <v>88547</v>
          </cell>
          <cell r="AJ247">
            <v>0</v>
          </cell>
          <cell r="AK247">
            <v>88547</v>
          </cell>
          <cell r="AL247">
            <v>0</v>
          </cell>
          <cell r="AM247">
            <v>88547</v>
          </cell>
          <cell r="AN247">
            <v>0</v>
          </cell>
          <cell r="AO247">
            <v>88547</v>
          </cell>
          <cell r="AP247">
            <v>0</v>
          </cell>
          <cell r="AQ247">
            <v>88547</v>
          </cell>
          <cell r="AR247">
            <v>0</v>
          </cell>
          <cell r="AS247">
            <v>88547</v>
          </cell>
        </row>
        <row r="248">
          <cell r="G248" t="str">
            <v>10.11.8.200</v>
          </cell>
          <cell r="H248">
            <v>210346</v>
          </cell>
          <cell r="I248">
            <v>210346</v>
          </cell>
          <cell r="J248">
            <v>0</v>
          </cell>
          <cell r="K248">
            <v>210346</v>
          </cell>
          <cell r="L248">
            <v>0</v>
          </cell>
          <cell r="M248">
            <v>210346</v>
          </cell>
          <cell r="N248">
            <v>0</v>
          </cell>
          <cell r="O248">
            <v>210346</v>
          </cell>
          <cell r="P248">
            <v>0</v>
          </cell>
          <cell r="Q248">
            <v>210346</v>
          </cell>
          <cell r="R248">
            <v>0</v>
          </cell>
          <cell r="S248">
            <v>210346</v>
          </cell>
          <cell r="T248">
            <v>0</v>
          </cell>
          <cell r="U248">
            <v>210346</v>
          </cell>
          <cell r="V248">
            <v>0</v>
          </cell>
          <cell r="W248">
            <v>210346</v>
          </cell>
          <cell r="X248">
            <v>0</v>
          </cell>
          <cell r="Y248">
            <v>210346</v>
          </cell>
          <cell r="Z248">
            <v>0</v>
          </cell>
          <cell r="AA248">
            <v>210346</v>
          </cell>
          <cell r="AB248">
            <v>0</v>
          </cell>
          <cell r="AC248">
            <v>210346</v>
          </cell>
          <cell r="AD248">
            <v>0</v>
          </cell>
          <cell r="AE248">
            <v>210346</v>
          </cell>
          <cell r="AF248">
            <v>0</v>
          </cell>
          <cell r="AG248">
            <v>210346</v>
          </cell>
          <cell r="AH248">
            <v>0</v>
          </cell>
          <cell r="AI248">
            <v>210346</v>
          </cell>
          <cell r="AJ248">
            <v>0</v>
          </cell>
          <cell r="AK248">
            <v>210346</v>
          </cell>
          <cell r="AL248">
            <v>0</v>
          </cell>
          <cell r="AM248">
            <v>210346</v>
          </cell>
          <cell r="AN248">
            <v>0</v>
          </cell>
          <cell r="AO248">
            <v>210346</v>
          </cell>
          <cell r="AP248">
            <v>0</v>
          </cell>
          <cell r="AQ248">
            <v>210346</v>
          </cell>
          <cell r="AR248">
            <v>0</v>
          </cell>
          <cell r="AS248">
            <v>210346</v>
          </cell>
        </row>
        <row r="249">
          <cell r="G249" t="str">
            <v>10.10.33.201</v>
          </cell>
          <cell r="H249">
            <v>81426</v>
          </cell>
          <cell r="I249">
            <v>81426</v>
          </cell>
          <cell r="J249">
            <v>0</v>
          </cell>
          <cell r="K249">
            <v>81426</v>
          </cell>
          <cell r="L249">
            <v>0</v>
          </cell>
          <cell r="M249">
            <v>81426</v>
          </cell>
          <cell r="N249">
            <v>0</v>
          </cell>
          <cell r="O249">
            <v>81426</v>
          </cell>
          <cell r="P249">
            <v>0</v>
          </cell>
          <cell r="Q249">
            <v>81426</v>
          </cell>
          <cell r="R249">
            <v>0</v>
          </cell>
          <cell r="S249">
            <v>81426</v>
          </cell>
          <cell r="T249">
            <v>0</v>
          </cell>
          <cell r="U249">
            <v>81426</v>
          </cell>
          <cell r="V249">
            <v>0</v>
          </cell>
          <cell r="W249">
            <v>81426</v>
          </cell>
          <cell r="X249">
            <v>0</v>
          </cell>
          <cell r="Y249">
            <v>81426</v>
          </cell>
          <cell r="Z249">
            <v>0</v>
          </cell>
          <cell r="AA249">
            <v>81426</v>
          </cell>
          <cell r="AB249">
            <v>0</v>
          </cell>
          <cell r="AC249">
            <v>81426</v>
          </cell>
          <cell r="AD249">
            <v>0</v>
          </cell>
          <cell r="AE249">
            <v>81426</v>
          </cell>
          <cell r="AF249">
            <v>0</v>
          </cell>
          <cell r="AG249">
            <v>81426</v>
          </cell>
          <cell r="AH249">
            <v>0</v>
          </cell>
          <cell r="AI249">
            <v>81426</v>
          </cell>
          <cell r="AJ249">
            <v>0</v>
          </cell>
          <cell r="AK249">
            <v>81426</v>
          </cell>
          <cell r="AL249">
            <v>0</v>
          </cell>
          <cell r="AM249">
            <v>81426</v>
          </cell>
          <cell r="AN249">
            <v>0</v>
          </cell>
          <cell r="AO249">
            <v>81426</v>
          </cell>
          <cell r="AP249">
            <v>0</v>
          </cell>
          <cell r="AQ249">
            <v>81426</v>
          </cell>
          <cell r="AR249">
            <v>0</v>
          </cell>
          <cell r="AS249">
            <v>81426</v>
          </cell>
        </row>
        <row r="250">
          <cell r="G250" t="str">
            <v>10.10.186.200</v>
          </cell>
          <cell r="H250">
            <v>92791</v>
          </cell>
          <cell r="I250">
            <v>92791</v>
          </cell>
          <cell r="J250">
            <v>0</v>
          </cell>
          <cell r="K250">
            <v>92791</v>
          </cell>
          <cell r="L250">
            <v>0</v>
          </cell>
          <cell r="M250">
            <v>92791</v>
          </cell>
          <cell r="N250">
            <v>0</v>
          </cell>
          <cell r="O250">
            <v>92791</v>
          </cell>
          <cell r="P250">
            <v>0</v>
          </cell>
          <cell r="Q250">
            <v>92791</v>
          </cell>
          <cell r="R250">
            <v>0</v>
          </cell>
          <cell r="S250">
            <v>92791</v>
          </cell>
          <cell r="T250">
            <v>0</v>
          </cell>
          <cell r="U250">
            <v>92791</v>
          </cell>
          <cell r="V250">
            <v>0</v>
          </cell>
          <cell r="W250">
            <v>92791</v>
          </cell>
          <cell r="X250">
            <v>0</v>
          </cell>
          <cell r="Y250">
            <v>92791</v>
          </cell>
          <cell r="Z250">
            <v>0</v>
          </cell>
          <cell r="AA250">
            <v>92791</v>
          </cell>
          <cell r="AB250">
            <v>0</v>
          </cell>
          <cell r="AC250">
            <v>92791</v>
          </cell>
          <cell r="AD250">
            <v>0</v>
          </cell>
          <cell r="AE250">
            <v>92791</v>
          </cell>
          <cell r="AF250">
            <v>0</v>
          </cell>
          <cell r="AG250">
            <v>92791</v>
          </cell>
          <cell r="AH250">
            <v>0</v>
          </cell>
          <cell r="AI250">
            <v>92791</v>
          </cell>
          <cell r="AJ250">
            <v>0</v>
          </cell>
          <cell r="AK250">
            <v>92791</v>
          </cell>
          <cell r="AL250">
            <v>0</v>
          </cell>
          <cell r="AM250">
            <v>92791</v>
          </cell>
          <cell r="AN250">
            <v>0</v>
          </cell>
          <cell r="AO250">
            <v>92791</v>
          </cell>
          <cell r="AP250">
            <v>0</v>
          </cell>
          <cell r="AQ250">
            <v>92791</v>
          </cell>
          <cell r="AR250">
            <v>0</v>
          </cell>
          <cell r="AS250">
            <v>92791</v>
          </cell>
        </row>
        <row r="251">
          <cell r="G251" t="str">
            <v>10.11.5.202</v>
          </cell>
          <cell r="H251">
            <v>208518</v>
          </cell>
          <cell r="I251">
            <v>208518</v>
          </cell>
          <cell r="J251">
            <v>0</v>
          </cell>
          <cell r="K251">
            <v>208518</v>
          </cell>
          <cell r="L251">
            <v>0</v>
          </cell>
          <cell r="M251">
            <v>208518</v>
          </cell>
          <cell r="N251">
            <v>0</v>
          </cell>
          <cell r="O251">
            <v>208518</v>
          </cell>
          <cell r="P251">
            <v>0</v>
          </cell>
          <cell r="Q251">
            <v>208518</v>
          </cell>
          <cell r="R251">
            <v>0</v>
          </cell>
          <cell r="S251">
            <v>208518</v>
          </cell>
          <cell r="T251">
            <v>0</v>
          </cell>
          <cell r="U251">
            <v>208518</v>
          </cell>
          <cell r="V251">
            <v>0</v>
          </cell>
          <cell r="W251">
            <v>208518</v>
          </cell>
          <cell r="X251">
            <v>0</v>
          </cell>
          <cell r="Y251">
            <v>208518</v>
          </cell>
          <cell r="Z251">
            <v>0</v>
          </cell>
          <cell r="AA251">
            <v>208518</v>
          </cell>
          <cell r="AB251">
            <v>0</v>
          </cell>
          <cell r="AC251">
            <v>208518</v>
          </cell>
          <cell r="AD251">
            <v>0</v>
          </cell>
          <cell r="AE251">
            <v>208518</v>
          </cell>
          <cell r="AF251">
            <v>0</v>
          </cell>
          <cell r="AG251">
            <v>208518</v>
          </cell>
          <cell r="AH251">
            <v>0</v>
          </cell>
          <cell r="AI251">
            <v>208518</v>
          </cell>
          <cell r="AJ251">
            <v>0</v>
          </cell>
          <cell r="AK251">
            <v>208518</v>
          </cell>
          <cell r="AL251">
            <v>0</v>
          </cell>
          <cell r="AM251">
            <v>208518</v>
          </cell>
          <cell r="AN251">
            <v>0</v>
          </cell>
          <cell r="AO251">
            <v>208518</v>
          </cell>
          <cell r="AP251">
            <v>0</v>
          </cell>
          <cell r="AQ251">
            <v>208518</v>
          </cell>
          <cell r="AR251">
            <v>0</v>
          </cell>
          <cell r="AS251">
            <v>208518</v>
          </cell>
        </row>
        <row r="252">
          <cell r="H252">
            <v>201118</v>
          </cell>
          <cell r="I252">
            <v>201118</v>
          </cell>
          <cell r="J252">
            <v>0</v>
          </cell>
          <cell r="K252">
            <v>201118</v>
          </cell>
          <cell r="L252">
            <v>0</v>
          </cell>
          <cell r="M252">
            <v>201118</v>
          </cell>
          <cell r="N252">
            <v>0</v>
          </cell>
          <cell r="O252">
            <v>201118</v>
          </cell>
          <cell r="P252">
            <v>0</v>
          </cell>
          <cell r="Q252">
            <v>201118</v>
          </cell>
          <cell r="R252">
            <v>0</v>
          </cell>
          <cell r="S252">
            <v>201118</v>
          </cell>
          <cell r="T252">
            <v>0</v>
          </cell>
          <cell r="U252">
            <v>201118</v>
          </cell>
          <cell r="V252">
            <v>0</v>
          </cell>
          <cell r="W252">
            <v>201118</v>
          </cell>
          <cell r="X252">
            <v>0</v>
          </cell>
          <cell r="Y252">
            <v>201118</v>
          </cell>
          <cell r="Z252">
            <v>0</v>
          </cell>
          <cell r="AA252">
            <v>201118</v>
          </cell>
          <cell r="AB252">
            <v>0</v>
          </cell>
          <cell r="AC252">
            <v>201118</v>
          </cell>
          <cell r="AD252">
            <v>0</v>
          </cell>
          <cell r="AE252">
            <v>201118</v>
          </cell>
          <cell r="AF252">
            <v>0</v>
          </cell>
          <cell r="AG252">
            <v>201118</v>
          </cell>
          <cell r="AH252">
            <v>0</v>
          </cell>
          <cell r="AI252">
            <v>201118</v>
          </cell>
          <cell r="AJ252">
            <v>0</v>
          </cell>
          <cell r="AK252">
            <v>201118</v>
          </cell>
          <cell r="AL252">
            <v>0</v>
          </cell>
          <cell r="AM252">
            <v>201118</v>
          </cell>
          <cell r="AN252">
            <v>0</v>
          </cell>
          <cell r="AO252">
            <v>201118</v>
          </cell>
          <cell r="AP252">
            <v>0</v>
          </cell>
          <cell r="AQ252">
            <v>201118</v>
          </cell>
          <cell r="AR252">
            <v>0</v>
          </cell>
          <cell r="AS252">
            <v>201118</v>
          </cell>
        </row>
        <row r="253">
          <cell r="H253">
            <v>129189</v>
          </cell>
          <cell r="I253">
            <v>129189</v>
          </cell>
          <cell r="J253">
            <v>0</v>
          </cell>
          <cell r="K253">
            <v>129189</v>
          </cell>
          <cell r="L253">
            <v>0</v>
          </cell>
          <cell r="M253">
            <v>129189</v>
          </cell>
          <cell r="N253">
            <v>0</v>
          </cell>
          <cell r="O253">
            <v>129189</v>
          </cell>
          <cell r="P253">
            <v>0</v>
          </cell>
          <cell r="Q253">
            <v>129189</v>
          </cell>
          <cell r="R253">
            <v>0</v>
          </cell>
          <cell r="S253">
            <v>129189</v>
          </cell>
          <cell r="T253">
            <v>0</v>
          </cell>
          <cell r="U253">
            <v>129189</v>
          </cell>
          <cell r="V253">
            <v>0</v>
          </cell>
          <cell r="W253">
            <v>129189</v>
          </cell>
          <cell r="X253">
            <v>0</v>
          </cell>
          <cell r="Y253">
            <v>129189</v>
          </cell>
          <cell r="Z253">
            <v>0</v>
          </cell>
          <cell r="AA253">
            <v>129189</v>
          </cell>
          <cell r="AB253">
            <v>0</v>
          </cell>
          <cell r="AC253">
            <v>129189</v>
          </cell>
          <cell r="AD253">
            <v>0</v>
          </cell>
          <cell r="AE253">
            <v>129189</v>
          </cell>
          <cell r="AF253">
            <v>0</v>
          </cell>
          <cell r="AG253">
            <v>129189</v>
          </cell>
          <cell r="AH253">
            <v>0</v>
          </cell>
          <cell r="AI253">
            <v>129189</v>
          </cell>
          <cell r="AJ253">
            <v>0</v>
          </cell>
          <cell r="AK253">
            <v>129189</v>
          </cell>
          <cell r="AL253">
            <v>0</v>
          </cell>
          <cell r="AM253">
            <v>129189</v>
          </cell>
          <cell r="AN253">
            <v>0</v>
          </cell>
          <cell r="AO253">
            <v>129189</v>
          </cell>
          <cell r="AP253">
            <v>0</v>
          </cell>
          <cell r="AQ253">
            <v>129189</v>
          </cell>
          <cell r="AR253">
            <v>0</v>
          </cell>
          <cell r="AS253">
            <v>129189</v>
          </cell>
        </row>
        <row r="254">
          <cell r="G254" t="str">
            <v>10.11.15.201</v>
          </cell>
          <cell r="H254">
            <v>111577</v>
          </cell>
          <cell r="I254">
            <v>111577</v>
          </cell>
          <cell r="J254">
            <v>0</v>
          </cell>
          <cell r="K254">
            <v>111577</v>
          </cell>
          <cell r="L254">
            <v>0</v>
          </cell>
          <cell r="M254">
            <v>111577</v>
          </cell>
          <cell r="N254">
            <v>0</v>
          </cell>
          <cell r="O254">
            <v>111577</v>
          </cell>
          <cell r="P254">
            <v>0</v>
          </cell>
          <cell r="Q254">
            <v>111577</v>
          </cell>
          <cell r="R254">
            <v>0</v>
          </cell>
          <cell r="S254">
            <v>111577</v>
          </cell>
          <cell r="T254">
            <v>0</v>
          </cell>
          <cell r="U254">
            <v>111577</v>
          </cell>
          <cell r="V254">
            <v>0</v>
          </cell>
          <cell r="W254">
            <v>111577</v>
          </cell>
          <cell r="X254">
            <v>0</v>
          </cell>
          <cell r="Y254">
            <v>111577</v>
          </cell>
          <cell r="Z254">
            <v>0</v>
          </cell>
          <cell r="AA254">
            <v>111577</v>
          </cell>
          <cell r="AB254">
            <v>0</v>
          </cell>
          <cell r="AC254">
            <v>111577</v>
          </cell>
          <cell r="AD254">
            <v>0</v>
          </cell>
          <cell r="AE254">
            <v>111577</v>
          </cell>
          <cell r="AF254">
            <v>0</v>
          </cell>
          <cell r="AG254">
            <v>111577</v>
          </cell>
          <cell r="AH254">
            <v>0</v>
          </cell>
          <cell r="AI254">
            <v>111577</v>
          </cell>
          <cell r="AJ254">
            <v>0</v>
          </cell>
          <cell r="AK254">
            <v>111577</v>
          </cell>
          <cell r="AL254">
            <v>0</v>
          </cell>
          <cell r="AM254">
            <v>111577</v>
          </cell>
          <cell r="AN254">
            <v>0</v>
          </cell>
          <cell r="AO254">
            <v>111577</v>
          </cell>
          <cell r="AP254">
            <v>0</v>
          </cell>
          <cell r="AQ254">
            <v>111577</v>
          </cell>
          <cell r="AR254">
            <v>0</v>
          </cell>
          <cell r="AS254">
            <v>111577</v>
          </cell>
        </row>
        <row r="255">
          <cell r="G255" t="str">
            <v>10.10.170.202</v>
          </cell>
          <cell r="H255">
            <v>136006</v>
          </cell>
          <cell r="I255">
            <v>136006</v>
          </cell>
          <cell r="J255">
            <v>0</v>
          </cell>
          <cell r="K255">
            <v>136006</v>
          </cell>
          <cell r="L255">
            <v>0</v>
          </cell>
          <cell r="M255">
            <v>136006</v>
          </cell>
          <cell r="N255">
            <v>0</v>
          </cell>
          <cell r="O255">
            <v>136006</v>
          </cell>
          <cell r="P255">
            <v>0</v>
          </cell>
          <cell r="Q255">
            <v>136006</v>
          </cell>
          <cell r="R255">
            <v>0</v>
          </cell>
          <cell r="S255">
            <v>136006</v>
          </cell>
          <cell r="T255">
            <v>0</v>
          </cell>
          <cell r="U255">
            <v>136006</v>
          </cell>
          <cell r="V255">
            <v>0</v>
          </cell>
          <cell r="W255">
            <v>136006</v>
          </cell>
          <cell r="X255">
            <v>0</v>
          </cell>
          <cell r="Y255">
            <v>136006</v>
          </cell>
          <cell r="Z255">
            <v>0</v>
          </cell>
          <cell r="AA255">
            <v>136006</v>
          </cell>
          <cell r="AB255">
            <v>0</v>
          </cell>
          <cell r="AC255">
            <v>136006</v>
          </cell>
          <cell r="AD255">
            <v>0</v>
          </cell>
          <cell r="AE255">
            <v>136006</v>
          </cell>
          <cell r="AF255">
            <v>0</v>
          </cell>
          <cell r="AG255">
            <v>136006</v>
          </cell>
          <cell r="AH255">
            <v>0</v>
          </cell>
          <cell r="AI255">
            <v>136006</v>
          </cell>
          <cell r="AJ255">
            <v>0</v>
          </cell>
          <cell r="AK255">
            <v>136006</v>
          </cell>
          <cell r="AL255">
            <v>0</v>
          </cell>
          <cell r="AM255">
            <v>136006</v>
          </cell>
          <cell r="AN255">
            <v>0</v>
          </cell>
          <cell r="AO255">
            <v>136006</v>
          </cell>
          <cell r="AP255">
            <v>0</v>
          </cell>
          <cell r="AQ255">
            <v>136006</v>
          </cell>
          <cell r="AR255">
            <v>0</v>
          </cell>
          <cell r="AS255">
            <v>136006</v>
          </cell>
        </row>
        <row r="256">
          <cell r="G256" t="str">
            <v>10.10.169.200</v>
          </cell>
          <cell r="H256">
            <v>116664</v>
          </cell>
          <cell r="I256">
            <v>116664</v>
          </cell>
          <cell r="J256">
            <v>0</v>
          </cell>
          <cell r="K256">
            <v>116664</v>
          </cell>
          <cell r="L256">
            <v>0</v>
          </cell>
          <cell r="M256">
            <v>116664</v>
          </cell>
          <cell r="N256">
            <v>0</v>
          </cell>
          <cell r="O256">
            <v>116664</v>
          </cell>
          <cell r="P256">
            <v>0</v>
          </cell>
          <cell r="Q256">
            <v>116664</v>
          </cell>
          <cell r="R256">
            <v>0</v>
          </cell>
          <cell r="S256">
            <v>116664</v>
          </cell>
          <cell r="T256">
            <v>0</v>
          </cell>
          <cell r="U256">
            <v>116664</v>
          </cell>
          <cell r="V256">
            <v>0</v>
          </cell>
          <cell r="W256">
            <v>116664</v>
          </cell>
          <cell r="X256">
            <v>0</v>
          </cell>
          <cell r="Y256">
            <v>116664</v>
          </cell>
          <cell r="Z256">
            <v>0</v>
          </cell>
          <cell r="AA256">
            <v>116664</v>
          </cell>
          <cell r="AB256">
            <v>0</v>
          </cell>
          <cell r="AC256">
            <v>116664</v>
          </cell>
          <cell r="AD256">
            <v>0</v>
          </cell>
          <cell r="AE256">
            <v>116664</v>
          </cell>
          <cell r="AF256">
            <v>0</v>
          </cell>
          <cell r="AG256">
            <v>116664</v>
          </cell>
          <cell r="AH256">
            <v>0</v>
          </cell>
          <cell r="AI256">
            <v>116664</v>
          </cell>
          <cell r="AJ256">
            <v>0</v>
          </cell>
          <cell r="AK256">
            <v>116664</v>
          </cell>
          <cell r="AL256">
            <v>0</v>
          </cell>
          <cell r="AM256">
            <v>116664</v>
          </cell>
          <cell r="AN256">
            <v>0</v>
          </cell>
          <cell r="AO256">
            <v>116664</v>
          </cell>
          <cell r="AP256">
            <v>0</v>
          </cell>
          <cell r="AQ256">
            <v>116664</v>
          </cell>
          <cell r="AR256">
            <v>0</v>
          </cell>
          <cell r="AS256">
            <v>116664</v>
          </cell>
        </row>
        <row r="257">
          <cell r="H257">
            <v>277393</v>
          </cell>
          <cell r="I257">
            <v>277393</v>
          </cell>
          <cell r="J257">
            <v>0</v>
          </cell>
          <cell r="K257">
            <v>277393</v>
          </cell>
          <cell r="L257">
            <v>0</v>
          </cell>
          <cell r="M257">
            <v>277393</v>
          </cell>
          <cell r="N257">
            <v>0</v>
          </cell>
          <cell r="O257">
            <v>277393</v>
          </cell>
          <cell r="P257">
            <v>0</v>
          </cell>
          <cell r="Q257">
            <v>277393</v>
          </cell>
          <cell r="R257">
            <v>0</v>
          </cell>
          <cell r="S257">
            <v>277393</v>
          </cell>
          <cell r="T257">
            <v>0</v>
          </cell>
          <cell r="U257">
            <v>277393</v>
          </cell>
          <cell r="V257">
            <v>0</v>
          </cell>
          <cell r="W257">
            <v>277393</v>
          </cell>
          <cell r="X257">
            <v>0</v>
          </cell>
          <cell r="Y257">
            <v>277393</v>
          </cell>
          <cell r="Z257">
            <v>0</v>
          </cell>
          <cell r="AA257">
            <v>277393</v>
          </cell>
          <cell r="AB257">
            <v>0</v>
          </cell>
          <cell r="AC257">
            <v>277393</v>
          </cell>
          <cell r="AD257">
            <v>0</v>
          </cell>
          <cell r="AE257">
            <v>277393</v>
          </cell>
          <cell r="AF257">
            <v>0</v>
          </cell>
          <cell r="AG257">
            <v>277393</v>
          </cell>
          <cell r="AH257">
            <v>0</v>
          </cell>
          <cell r="AI257">
            <v>277393</v>
          </cell>
          <cell r="AJ257">
            <v>0</v>
          </cell>
          <cell r="AK257">
            <v>277393</v>
          </cell>
          <cell r="AL257">
            <v>0</v>
          </cell>
          <cell r="AM257">
            <v>277393</v>
          </cell>
          <cell r="AN257">
            <v>0</v>
          </cell>
          <cell r="AO257">
            <v>277393</v>
          </cell>
          <cell r="AP257">
            <v>0</v>
          </cell>
          <cell r="AQ257">
            <v>277393</v>
          </cell>
          <cell r="AR257">
            <v>0</v>
          </cell>
          <cell r="AS257">
            <v>277393</v>
          </cell>
        </row>
        <row r="258">
          <cell r="H258">
            <v>185451</v>
          </cell>
          <cell r="I258">
            <v>185451</v>
          </cell>
          <cell r="J258">
            <v>0</v>
          </cell>
          <cell r="K258">
            <v>185451</v>
          </cell>
          <cell r="L258">
            <v>0</v>
          </cell>
          <cell r="M258">
            <v>185451</v>
          </cell>
          <cell r="N258">
            <v>0</v>
          </cell>
          <cell r="O258">
            <v>185451</v>
          </cell>
          <cell r="P258">
            <v>0</v>
          </cell>
          <cell r="Q258">
            <v>185451</v>
          </cell>
          <cell r="R258">
            <v>0</v>
          </cell>
          <cell r="S258">
            <v>185451</v>
          </cell>
          <cell r="T258">
            <v>0</v>
          </cell>
          <cell r="U258">
            <v>185451</v>
          </cell>
          <cell r="V258">
            <v>0</v>
          </cell>
          <cell r="W258">
            <v>185451</v>
          </cell>
          <cell r="X258">
            <v>0</v>
          </cell>
          <cell r="Y258">
            <v>185451</v>
          </cell>
          <cell r="Z258">
            <v>0</v>
          </cell>
          <cell r="AA258">
            <v>185451</v>
          </cell>
          <cell r="AB258">
            <v>0</v>
          </cell>
          <cell r="AC258">
            <v>185451</v>
          </cell>
          <cell r="AD258">
            <v>0</v>
          </cell>
          <cell r="AE258">
            <v>185451</v>
          </cell>
          <cell r="AF258">
            <v>0</v>
          </cell>
          <cell r="AG258">
            <v>185451</v>
          </cell>
          <cell r="AH258">
            <v>0</v>
          </cell>
          <cell r="AI258">
            <v>185451</v>
          </cell>
          <cell r="AJ258">
            <v>0</v>
          </cell>
          <cell r="AK258">
            <v>185451</v>
          </cell>
          <cell r="AL258">
            <v>0</v>
          </cell>
          <cell r="AM258">
            <v>185451</v>
          </cell>
          <cell r="AN258">
            <v>0</v>
          </cell>
          <cell r="AO258">
            <v>185451</v>
          </cell>
          <cell r="AP258">
            <v>0</v>
          </cell>
          <cell r="AQ258">
            <v>185451</v>
          </cell>
          <cell r="AR258">
            <v>0</v>
          </cell>
          <cell r="AS258">
            <v>185451</v>
          </cell>
        </row>
        <row r="259">
          <cell r="G259" t="str">
            <v>10.10.56.200</v>
          </cell>
          <cell r="H259">
            <v>96667</v>
          </cell>
          <cell r="I259">
            <v>96667</v>
          </cell>
          <cell r="J259">
            <v>0</v>
          </cell>
          <cell r="K259">
            <v>96667</v>
          </cell>
          <cell r="L259">
            <v>0</v>
          </cell>
          <cell r="M259">
            <v>96667</v>
          </cell>
          <cell r="N259">
            <v>0</v>
          </cell>
          <cell r="O259">
            <v>96667</v>
          </cell>
          <cell r="P259">
            <v>0</v>
          </cell>
          <cell r="Q259">
            <v>96667</v>
          </cell>
          <cell r="R259">
            <v>0</v>
          </cell>
          <cell r="S259">
            <v>96667</v>
          </cell>
          <cell r="T259">
            <v>0</v>
          </cell>
          <cell r="U259">
            <v>96667</v>
          </cell>
          <cell r="V259">
            <v>0</v>
          </cell>
          <cell r="W259">
            <v>96667</v>
          </cell>
          <cell r="X259">
            <v>0</v>
          </cell>
          <cell r="Y259">
            <v>96667</v>
          </cell>
          <cell r="Z259">
            <v>0</v>
          </cell>
          <cell r="AA259">
            <v>96667</v>
          </cell>
          <cell r="AB259">
            <v>0</v>
          </cell>
          <cell r="AC259">
            <v>96667</v>
          </cell>
          <cell r="AD259">
            <v>0</v>
          </cell>
          <cell r="AE259">
            <v>96667</v>
          </cell>
          <cell r="AF259">
            <v>0</v>
          </cell>
          <cell r="AG259">
            <v>96667</v>
          </cell>
          <cell r="AH259">
            <v>0</v>
          </cell>
          <cell r="AI259">
            <v>96667</v>
          </cell>
          <cell r="AJ259">
            <v>0</v>
          </cell>
          <cell r="AK259">
            <v>96667</v>
          </cell>
          <cell r="AL259">
            <v>0</v>
          </cell>
          <cell r="AM259">
            <v>96667</v>
          </cell>
          <cell r="AN259">
            <v>0</v>
          </cell>
          <cell r="AO259">
            <v>96667</v>
          </cell>
          <cell r="AP259">
            <v>0</v>
          </cell>
          <cell r="AQ259">
            <v>96667</v>
          </cell>
          <cell r="AR259">
            <v>0</v>
          </cell>
          <cell r="AS259">
            <v>96667</v>
          </cell>
        </row>
        <row r="260">
          <cell r="G260" t="str">
            <v>10.11.73.203</v>
          </cell>
          <cell r="H260">
            <v>126775</v>
          </cell>
          <cell r="I260">
            <v>126775</v>
          </cell>
          <cell r="J260">
            <v>0</v>
          </cell>
          <cell r="K260">
            <v>126775</v>
          </cell>
          <cell r="L260">
            <v>0</v>
          </cell>
          <cell r="M260">
            <v>126775</v>
          </cell>
          <cell r="N260">
            <v>0</v>
          </cell>
          <cell r="O260">
            <v>126775</v>
          </cell>
          <cell r="P260">
            <v>0</v>
          </cell>
          <cell r="Q260">
            <v>126775</v>
          </cell>
          <cell r="R260">
            <v>0</v>
          </cell>
          <cell r="S260">
            <v>126775</v>
          </cell>
          <cell r="T260">
            <v>0</v>
          </cell>
          <cell r="U260">
            <v>126775</v>
          </cell>
          <cell r="V260">
            <v>0</v>
          </cell>
          <cell r="W260">
            <v>126775</v>
          </cell>
          <cell r="X260">
            <v>0</v>
          </cell>
          <cell r="Y260">
            <v>126775</v>
          </cell>
          <cell r="Z260">
            <v>0</v>
          </cell>
          <cell r="AA260">
            <v>126775</v>
          </cell>
          <cell r="AB260">
            <v>0</v>
          </cell>
          <cell r="AC260">
            <v>126775</v>
          </cell>
          <cell r="AD260">
            <v>0</v>
          </cell>
          <cell r="AE260">
            <v>126775</v>
          </cell>
          <cell r="AF260">
            <v>0</v>
          </cell>
          <cell r="AG260">
            <v>126775</v>
          </cell>
          <cell r="AH260">
            <v>0</v>
          </cell>
          <cell r="AI260">
            <v>126775</v>
          </cell>
          <cell r="AJ260">
            <v>0</v>
          </cell>
          <cell r="AK260">
            <v>126775</v>
          </cell>
          <cell r="AL260">
            <v>0</v>
          </cell>
          <cell r="AM260">
            <v>126775</v>
          </cell>
          <cell r="AN260">
            <v>0</v>
          </cell>
          <cell r="AO260">
            <v>126775</v>
          </cell>
          <cell r="AP260">
            <v>0</v>
          </cell>
          <cell r="AQ260">
            <v>126775</v>
          </cell>
          <cell r="AR260">
            <v>0</v>
          </cell>
          <cell r="AS260">
            <v>126775</v>
          </cell>
        </row>
        <row r="261">
          <cell r="G261" t="str">
            <v>10.10.212.200</v>
          </cell>
          <cell r="H261">
            <v>36582</v>
          </cell>
          <cell r="I261">
            <v>36582</v>
          </cell>
          <cell r="J261">
            <v>0</v>
          </cell>
          <cell r="K261">
            <v>36582</v>
          </cell>
          <cell r="L261">
            <v>0</v>
          </cell>
          <cell r="M261">
            <v>36582</v>
          </cell>
          <cell r="N261">
            <v>0</v>
          </cell>
          <cell r="O261">
            <v>36582</v>
          </cell>
          <cell r="P261">
            <v>0</v>
          </cell>
          <cell r="Q261">
            <v>36582</v>
          </cell>
          <cell r="R261">
            <v>0</v>
          </cell>
          <cell r="S261">
            <v>36582</v>
          </cell>
          <cell r="T261">
            <v>0</v>
          </cell>
          <cell r="U261">
            <v>36582</v>
          </cell>
          <cell r="V261">
            <v>0</v>
          </cell>
          <cell r="W261">
            <v>36582</v>
          </cell>
          <cell r="X261">
            <v>0</v>
          </cell>
          <cell r="Y261">
            <v>36582</v>
          </cell>
          <cell r="Z261">
            <v>0</v>
          </cell>
          <cell r="AA261">
            <v>36582</v>
          </cell>
          <cell r="AB261">
            <v>0</v>
          </cell>
          <cell r="AC261">
            <v>36582</v>
          </cell>
          <cell r="AD261">
            <v>0</v>
          </cell>
          <cell r="AE261">
            <v>36582</v>
          </cell>
          <cell r="AF261">
            <v>0</v>
          </cell>
          <cell r="AG261">
            <v>36582</v>
          </cell>
          <cell r="AH261">
            <v>0</v>
          </cell>
          <cell r="AI261">
            <v>36582</v>
          </cell>
          <cell r="AJ261">
            <v>0</v>
          </cell>
          <cell r="AK261">
            <v>36582</v>
          </cell>
          <cell r="AL261">
            <v>0</v>
          </cell>
          <cell r="AM261">
            <v>36582</v>
          </cell>
          <cell r="AN261">
            <v>0</v>
          </cell>
          <cell r="AO261">
            <v>36582</v>
          </cell>
          <cell r="AP261">
            <v>0</v>
          </cell>
          <cell r="AQ261">
            <v>36582</v>
          </cell>
          <cell r="AR261">
            <v>0</v>
          </cell>
          <cell r="AS261">
            <v>36582</v>
          </cell>
        </row>
        <row r="262">
          <cell r="H262">
            <v>150387</v>
          </cell>
          <cell r="I262">
            <v>150387</v>
          </cell>
          <cell r="J262">
            <v>0</v>
          </cell>
          <cell r="K262">
            <v>150387</v>
          </cell>
          <cell r="L262">
            <v>0</v>
          </cell>
          <cell r="M262">
            <v>150387</v>
          </cell>
          <cell r="N262">
            <v>0</v>
          </cell>
          <cell r="O262">
            <v>150387</v>
          </cell>
          <cell r="P262">
            <v>0</v>
          </cell>
          <cell r="Q262">
            <v>150387</v>
          </cell>
          <cell r="R262">
            <v>0</v>
          </cell>
          <cell r="S262">
            <v>150387</v>
          </cell>
          <cell r="T262">
            <v>0</v>
          </cell>
          <cell r="U262">
            <v>150387</v>
          </cell>
          <cell r="V262">
            <v>0</v>
          </cell>
          <cell r="W262">
            <v>150387</v>
          </cell>
          <cell r="X262">
            <v>0</v>
          </cell>
          <cell r="Y262">
            <v>150387</v>
          </cell>
          <cell r="Z262">
            <v>0</v>
          </cell>
          <cell r="AA262">
            <v>150387</v>
          </cell>
          <cell r="AB262">
            <v>0</v>
          </cell>
          <cell r="AC262">
            <v>150387</v>
          </cell>
          <cell r="AD262">
            <v>0</v>
          </cell>
          <cell r="AE262">
            <v>150387</v>
          </cell>
          <cell r="AF262">
            <v>0</v>
          </cell>
          <cell r="AG262">
            <v>150387</v>
          </cell>
          <cell r="AH262">
            <v>0</v>
          </cell>
          <cell r="AI262">
            <v>150387</v>
          </cell>
          <cell r="AJ262">
            <v>0</v>
          </cell>
          <cell r="AK262">
            <v>150387</v>
          </cell>
          <cell r="AL262">
            <v>0</v>
          </cell>
          <cell r="AM262">
            <v>150387</v>
          </cell>
          <cell r="AN262">
            <v>0</v>
          </cell>
          <cell r="AO262">
            <v>150387</v>
          </cell>
          <cell r="AP262">
            <v>0</v>
          </cell>
          <cell r="AQ262">
            <v>150387</v>
          </cell>
          <cell r="AR262">
            <v>0</v>
          </cell>
          <cell r="AS262">
            <v>150387</v>
          </cell>
        </row>
        <row r="263">
          <cell r="H263">
            <v>324296</v>
          </cell>
          <cell r="I263">
            <v>324296</v>
          </cell>
          <cell r="J263">
            <v>0</v>
          </cell>
          <cell r="K263">
            <v>324296</v>
          </cell>
          <cell r="L263">
            <v>0</v>
          </cell>
          <cell r="M263">
            <v>324296</v>
          </cell>
          <cell r="N263">
            <v>0</v>
          </cell>
          <cell r="O263">
            <v>324296</v>
          </cell>
          <cell r="P263">
            <v>0</v>
          </cell>
          <cell r="Q263">
            <v>324296</v>
          </cell>
          <cell r="R263">
            <v>0</v>
          </cell>
          <cell r="S263">
            <v>324296</v>
          </cell>
          <cell r="T263">
            <v>0</v>
          </cell>
          <cell r="U263">
            <v>324296</v>
          </cell>
          <cell r="V263">
            <v>0</v>
          </cell>
          <cell r="W263">
            <v>324296</v>
          </cell>
          <cell r="X263">
            <v>0</v>
          </cell>
          <cell r="Y263">
            <v>324296</v>
          </cell>
          <cell r="Z263">
            <v>0</v>
          </cell>
          <cell r="AA263">
            <v>324296</v>
          </cell>
          <cell r="AB263">
            <v>0</v>
          </cell>
          <cell r="AC263">
            <v>324296</v>
          </cell>
          <cell r="AD263">
            <v>0</v>
          </cell>
          <cell r="AE263">
            <v>324296</v>
          </cell>
          <cell r="AF263">
            <v>0</v>
          </cell>
          <cell r="AG263">
            <v>324296</v>
          </cell>
          <cell r="AH263">
            <v>0</v>
          </cell>
          <cell r="AI263">
            <v>324296</v>
          </cell>
          <cell r="AJ263">
            <v>0</v>
          </cell>
          <cell r="AK263">
            <v>324296</v>
          </cell>
          <cell r="AL263">
            <v>0</v>
          </cell>
          <cell r="AM263">
            <v>324296</v>
          </cell>
          <cell r="AN263">
            <v>0</v>
          </cell>
          <cell r="AO263">
            <v>324296</v>
          </cell>
          <cell r="AP263">
            <v>0</v>
          </cell>
          <cell r="AQ263">
            <v>324296</v>
          </cell>
          <cell r="AR263">
            <v>0</v>
          </cell>
          <cell r="AS263">
            <v>324296</v>
          </cell>
        </row>
        <row r="264">
          <cell r="H264">
            <v>228131</v>
          </cell>
          <cell r="I264">
            <v>228131</v>
          </cell>
          <cell r="J264">
            <v>0</v>
          </cell>
          <cell r="K264">
            <v>228131</v>
          </cell>
          <cell r="L264">
            <v>0</v>
          </cell>
          <cell r="M264">
            <v>228131</v>
          </cell>
          <cell r="N264">
            <v>0</v>
          </cell>
          <cell r="O264">
            <v>228131</v>
          </cell>
          <cell r="P264">
            <v>0</v>
          </cell>
          <cell r="Q264">
            <v>228131</v>
          </cell>
          <cell r="R264">
            <v>0</v>
          </cell>
          <cell r="S264">
            <v>228131</v>
          </cell>
          <cell r="T264">
            <v>0</v>
          </cell>
          <cell r="U264">
            <v>228131</v>
          </cell>
          <cell r="V264">
            <v>0</v>
          </cell>
          <cell r="W264">
            <v>228131</v>
          </cell>
          <cell r="X264">
            <v>0</v>
          </cell>
          <cell r="Y264">
            <v>228131</v>
          </cell>
          <cell r="Z264">
            <v>0</v>
          </cell>
          <cell r="AA264">
            <v>228131</v>
          </cell>
          <cell r="AB264">
            <v>0</v>
          </cell>
          <cell r="AC264">
            <v>228131</v>
          </cell>
          <cell r="AD264">
            <v>0</v>
          </cell>
          <cell r="AE264">
            <v>228131</v>
          </cell>
          <cell r="AF264">
            <v>0</v>
          </cell>
          <cell r="AG264">
            <v>228131</v>
          </cell>
          <cell r="AH264">
            <v>0</v>
          </cell>
          <cell r="AI264">
            <v>228131</v>
          </cell>
          <cell r="AJ264">
            <v>0</v>
          </cell>
          <cell r="AK264">
            <v>228131</v>
          </cell>
          <cell r="AL264">
            <v>0</v>
          </cell>
          <cell r="AM264">
            <v>228131</v>
          </cell>
          <cell r="AN264">
            <v>0</v>
          </cell>
          <cell r="AO264">
            <v>228131</v>
          </cell>
          <cell r="AP264">
            <v>0</v>
          </cell>
          <cell r="AQ264">
            <v>228131</v>
          </cell>
          <cell r="AR264">
            <v>0</v>
          </cell>
          <cell r="AS264">
            <v>228131</v>
          </cell>
        </row>
        <row r="265">
          <cell r="G265" t="str">
            <v>10.10.12.202</v>
          </cell>
          <cell r="H265">
            <v>287736</v>
          </cell>
          <cell r="I265">
            <v>287736</v>
          </cell>
          <cell r="J265">
            <v>0</v>
          </cell>
          <cell r="K265">
            <v>287736</v>
          </cell>
          <cell r="L265">
            <v>0</v>
          </cell>
          <cell r="M265">
            <v>287736</v>
          </cell>
          <cell r="N265">
            <v>0</v>
          </cell>
          <cell r="O265">
            <v>287736</v>
          </cell>
          <cell r="P265">
            <v>0</v>
          </cell>
          <cell r="Q265">
            <v>287736</v>
          </cell>
          <cell r="R265">
            <v>0</v>
          </cell>
          <cell r="S265">
            <v>287736</v>
          </cell>
          <cell r="T265">
            <v>0</v>
          </cell>
          <cell r="U265">
            <v>287736</v>
          </cell>
          <cell r="V265">
            <v>0</v>
          </cell>
          <cell r="W265">
            <v>287736</v>
          </cell>
          <cell r="X265">
            <v>0</v>
          </cell>
          <cell r="Y265">
            <v>287736</v>
          </cell>
          <cell r="Z265">
            <v>0</v>
          </cell>
          <cell r="AA265">
            <v>287736</v>
          </cell>
          <cell r="AB265">
            <v>0</v>
          </cell>
          <cell r="AC265">
            <v>287736</v>
          </cell>
          <cell r="AD265">
            <v>0</v>
          </cell>
          <cell r="AE265">
            <v>287736</v>
          </cell>
          <cell r="AF265">
            <v>0</v>
          </cell>
          <cell r="AG265">
            <v>287736</v>
          </cell>
          <cell r="AH265">
            <v>0</v>
          </cell>
          <cell r="AI265">
            <v>287736</v>
          </cell>
          <cell r="AJ265">
            <v>0</v>
          </cell>
          <cell r="AK265">
            <v>287736</v>
          </cell>
          <cell r="AL265">
            <v>0</v>
          </cell>
          <cell r="AM265">
            <v>287736</v>
          </cell>
          <cell r="AN265">
            <v>0</v>
          </cell>
          <cell r="AO265">
            <v>287736</v>
          </cell>
          <cell r="AP265">
            <v>0</v>
          </cell>
          <cell r="AQ265">
            <v>287736</v>
          </cell>
          <cell r="AR265">
            <v>0</v>
          </cell>
          <cell r="AS265">
            <v>287736</v>
          </cell>
        </row>
        <row r="266">
          <cell r="G266" t="str">
            <v>10.10.155.200</v>
          </cell>
          <cell r="H266">
            <v>161448</v>
          </cell>
          <cell r="I266">
            <v>161448</v>
          </cell>
          <cell r="J266">
            <v>0</v>
          </cell>
          <cell r="K266">
            <v>161448</v>
          </cell>
          <cell r="L266">
            <v>0</v>
          </cell>
          <cell r="M266">
            <v>161448</v>
          </cell>
          <cell r="N266">
            <v>0</v>
          </cell>
          <cell r="O266">
            <v>161448</v>
          </cell>
          <cell r="P266">
            <v>0</v>
          </cell>
          <cell r="Q266">
            <v>161448</v>
          </cell>
          <cell r="R266">
            <v>0</v>
          </cell>
          <cell r="S266">
            <v>161448</v>
          </cell>
          <cell r="T266">
            <v>0</v>
          </cell>
          <cell r="U266">
            <v>161448</v>
          </cell>
          <cell r="V266">
            <v>0</v>
          </cell>
          <cell r="W266">
            <v>161448</v>
          </cell>
          <cell r="X266">
            <v>0</v>
          </cell>
          <cell r="Y266">
            <v>161448</v>
          </cell>
          <cell r="Z266">
            <v>0</v>
          </cell>
          <cell r="AA266">
            <v>161448</v>
          </cell>
          <cell r="AB266">
            <v>0</v>
          </cell>
          <cell r="AC266">
            <v>161448</v>
          </cell>
          <cell r="AD266">
            <v>0</v>
          </cell>
          <cell r="AE266">
            <v>161448</v>
          </cell>
          <cell r="AF266">
            <v>0</v>
          </cell>
          <cell r="AG266">
            <v>161448</v>
          </cell>
          <cell r="AH266">
            <v>0</v>
          </cell>
          <cell r="AI266">
            <v>161448</v>
          </cell>
          <cell r="AJ266">
            <v>0</v>
          </cell>
          <cell r="AK266">
            <v>161448</v>
          </cell>
          <cell r="AL266">
            <v>0</v>
          </cell>
          <cell r="AM266">
            <v>161448</v>
          </cell>
          <cell r="AN266">
            <v>0</v>
          </cell>
          <cell r="AO266">
            <v>161448</v>
          </cell>
          <cell r="AP266">
            <v>0</v>
          </cell>
          <cell r="AQ266">
            <v>161448</v>
          </cell>
          <cell r="AR266">
            <v>0</v>
          </cell>
          <cell r="AS266">
            <v>161448</v>
          </cell>
        </row>
        <row r="267">
          <cell r="G267" t="str">
            <v>10.11.24.201</v>
          </cell>
          <cell r="H267">
            <v>124109</v>
          </cell>
          <cell r="I267">
            <v>124109</v>
          </cell>
          <cell r="J267">
            <v>0</v>
          </cell>
          <cell r="K267">
            <v>124109</v>
          </cell>
          <cell r="L267">
            <v>0</v>
          </cell>
          <cell r="M267">
            <v>124109</v>
          </cell>
          <cell r="N267">
            <v>0</v>
          </cell>
          <cell r="O267">
            <v>124109</v>
          </cell>
          <cell r="P267">
            <v>0</v>
          </cell>
          <cell r="Q267">
            <v>124109</v>
          </cell>
          <cell r="R267">
            <v>0</v>
          </cell>
          <cell r="S267">
            <v>124109</v>
          </cell>
          <cell r="T267">
            <v>0</v>
          </cell>
          <cell r="U267">
            <v>124109</v>
          </cell>
          <cell r="V267">
            <v>0</v>
          </cell>
          <cell r="W267">
            <v>124109</v>
          </cell>
          <cell r="X267">
            <v>0</v>
          </cell>
          <cell r="Y267">
            <v>124109</v>
          </cell>
          <cell r="Z267">
            <v>0</v>
          </cell>
          <cell r="AA267">
            <v>124109</v>
          </cell>
          <cell r="AB267">
            <v>0</v>
          </cell>
          <cell r="AC267">
            <v>124109</v>
          </cell>
          <cell r="AD267">
            <v>0</v>
          </cell>
          <cell r="AE267">
            <v>124109</v>
          </cell>
          <cell r="AF267">
            <v>0</v>
          </cell>
          <cell r="AG267">
            <v>124109</v>
          </cell>
          <cell r="AH267">
            <v>0</v>
          </cell>
          <cell r="AI267">
            <v>124109</v>
          </cell>
          <cell r="AJ267">
            <v>0</v>
          </cell>
          <cell r="AK267">
            <v>124109</v>
          </cell>
          <cell r="AL267">
            <v>0</v>
          </cell>
          <cell r="AM267">
            <v>124109</v>
          </cell>
          <cell r="AN267">
            <v>0</v>
          </cell>
          <cell r="AO267">
            <v>124109</v>
          </cell>
          <cell r="AP267">
            <v>0</v>
          </cell>
          <cell r="AQ267">
            <v>124109</v>
          </cell>
          <cell r="AR267">
            <v>0</v>
          </cell>
          <cell r="AS267">
            <v>124109</v>
          </cell>
        </row>
        <row r="268">
          <cell r="G268" t="str">
            <v>10.10.44.201</v>
          </cell>
          <cell r="H268">
            <v>38367</v>
          </cell>
          <cell r="I268">
            <v>38367</v>
          </cell>
          <cell r="J268">
            <v>0</v>
          </cell>
          <cell r="K268">
            <v>38367</v>
          </cell>
          <cell r="L268">
            <v>0</v>
          </cell>
          <cell r="M268">
            <v>38367</v>
          </cell>
          <cell r="N268">
            <v>0</v>
          </cell>
          <cell r="O268">
            <v>38367</v>
          </cell>
          <cell r="P268">
            <v>0</v>
          </cell>
          <cell r="Q268">
            <v>38367</v>
          </cell>
          <cell r="R268">
            <v>0</v>
          </cell>
          <cell r="S268">
            <v>38367</v>
          </cell>
          <cell r="T268">
            <v>0</v>
          </cell>
          <cell r="U268">
            <v>38367</v>
          </cell>
          <cell r="V268">
            <v>0</v>
          </cell>
          <cell r="W268">
            <v>38367</v>
          </cell>
          <cell r="X268">
            <v>0</v>
          </cell>
          <cell r="Y268">
            <v>38367</v>
          </cell>
          <cell r="Z268">
            <v>0</v>
          </cell>
          <cell r="AA268">
            <v>38367</v>
          </cell>
          <cell r="AB268">
            <v>0</v>
          </cell>
          <cell r="AC268">
            <v>38367</v>
          </cell>
          <cell r="AD268">
            <v>0</v>
          </cell>
          <cell r="AE268">
            <v>38367</v>
          </cell>
          <cell r="AF268">
            <v>0</v>
          </cell>
          <cell r="AG268">
            <v>38367</v>
          </cell>
          <cell r="AH268">
            <v>0</v>
          </cell>
          <cell r="AI268">
            <v>38367</v>
          </cell>
          <cell r="AJ268">
            <v>0</v>
          </cell>
          <cell r="AK268">
            <v>38367</v>
          </cell>
          <cell r="AL268">
            <v>0</v>
          </cell>
          <cell r="AM268">
            <v>38367</v>
          </cell>
          <cell r="AN268">
            <v>0</v>
          </cell>
          <cell r="AO268">
            <v>38367</v>
          </cell>
          <cell r="AP268">
            <v>0</v>
          </cell>
          <cell r="AQ268">
            <v>38367</v>
          </cell>
          <cell r="AR268">
            <v>0</v>
          </cell>
          <cell r="AS268">
            <v>38367</v>
          </cell>
        </row>
        <row r="269">
          <cell r="G269" t="str">
            <v>10.14.13.201</v>
          </cell>
          <cell r="H269">
            <v>59666</v>
          </cell>
          <cell r="I269">
            <v>59666</v>
          </cell>
          <cell r="J269">
            <v>0</v>
          </cell>
          <cell r="K269">
            <v>59666</v>
          </cell>
          <cell r="L269">
            <v>0</v>
          </cell>
          <cell r="M269">
            <v>59666</v>
          </cell>
          <cell r="N269">
            <v>0</v>
          </cell>
          <cell r="O269">
            <v>59666</v>
          </cell>
          <cell r="P269">
            <v>0</v>
          </cell>
          <cell r="Q269">
            <v>59666</v>
          </cell>
          <cell r="R269">
            <v>0</v>
          </cell>
          <cell r="S269">
            <v>59666</v>
          </cell>
          <cell r="T269">
            <v>0</v>
          </cell>
          <cell r="U269">
            <v>59666</v>
          </cell>
          <cell r="V269">
            <v>0</v>
          </cell>
          <cell r="W269">
            <v>59666</v>
          </cell>
          <cell r="X269">
            <v>0</v>
          </cell>
          <cell r="Y269">
            <v>59666</v>
          </cell>
          <cell r="Z269">
            <v>0</v>
          </cell>
          <cell r="AA269">
            <v>59666</v>
          </cell>
          <cell r="AB269">
            <v>0</v>
          </cell>
          <cell r="AC269">
            <v>59666</v>
          </cell>
          <cell r="AD269">
            <v>0</v>
          </cell>
          <cell r="AE269">
            <v>59666</v>
          </cell>
          <cell r="AF269">
            <v>0</v>
          </cell>
          <cell r="AG269">
            <v>59666</v>
          </cell>
          <cell r="AH269">
            <v>0</v>
          </cell>
          <cell r="AI269">
            <v>59666</v>
          </cell>
          <cell r="AJ269">
            <v>0</v>
          </cell>
          <cell r="AK269">
            <v>59666</v>
          </cell>
          <cell r="AL269">
            <v>0</v>
          </cell>
          <cell r="AM269">
            <v>59666</v>
          </cell>
          <cell r="AN269">
            <v>0</v>
          </cell>
          <cell r="AO269">
            <v>59666</v>
          </cell>
          <cell r="AP269">
            <v>0</v>
          </cell>
          <cell r="AQ269">
            <v>59666</v>
          </cell>
          <cell r="AR269">
            <v>0</v>
          </cell>
          <cell r="AS269">
            <v>59666</v>
          </cell>
        </row>
        <row r="270">
          <cell r="H270">
            <v>480167</v>
          </cell>
          <cell r="I270">
            <v>480167</v>
          </cell>
          <cell r="J270">
            <v>0</v>
          </cell>
          <cell r="K270">
            <v>480167</v>
          </cell>
          <cell r="L270">
            <v>0</v>
          </cell>
          <cell r="M270">
            <v>480167</v>
          </cell>
          <cell r="N270">
            <v>0</v>
          </cell>
          <cell r="O270">
            <v>480167</v>
          </cell>
          <cell r="P270">
            <v>0</v>
          </cell>
          <cell r="Q270">
            <v>480167</v>
          </cell>
          <cell r="R270">
            <v>0</v>
          </cell>
          <cell r="S270">
            <v>480167</v>
          </cell>
          <cell r="T270">
            <v>0</v>
          </cell>
          <cell r="U270">
            <v>480167</v>
          </cell>
          <cell r="V270">
            <v>0</v>
          </cell>
          <cell r="W270">
            <v>480167</v>
          </cell>
          <cell r="X270">
            <v>0</v>
          </cell>
          <cell r="Y270">
            <v>480167</v>
          </cell>
          <cell r="Z270">
            <v>0</v>
          </cell>
          <cell r="AA270">
            <v>480167</v>
          </cell>
          <cell r="AB270">
            <v>0</v>
          </cell>
          <cell r="AC270">
            <v>480167</v>
          </cell>
          <cell r="AD270">
            <v>0</v>
          </cell>
          <cell r="AE270">
            <v>480167</v>
          </cell>
          <cell r="AF270">
            <v>0</v>
          </cell>
          <cell r="AG270">
            <v>480167</v>
          </cell>
          <cell r="AH270">
            <v>0</v>
          </cell>
          <cell r="AI270">
            <v>480167</v>
          </cell>
          <cell r="AJ270">
            <v>0</v>
          </cell>
          <cell r="AK270">
            <v>480167</v>
          </cell>
          <cell r="AL270">
            <v>0</v>
          </cell>
          <cell r="AM270">
            <v>480167</v>
          </cell>
          <cell r="AN270">
            <v>0</v>
          </cell>
          <cell r="AO270">
            <v>480167</v>
          </cell>
          <cell r="AP270">
            <v>0</v>
          </cell>
          <cell r="AQ270">
            <v>480167</v>
          </cell>
          <cell r="AR270">
            <v>0</v>
          </cell>
          <cell r="AS270">
            <v>480167</v>
          </cell>
        </row>
        <row r="271">
          <cell r="G271" t="str">
            <v>10.10.85.202</v>
          </cell>
          <cell r="H271">
            <v>653515</v>
          </cell>
          <cell r="I271">
            <v>653515</v>
          </cell>
          <cell r="J271">
            <v>0</v>
          </cell>
          <cell r="K271">
            <v>653515</v>
          </cell>
          <cell r="L271">
            <v>0</v>
          </cell>
          <cell r="M271">
            <v>653515</v>
          </cell>
          <cell r="N271">
            <v>0</v>
          </cell>
          <cell r="O271">
            <v>653515</v>
          </cell>
          <cell r="P271">
            <v>0</v>
          </cell>
          <cell r="Q271">
            <v>653515</v>
          </cell>
          <cell r="R271">
            <v>0</v>
          </cell>
          <cell r="S271">
            <v>653515</v>
          </cell>
          <cell r="T271">
            <v>0</v>
          </cell>
          <cell r="U271">
            <v>653515</v>
          </cell>
          <cell r="V271">
            <v>0</v>
          </cell>
          <cell r="W271">
            <v>653515</v>
          </cell>
          <cell r="X271">
            <v>0</v>
          </cell>
          <cell r="Y271">
            <v>653515</v>
          </cell>
          <cell r="Z271">
            <v>0</v>
          </cell>
          <cell r="AA271">
            <v>653515</v>
          </cell>
          <cell r="AB271">
            <v>0</v>
          </cell>
          <cell r="AC271">
            <v>653515</v>
          </cell>
          <cell r="AD271">
            <v>0</v>
          </cell>
          <cell r="AE271">
            <v>653515</v>
          </cell>
          <cell r="AF271">
            <v>0</v>
          </cell>
          <cell r="AG271">
            <v>653515</v>
          </cell>
          <cell r="AH271">
            <v>0</v>
          </cell>
          <cell r="AI271">
            <v>653515</v>
          </cell>
          <cell r="AJ271">
            <v>0</v>
          </cell>
          <cell r="AK271">
            <v>653515</v>
          </cell>
          <cell r="AL271">
            <v>0</v>
          </cell>
          <cell r="AM271">
            <v>653515</v>
          </cell>
          <cell r="AN271">
            <v>0</v>
          </cell>
          <cell r="AO271">
            <v>653515</v>
          </cell>
          <cell r="AP271">
            <v>0</v>
          </cell>
          <cell r="AQ271">
            <v>653515</v>
          </cell>
          <cell r="AR271">
            <v>0</v>
          </cell>
          <cell r="AS271">
            <v>653515</v>
          </cell>
        </row>
        <row r="272">
          <cell r="G272" t="str">
            <v>10.10.6.201</v>
          </cell>
          <cell r="H272">
            <v>660404</v>
          </cell>
          <cell r="I272">
            <v>660404</v>
          </cell>
          <cell r="J272">
            <v>0</v>
          </cell>
          <cell r="K272">
            <v>660404</v>
          </cell>
          <cell r="L272">
            <v>0</v>
          </cell>
          <cell r="M272">
            <v>660404</v>
          </cell>
          <cell r="N272">
            <v>0</v>
          </cell>
          <cell r="O272">
            <v>660404</v>
          </cell>
          <cell r="P272">
            <v>0</v>
          </cell>
          <cell r="Q272">
            <v>660404</v>
          </cell>
          <cell r="R272">
            <v>0</v>
          </cell>
          <cell r="S272">
            <v>660404</v>
          </cell>
          <cell r="T272">
            <v>0</v>
          </cell>
          <cell r="U272">
            <v>660404</v>
          </cell>
          <cell r="V272">
            <v>0</v>
          </cell>
          <cell r="W272">
            <v>660404</v>
          </cell>
          <cell r="X272">
            <v>0</v>
          </cell>
          <cell r="Y272">
            <v>660404</v>
          </cell>
          <cell r="Z272">
            <v>0</v>
          </cell>
          <cell r="AA272">
            <v>660404</v>
          </cell>
          <cell r="AB272">
            <v>0</v>
          </cell>
          <cell r="AC272">
            <v>660404</v>
          </cell>
          <cell r="AD272">
            <v>0</v>
          </cell>
          <cell r="AE272">
            <v>660404</v>
          </cell>
          <cell r="AF272">
            <v>0</v>
          </cell>
          <cell r="AG272">
            <v>660404</v>
          </cell>
          <cell r="AH272">
            <v>0</v>
          </cell>
          <cell r="AI272">
            <v>660404</v>
          </cell>
          <cell r="AJ272">
            <v>0</v>
          </cell>
          <cell r="AK272">
            <v>660404</v>
          </cell>
          <cell r="AL272">
            <v>0</v>
          </cell>
          <cell r="AM272">
            <v>660404</v>
          </cell>
          <cell r="AN272">
            <v>0</v>
          </cell>
          <cell r="AO272">
            <v>660404</v>
          </cell>
          <cell r="AP272">
            <v>0</v>
          </cell>
          <cell r="AQ272">
            <v>660404</v>
          </cell>
          <cell r="AR272">
            <v>0</v>
          </cell>
          <cell r="AS272">
            <v>660404</v>
          </cell>
        </row>
        <row r="273">
          <cell r="G273" t="str">
            <v>10.10.85.200</v>
          </cell>
          <cell r="H273">
            <v>294167</v>
          </cell>
          <cell r="I273">
            <v>294167</v>
          </cell>
          <cell r="J273">
            <v>0</v>
          </cell>
          <cell r="K273">
            <v>294167</v>
          </cell>
          <cell r="L273">
            <v>0</v>
          </cell>
          <cell r="M273">
            <v>294167</v>
          </cell>
          <cell r="N273">
            <v>0</v>
          </cell>
          <cell r="O273">
            <v>294167</v>
          </cell>
          <cell r="P273">
            <v>0</v>
          </cell>
          <cell r="Q273">
            <v>294167</v>
          </cell>
          <cell r="R273">
            <v>0</v>
          </cell>
          <cell r="S273">
            <v>294167</v>
          </cell>
          <cell r="T273">
            <v>0</v>
          </cell>
          <cell r="U273">
            <v>294167</v>
          </cell>
          <cell r="V273">
            <v>0</v>
          </cell>
          <cell r="W273">
            <v>294167</v>
          </cell>
          <cell r="X273">
            <v>0</v>
          </cell>
          <cell r="Y273">
            <v>294167</v>
          </cell>
          <cell r="Z273">
            <v>0</v>
          </cell>
          <cell r="AA273">
            <v>294167</v>
          </cell>
          <cell r="AB273">
            <v>0</v>
          </cell>
          <cell r="AC273">
            <v>294167</v>
          </cell>
          <cell r="AD273">
            <v>0</v>
          </cell>
          <cell r="AE273">
            <v>294167</v>
          </cell>
          <cell r="AF273">
            <v>0</v>
          </cell>
          <cell r="AG273">
            <v>294167</v>
          </cell>
          <cell r="AH273">
            <v>0</v>
          </cell>
          <cell r="AI273">
            <v>294167</v>
          </cell>
          <cell r="AJ273">
            <v>0</v>
          </cell>
          <cell r="AK273">
            <v>294167</v>
          </cell>
          <cell r="AL273">
            <v>0</v>
          </cell>
          <cell r="AM273">
            <v>294167</v>
          </cell>
          <cell r="AN273">
            <v>0</v>
          </cell>
          <cell r="AO273">
            <v>294167</v>
          </cell>
          <cell r="AP273">
            <v>0</v>
          </cell>
          <cell r="AQ273">
            <v>294167</v>
          </cell>
          <cell r="AR273">
            <v>0</v>
          </cell>
          <cell r="AS273">
            <v>294167</v>
          </cell>
        </row>
        <row r="274">
          <cell r="G274" t="str">
            <v>10.11.45.200</v>
          </cell>
          <cell r="H274">
            <v>415974</v>
          </cell>
          <cell r="I274">
            <v>415974</v>
          </cell>
          <cell r="J274">
            <v>0</v>
          </cell>
          <cell r="K274">
            <v>415974</v>
          </cell>
          <cell r="L274">
            <v>0</v>
          </cell>
          <cell r="M274">
            <v>415974</v>
          </cell>
          <cell r="N274">
            <v>0</v>
          </cell>
          <cell r="O274">
            <v>415974</v>
          </cell>
          <cell r="P274">
            <v>0</v>
          </cell>
          <cell r="Q274">
            <v>415974</v>
          </cell>
          <cell r="R274">
            <v>0</v>
          </cell>
          <cell r="S274">
            <v>415974</v>
          </cell>
          <cell r="T274">
            <v>0</v>
          </cell>
          <cell r="U274">
            <v>415974</v>
          </cell>
          <cell r="V274">
            <v>0</v>
          </cell>
          <cell r="W274">
            <v>415974</v>
          </cell>
          <cell r="X274">
            <v>0</v>
          </cell>
          <cell r="Y274">
            <v>415974</v>
          </cell>
          <cell r="Z274">
            <v>0</v>
          </cell>
          <cell r="AA274">
            <v>415974</v>
          </cell>
          <cell r="AB274">
            <v>0</v>
          </cell>
          <cell r="AC274">
            <v>415974</v>
          </cell>
          <cell r="AD274">
            <v>0</v>
          </cell>
          <cell r="AE274">
            <v>415974</v>
          </cell>
          <cell r="AF274">
            <v>0</v>
          </cell>
          <cell r="AG274">
            <v>415974</v>
          </cell>
          <cell r="AH274">
            <v>0</v>
          </cell>
          <cell r="AI274">
            <v>415974</v>
          </cell>
          <cell r="AJ274">
            <v>0</v>
          </cell>
          <cell r="AK274">
            <v>415974</v>
          </cell>
          <cell r="AL274">
            <v>0</v>
          </cell>
          <cell r="AM274">
            <v>415974</v>
          </cell>
          <cell r="AN274">
            <v>0</v>
          </cell>
          <cell r="AO274">
            <v>415974</v>
          </cell>
          <cell r="AP274">
            <v>0</v>
          </cell>
          <cell r="AQ274">
            <v>415974</v>
          </cell>
          <cell r="AR274">
            <v>0</v>
          </cell>
          <cell r="AS274">
            <v>415974</v>
          </cell>
        </row>
        <row r="275">
          <cell r="G275" t="str">
            <v>10.10.42.203</v>
          </cell>
          <cell r="H275">
            <v>591135</v>
          </cell>
          <cell r="I275">
            <v>591135</v>
          </cell>
          <cell r="J275">
            <v>0</v>
          </cell>
          <cell r="K275">
            <v>591135</v>
          </cell>
          <cell r="L275">
            <v>0</v>
          </cell>
          <cell r="M275">
            <v>591135</v>
          </cell>
          <cell r="N275">
            <v>0</v>
          </cell>
          <cell r="O275">
            <v>591135</v>
          </cell>
          <cell r="P275">
            <v>0</v>
          </cell>
          <cell r="Q275">
            <v>591135</v>
          </cell>
          <cell r="R275">
            <v>0</v>
          </cell>
          <cell r="S275">
            <v>591135</v>
          </cell>
          <cell r="T275">
            <v>0</v>
          </cell>
          <cell r="U275">
            <v>591135</v>
          </cell>
          <cell r="V275">
            <v>0</v>
          </cell>
          <cell r="W275">
            <v>591135</v>
          </cell>
          <cell r="X275">
            <v>0</v>
          </cell>
          <cell r="Y275">
            <v>591135</v>
          </cell>
          <cell r="Z275">
            <v>0</v>
          </cell>
          <cell r="AA275">
            <v>591135</v>
          </cell>
          <cell r="AB275">
            <v>0</v>
          </cell>
          <cell r="AC275">
            <v>591135</v>
          </cell>
          <cell r="AD275">
            <v>0</v>
          </cell>
          <cell r="AE275">
            <v>591135</v>
          </cell>
          <cell r="AF275">
            <v>0</v>
          </cell>
          <cell r="AG275">
            <v>591135</v>
          </cell>
          <cell r="AH275">
            <v>0</v>
          </cell>
          <cell r="AI275">
            <v>591135</v>
          </cell>
          <cell r="AJ275">
            <v>0</v>
          </cell>
          <cell r="AK275">
            <v>591135</v>
          </cell>
          <cell r="AL275">
            <v>0</v>
          </cell>
          <cell r="AM275">
            <v>591135</v>
          </cell>
          <cell r="AN275">
            <v>0</v>
          </cell>
          <cell r="AO275">
            <v>591135</v>
          </cell>
          <cell r="AP275">
            <v>0</v>
          </cell>
          <cell r="AQ275">
            <v>591135</v>
          </cell>
          <cell r="AR275">
            <v>0</v>
          </cell>
          <cell r="AS275">
            <v>591135</v>
          </cell>
        </row>
        <row r="276">
          <cell r="G276" t="str">
            <v>10.11.28.201</v>
          </cell>
          <cell r="H276">
            <v>474354</v>
          </cell>
          <cell r="I276">
            <v>474354</v>
          </cell>
          <cell r="J276">
            <v>0</v>
          </cell>
          <cell r="K276">
            <v>474354</v>
          </cell>
          <cell r="L276">
            <v>0</v>
          </cell>
          <cell r="M276">
            <v>474354</v>
          </cell>
          <cell r="N276">
            <v>0</v>
          </cell>
          <cell r="O276">
            <v>474354</v>
          </cell>
          <cell r="P276">
            <v>0</v>
          </cell>
          <cell r="Q276">
            <v>474354</v>
          </cell>
          <cell r="R276">
            <v>0</v>
          </cell>
          <cell r="S276">
            <v>474354</v>
          </cell>
          <cell r="T276">
            <v>0</v>
          </cell>
          <cell r="U276">
            <v>474354</v>
          </cell>
          <cell r="V276">
            <v>0</v>
          </cell>
          <cell r="W276">
            <v>474354</v>
          </cell>
          <cell r="X276">
            <v>0</v>
          </cell>
          <cell r="Y276">
            <v>474354</v>
          </cell>
          <cell r="Z276">
            <v>0</v>
          </cell>
          <cell r="AA276">
            <v>474354</v>
          </cell>
          <cell r="AB276">
            <v>0</v>
          </cell>
          <cell r="AC276">
            <v>474354</v>
          </cell>
          <cell r="AD276">
            <v>0</v>
          </cell>
          <cell r="AE276">
            <v>474354</v>
          </cell>
          <cell r="AF276">
            <v>0</v>
          </cell>
          <cell r="AG276">
            <v>474354</v>
          </cell>
          <cell r="AH276">
            <v>0</v>
          </cell>
          <cell r="AI276">
            <v>474354</v>
          </cell>
          <cell r="AJ276">
            <v>0</v>
          </cell>
          <cell r="AK276">
            <v>474354</v>
          </cell>
          <cell r="AL276">
            <v>0</v>
          </cell>
          <cell r="AM276">
            <v>474354</v>
          </cell>
          <cell r="AN276">
            <v>0</v>
          </cell>
          <cell r="AO276">
            <v>474354</v>
          </cell>
          <cell r="AP276">
            <v>0</v>
          </cell>
          <cell r="AQ276">
            <v>474354</v>
          </cell>
          <cell r="AR276">
            <v>0</v>
          </cell>
          <cell r="AS276">
            <v>474354</v>
          </cell>
        </row>
        <row r="277">
          <cell r="G277" t="str">
            <v>10.11.13.201</v>
          </cell>
          <cell r="H277">
            <v>666565</v>
          </cell>
          <cell r="I277">
            <v>666565</v>
          </cell>
          <cell r="J277">
            <v>0</v>
          </cell>
          <cell r="K277">
            <v>666565</v>
          </cell>
          <cell r="L277">
            <v>0</v>
          </cell>
          <cell r="M277">
            <v>666565</v>
          </cell>
          <cell r="N277">
            <v>0</v>
          </cell>
          <cell r="O277">
            <v>666565</v>
          </cell>
          <cell r="P277">
            <v>0</v>
          </cell>
          <cell r="Q277">
            <v>666565</v>
          </cell>
          <cell r="R277">
            <v>0</v>
          </cell>
          <cell r="S277">
            <v>666565</v>
          </cell>
          <cell r="T277">
            <v>0</v>
          </cell>
          <cell r="U277">
            <v>666565</v>
          </cell>
          <cell r="V277">
            <v>0</v>
          </cell>
          <cell r="W277">
            <v>666565</v>
          </cell>
          <cell r="X277">
            <v>0</v>
          </cell>
          <cell r="Y277">
            <v>666565</v>
          </cell>
          <cell r="Z277">
            <v>0</v>
          </cell>
          <cell r="AA277">
            <v>666565</v>
          </cell>
          <cell r="AB277">
            <v>0</v>
          </cell>
          <cell r="AC277">
            <v>666565</v>
          </cell>
          <cell r="AD277">
            <v>0</v>
          </cell>
          <cell r="AE277">
            <v>666565</v>
          </cell>
          <cell r="AF277">
            <v>0</v>
          </cell>
          <cell r="AG277">
            <v>666565</v>
          </cell>
          <cell r="AH277">
            <v>0</v>
          </cell>
          <cell r="AI277">
            <v>666565</v>
          </cell>
          <cell r="AJ277">
            <v>0</v>
          </cell>
          <cell r="AK277">
            <v>666565</v>
          </cell>
          <cell r="AL277">
            <v>0</v>
          </cell>
          <cell r="AM277">
            <v>666565</v>
          </cell>
          <cell r="AN277">
            <v>0</v>
          </cell>
          <cell r="AO277">
            <v>666565</v>
          </cell>
          <cell r="AP277">
            <v>0</v>
          </cell>
          <cell r="AQ277">
            <v>666565</v>
          </cell>
          <cell r="AR277">
            <v>0</v>
          </cell>
          <cell r="AS277">
            <v>666565</v>
          </cell>
        </row>
        <row r="278">
          <cell r="G278" t="str">
            <v>10.10.100.208</v>
          </cell>
          <cell r="H278">
            <v>339739</v>
          </cell>
          <cell r="I278">
            <v>339739</v>
          </cell>
          <cell r="J278">
            <v>0</v>
          </cell>
          <cell r="K278">
            <v>339739</v>
          </cell>
          <cell r="L278">
            <v>0</v>
          </cell>
          <cell r="M278">
            <v>339739</v>
          </cell>
          <cell r="N278">
            <v>0</v>
          </cell>
          <cell r="O278">
            <v>339739</v>
          </cell>
          <cell r="P278">
            <v>0</v>
          </cell>
          <cell r="Q278">
            <v>339739</v>
          </cell>
          <cell r="R278">
            <v>0</v>
          </cell>
          <cell r="S278">
            <v>339739</v>
          </cell>
          <cell r="T278">
            <v>0</v>
          </cell>
          <cell r="U278">
            <v>339739</v>
          </cell>
          <cell r="V278">
            <v>0</v>
          </cell>
          <cell r="W278">
            <v>339739</v>
          </cell>
          <cell r="X278">
            <v>0</v>
          </cell>
          <cell r="Y278">
            <v>339739</v>
          </cell>
          <cell r="Z278">
            <v>0</v>
          </cell>
          <cell r="AA278">
            <v>339739</v>
          </cell>
          <cell r="AB278">
            <v>0</v>
          </cell>
          <cell r="AC278">
            <v>339739</v>
          </cell>
          <cell r="AD278">
            <v>0</v>
          </cell>
          <cell r="AE278">
            <v>339739</v>
          </cell>
          <cell r="AF278">
            <v>0</v>
          </cell>
          <cell r="AG278">
            <v>339739</v>
          </cell>
          <cell r="AH278">
            <v>0</v>
          </cell>
          <cell r="AI278">
            <v>339739</v>
          </cell>
          <cell r="AJ278">
            <v>0</v>
          </cell>
          <cell r="AK278">
            <v>339739</v>
          </cell>
          <cell r="AL278">
            <v>0</v>
          </cell>
          <cell r="AM278">
            <v>339739</v>
          </cell>
          <cell r="AN278">
            <v>0</v>
          </cell>
          <cell r="AO278">
            <v>339739</v>
          </cell>
          <cell r="AP278">
            <v>0</v>
          </cell>
          <cell r="AQ278">
            <v>339739</v>
          </cell>
          <cell r="AR278">
            <v>0</v>
          </cell>
          <cell r="AS278">
            <v>339739</v>
          </cell>
        </row>
        <row r="279">
          <cell r="G279" t="str">
            <v>10.11.73.202</v>
          </cell>
          <cell r="H279">
            <v>566260</v>
          </cell>
          <cell r="I279">
            <v>566260</v>
          </cell>
          <cell r="J279">
            <v>0</v>
          </cell>
          <cell r="K279">
            <v>566260</v>
          </cell>
          <cell r="L279">
            <v>0</v>
          </cell>
          <cell r="M279">
            <v>566260</v>
          </cell>
          <cell r="N279">
            <v>0</v>
          </cell>
          <cell r="O279">
            <v>566260</v>
          </cell>
          <cell r="P279">
            <v>0</v>
          </cell>
          <cell r="Q279">
            <v>566260</v>
          </cell>
          <cell r="R279">
            <v>0</v>
          </cell>
          <cell r="S279">
            <v>566260</v>
          </cell>
          <cell r="T279">
            <v>0</v>
          </cell>
          <cell r="U279">
            <v>566260</v>
          </cell>
          <cell r="V279">
            <v>0</v>
          </cell>
          <cell r="W279">
            <v>566260</v>
          </cell>
          <cell r="X279">
            <v>0</v>
          </cell>
          <cell r="Y279">
            <v>566260</v>
          </cell>
          <cell r="Z279">
            <v>0</v>
          </cell>
          <cell r="AA279">
            <v>566260</v>
          </cell>
          <cell r="AB279">
            <v>0</v>
          </cell>
          <cell r="AC279">
            <v>566260</v>
          </cell>
          <cell r="AD279">
            <v>0</v>
          </cell>
          <cell r="AE279">
            <v>566260</v>
          </cell>
          <cell r="AF279">
            <v>0</v>
          </cell>
          <cell r="AG279">
            <v>566260</v>
          </cell>
          <cell r="AH279">
            <v>0</v>
          </cell>
          <cell r="AI279">
            <v>566260</v>
          </cell>
          <cell r="AJ279">
            <v>0</v>
          </cell>
          <cell r="AK279">
            <v>566260</v>
          </cell>
          <cell r="AL279">
            <v>0</v>
          </cell>
          <cell r="AM279">
            <v>566260</v>
          </cell>
          <cell r="AN279">
            <v>0</v>
          </cell>
          <cell r="AO279">
            <v>566260</v>
          </cell>
          <cell r="AP279">
            <v>0</v>
          </cell>
          <cell r="AQ279">
            <v>566260</v>
          </cell>
          <cell r="AR279">
            <v>0</v>
          </cell>
          <cell r="AS279">
            <v>566260</v>
          </cell>
        </row>
        <row r="280">
          <cell r="G280" t="str">
            <v>10.10.100.202</v>
          </cell>
          <cell r="H280">
            <v>579739</v>
          </cell>
          <cell r="I280">
            <v>579739</v>
          </cell>
          <cell r="J280">
            <v>0</v>
          </cell>
          <cell r="K280">
            <v>579739</v>
          </cell>
          <cell r="L280">
            <v>0</v>
          </cell>
          <cell r="M280">
            <v>579739</v>
          </cell>
          <cell r="N280">
            <v>0</v>
          </cell>
          <cell r="O280">
            <v>579739</v>
          </cell>
          <cell r="P280">
            <v>0</v>
          </cell>
          <cell r="Q280">
            <v>579739</v>
          </cell>
          <cell r="R280">
            <v>0</v>
          </cell>
          <cell r="S280">
            <v>579739</v>
          </cell>
          <cell r="T280">
            <v>0</v>
          </cell>
          <cell r="U280">
            <v>579739</v>
          </cell>
          <cell r="V280">
            <v>0</v>
          </cell>
          <cell r="W280">
            <v>579739</v>
          </cell>
          <cell r="X280">
            <v>0</v>
          </cell>
          <cell r="Y280">
            <v>579739</v>
          </cell>
          <cell r="Z280">
            <v>0</v>
          </cell>
          <cell r="AA280">
            <v>579739</v>
          </cell>
          <cell r="AB280">
            <v>0</v>
          </cell>
          <cell r="AC280">
            <v>579739</v>
          </cell>
          <cell r="AD280">
            <v>0</v>
          </cell>
          <cell r="AE280">
            <v>579739</v>
          </cell>
          <cell r="AF280">
            <v>0</v>
          </cell>
          <cell r="AG280">
            <v>579739</v>
          </cell>
          <cell r="AH280">
            <v>0</v>
          </cell>
          <cell r="AI280">
            <v>579739</v>
          </cell>
          <cell r="AJ280">
            <v>0</v>
          </cell>
          <cell r="AK280">
            <v>579739</v>
          </cell>
          <cell r="AL280">
            <v>0</v>
          </cell>
          <cell r="AM280">
            <v>579739</v>
          </cell>
          <cell r="AN280">
            <v>0</v>
          </cell>
          <cell r="AO280">
            <v>579739</v>
          </cell>
          <cell r="AP280">
            <v>0</v>
          </cell>
          <cell r="AQ280">
            <v>579739</v>
          </cell>
          <cell r="AR280">
            <v>0</v>
          </cell>
          <cell r="AS280">
            <v>579739</v>
          </cell>
        </row>
        <row r="281">
          <cell r="G281" t="str">
            <v>10.14.87.201</v>
          </cell>
          <cell r="H281">
            <v>685922</v>
          </cell>
          <cell r="I281">
            <v>685922</v>
          </cell>
          <cell r="J281">
            <v>0</v>
          </cell>
          <cell r="K281">
            <v>685922</v>
          </cell>
          <cell r="L281">
            <v>0</v>
          </cell>
          <cell r="M281">
            <v>685922</v>
          </cell>
          <cell r="N281">
            <v>0</v>
          </cell>
          <cell r="O281">
            <v>685922</v>
          </cell>
          <cell r="P281">
            <v>0</v>
          </cell>
          <cell r="Q281">
            <v>685922</v>
          </cell>
          <cell r="R281">
            <v>0</v>
          </cell>
          <cell r="S281">
            <v>685922</v>
          </cell>
          <cell r="T281">
            <v>0</v>
          </cell>
          <cell r="U281">
            <v>685922</v>
          </cell>
          <cell r="V281">
            <v>0</v>
          </cell>
          <cell r="W281">
            <v>685922</v>
          </cell>
          <cell r="X281">
            <v>0</v>
          </cell>
          <cell r="Y281">
            <v>685922</v>
          </cell>
          <cell r="Z281">
            <v>0</v>
          </cell>
          <cell r="AA281">
            <v>685922</v>
          </cell>
          <cell r="AB281">
            <v>0</v>
          </cell>
          <cell r="AC281">
            <v>685922</v>
          </cell>
          <cell r="AD281">
            <v>0</v>
          </cell>
          <cell r="AE281">
            <v>685922</v>
          </cell>
          <cell r="AF281">
            <v>0</v>
          </cell>
          <cell r="AG281">
            <v>685922</v>
          </cell>
          <cell r="AH281">
            <v>0</v>
          </cell>
          <cell r="AI281">
            <v>685922</v>
          </cell>
          <cell r="AJ281">
            <v>0</v>
          </cell>
          <cell r="AK281">
            <v>685922</v>
          </cell>
          <cell r="AL281">
            <v>0</v>
          </cell>
          <cell r="AM281">
            <v>685922</v>
          </cell>
          <cell r="AN281">
            <v>0</v>
          </cell>
          <cell r="AO281">
            <v>685922</v>
          </cell>
          <cell r="AP281">
            <v>0</v>
          </cell>
          <cell r="AQ281">
            <v>685922</v>
          </cell>
          <cell r="AR281">
            <v>0</v>
          </cell>
          <cell r="AS281">
            <v>685922</v>
          </cell>
        </row>
        <row r="282">
          <cell r="G282" t="str">
            <v>10.14.85.200</v>
          </cell>
          <cell r="H282">
            <v>357504</v>
          </cell>
          <cell r="I282">
            <v>357504</v>
          </cell>
          <cell r="J282">
            <v>0</v>
          </cell>
          <cell r="K282">
            <v>357504</v>
          </cell>
          <cell r="L282">
            <v>0</v>
          </cell>
          <cell r="M282">
            <v>357504</v>
          </cell>
          <cell r="N282">
            <v>0</v>
          </cell>
          <cell r="O282">
            <v>357504</v>
          </cell>
          <cell r="P282">
            <v>0</v>
          </cell>
          <cell r="Q282">
            <v>357504</v>
          </cell>
          <cell r="R282">
            <v>0</v>
          </cell>
          <cell r="S282">
            <v>357504</v>
          </cell>
          <cell r="T282">
            <v>0</v>
          </cell>
          <cell r="U282">
            <v>357504</v>
          </cell>
          <cell r="V282">
            <v>0</v>
          </cell>
          <cell r="W282">
            <v>357504</v>
          </cell>
          <cell r="X282">
            <v>0</v>
          </cell>
          <cell r="Y282">
            <v>357504</v>
          </cell>
          <cell r="Z282">
            <v>0</v>
          </cell>
          <cell r="AA282">
            <v>357504</v>
          </cell>
          <cell r="AB282">
            <v>0</v>
          </cell>
          <cell r="AC282">
            <v>357504</v>
          </cell>
          <cell r="AD282">
            <v>0</v>
          </cell>
          <cell r="AE282">
            <v>357504</v>
          </cell>
          <cell r="AF282">
            <v>0</v>
          </cell>
          <cell r="AG282">
            <v>357504</v>
          </cell>
          <cell r="AH282">
            <v>0</v>
          </cell>
          <cell r="AI282">
            <v>357504</v>
          </cell>
          <cell r="AJ282">
            <v>0</v>
          </cell>
          <cell r="AK282">
            <v>357504</v>
          </cell>
          <cell r="AL282">
            <v>0</v>
          </cell>
          <cell r="AM282">
            <v>357504</v>
          </cell>
          <cell r="AN282">
            <v>0</v>
          </cell>
          <cell r="AO282">
            <v>357504</v>
          </cell>
          <cell r="AP282">
            <v>0</v>
          </cell>
          <cell r="AQ282">
            <v>357504</v>
          </cell>
          <cell r="AR282">
            <v>0</v>
          </cell>
          <cell r="AS282">
            <v>357504</v>
          </cell>
        </row>
        <row r="283">
          <cell r="G283" t="str">
            <v>10.14.21.200</v>
          </cell>
          <cell r="H283">
            <v>413411</v>
          </cell>
          <cell r="I283">
            <v>413411</v>
          </cell>
          <cell r="J283">
            <v>0</v>
          </cell>
          <cell r="K283">
            <v>413411</v>
          </cell>
          <cell r="L283">
            <v>0</v>
          </cell>
          <cell r="M283">
            <v>413411</v>
          </cell>
          <cell r="N283">
            <v>0</v>
          </cell>
          <cell r="O283">
            <v>413411</v>
          </cell>
          <cell r="P283">
            <v>0</v>
          </cell>
          <cell r="Q283">
            <v>413411</v>
          </cell>
          <cell r="R283">
            <v>0</v>
          </cell>
          <cell r="S283">
            <v>413411</v>
          </cell>
          <cell r="T283">
            <v>0</v>
          </cell>
          <cell r="U283">
            <v>413411</v>
          </cell>
          <cell r="V283">
            <v>0</v>
          </cell>
          <cell r="W283">
            <v>413411</v>
          </cell>
          <cell r="X283">
            <v>0</v>
          </cell>
          <cell r="Y283">
            <v>413411</v>
          </cell>
          <cell r="Z283">
            <v>0</v>
          </cell>
          <cell r="AA283">
            <v>413411</v>
          </cell>
          <cell r="AB283">
            <v>0</v>
          </cell>
          <cell r="AC283">
            <v>413411</v>
          </cell>
          <cell r="AD283">
            <v>0</v>
          </cell>
          <cell r="AE283">
            <v>413411</v>
          </cell>
          <cell r="AF283">
            <v>0</v>
          </cell>
          <cell r="AG283">
            <v>413411</v>
          </cell>
          <cell r="AH283">
            <v>0</v>
          </cell>
          <cell r="AI283">
            <v>413411</v>
          </cell>
          <cell r="AJ283">
            <v>0</v>
          </cell>
          <cell r="AK283">
            <v>413411</v>
          </cell>
          <cell r="AL283">
            <v>0</v>
          </cell>
          <cell r="AM283">
            <v>413411</v>
          </cell>
          <cell r="AN283">
            <v>0</v>
          </cell>
          <cell r="AO283">
            <v>413411</v>
          </cell>
          <cell r="AP283">
            <v>0</v>
          </cell>
          <cell r="AQ283">
            <v>413411</v>
          </cell>
          <cell r="AR283">
            <v>0</v>
          </cell>
          <cell r="AS283">
            <v>413411</v>
          </cell>
        </row>
        <row r="284">
          <cell r="G284" t="str">
            <v>10.10.160.203</v>
          </cell>
          <cell r="H284">
            <v>515512</v>
          </cell>
          <cell r="I284">
            <v>515512</v>
          </cell>
          <cell r="J284">
            <v>0</v>
          </cell>
          <cell r="K284">
            <v>515512</v>
          </cell>
          <cell r="L284">
            <v>0</v>
          </cell>
          <cell r="M284">
            <v>515512</v>
          </cell>
          <cell r="N284">
            <v>0</v>
          </cell>
          <cell r="O284">
            <v>515512</v>
          </cell>
          <cell r="P284">
            <v>0</v>
          </cell>
          <cell r="Q284">
            <v>515512</v>
          </cell>
          <cell r="R284">
            <v>0</v>
          </cell>
          <cell r="S284">
            <v>515512</v>
          </cell>
          <cell r="T284">
            <v>0</v>
          </cell>
          <cell r="U284">
            <v>515512</v>
          </cell>
          <cell r="V284">
            <v>0</v>
          </cell>
          <cell r="W284">
            <v>515512</v>
          </cell>
          <cell r="X284">
            <v>0</v>
          </cell>
          <cell r="Y284">
            <v>515512</v>
          </cell>
          <cell r="Z284">
            <v>0</v>
          </cell>
          <cell r="AA284">
            <v>515512</v>
          </cell>
          <cell r="AB284">
            <v>0</v>
          </cell>
          <cell r="AC284">
            <v>515512</v>
          </cell>
          <cell r="AD284">
            <v>0</v>
          </cell>
          <cell r="AE284">
            <v>515512</v>
          </cell>
          <cell r="AF284">
            <v>0</v>
          </cell>
          <cell r="AG284">
            <v>515512</v>
          </cell>
          <cell r="AH284">
            <v>0</v>
          </cell>
          <cell r="AI284">
            <v>515512</v>
          </cell>
          <cell r="AJ284">
            <v>0</v>
          </cell>
          <cell r="AK284">
            <v>515512</v>
          </cell>
          <cell r="AL284">
            <v>0</v>
          </cell>
          <cell r="AM284">
            <v>515512</v>
          </cell>
          <cell r="AN284">
            <v>0</v>
          </cell>
          <cell r="AO284">
            <v>515512</v>
          </cell>
          <cell r="AP284">
            <v>0</v>
          </cell>
          <cell r="AQ284">
            <v>515512</v>
          </cell>
          <cell r="AR284">
            <v>0</v>
          </cell>
          <cell r="AS284">
            <v>515512</v>
          </cell>
        </row>
        <row r="285">
          <cell r="H285">
            <v>548924</v>
          </cell>
          <cell r="I285">
            <v>548924</v>
          </cell>
          <cell r="J285">
            <v>0</v>
          </cell>
          <cell r="K285">
            <v>548924</v>
          </cell>
          <cell r="L285">
            <v>0</v>
          </cell>
          <cell r="M285">
            <v>548924</v>
          </cell>
          <cell r="N285">
            <v>0</v>
          </cell>
          <cell r="O285">
            <v>548924</v>
          </cell>
          <cell r="P285">
            <v>0</v>
          </cell>
          <cell r="Q285">
            <v>548924</v>
          </cell>
          <cell r="R285">
            <v>0</v>
          </cell>
          <cell r="S285">
            <v>548924</v>
          </cell>
          <cell r="T285">
            <v>0</v>
          </cell>
          <cell r="U285">
            <v>548924</v>
          </cell>
          <cell r="V285">
            <v>0</v>
          </cell>
          <cell r="W285">
            <v>548924</v>
          </cell>
          <cell r="X285">
            <v>0</v>
          </cell>
          <cell r="Y285">
            <v>548924</v>
          </cell>
          <cell r="Z285">
            <v>0</v>
          </cell>
          <cell r="AA285">
            <v>548924</v>
          </cell>
          <cell r="AB285">
            <v>0</v>
          </cell>
          <cell r="AC285">
            <v>548924</v>
          </cell>
          <cell r="AD285">
            <v>0</v>
          </cell>
          <cell r="AE285">
            <v>548924</v>
          </cell>
          <cell r="AF285">
            <v>0</v>
          </cell>
          <cell r="AG285">
            <v>548924</v>
          </cell>
          <cell r="AH285">
            <v>0</v>
          </cell>
          <cell r="AI285">
            <v>548924</v>
          </cell>
          <cell r="AJ285">
            <v>0</v>
          </cell>
          <cell r="AK285">
            <v>548924</v>
          </cell>
          <cell r="AL285">
            <v>0</v>
          </cell>
          <cell r="AM285">
            <v>548924</v>
          </cell>
          <cell r="AN285">
            <v>0</v>
          </cell>
          <cell r="AO285">
            <v>548924</v>
          </cell>
          <cell r="AP285">
            <v>0</v>
          </cell>
          <cell r="AQ285">
            <v>548924</v>
          </cell>
          <cell r="AR285">
            <v>0</v>
          </cell>
          <cell r="AS285">
            <v>548924</v>
          </cell>
        </row>
        <row r="286">
          <cell r="G286" t="str">
            <v>10.10.50.200</v>
          </cell>
          <cell r="H286">
            <v>326399</v>
          </cell>
          <cell r="I286">
            <v>326399</v>
          </cell>
          <cell r="J286">
            <v>0</v>
          </cell>
          <cell r="K286">
            <v>326399</v>
          </cell>
          <cell r="L286">
            <v>0</v>
          </cell>
          <cell r="M286">
            <v>326399</v>
          </cell>
          <cell r="N286">
            <v>0</v>
          </cell>
          <cell r="O286">
            <v>326399</v>
          </cell>
          <cell r="P286">
            <v>0</v>
          </cell>
          <cell r="Q286">
            <v>326399</v>
          </cell>
          <cell r="R286">
            <v>0</v>
          </cell>
          <cell r="S286">
            <v>326399</v>
          </cell>
          <cell r="T286">
            <v>0</v>
          </cell>
          <cell r="U286">
            <v>326399</v>
          </cell>
          <cell r="V286">
            <v>0</v>
          </cell>
          <cell r="W286">
            <v>326399</v>
          </cell>
          <cell r="X286">
            <v>0</v>
          </cell>
          <cell r="Y286">
            <v>326399</v>
          </cell>
          <cell r="Z286">
            <v>0</v>
          </cell>
          <cell r="AA286">
            <v>326399</v>
          </cell>
          <cell r="AB286">
            <v>0</v>
          </cell>
          <cell r="AC286">
            <v>326399</v>
          </cell>
          <cell r="AD286">
            <v>0</v>
          </cell>
          <cell r="AE286">
            <v>326399</v>
          </cell>
          <cell r="AF286">
            <v>0</v>
          </cell>
          <cell r="AG286">
            <v>326399</v>
          </cell>
          <cell r="AH286">
            <v>0</v>
          </cell>
          <cell r="AI286">
            <v>326399</v>
          </cell>
          <cell r="AJ286">
            <v>0</v>
          </cell>
          <cell r="AK286">
            <v>326399</v>
          </cell>
          <cell r="AL286">
            <v>0</v>
          </cell>
          <cell r="AM286">
            <v>326399</v>
          </cell>
          <cell r="AN286">
            <v>0</v>
          </cell>
          <cell r="AO286">
            <v>326399</v>
          </cell>
          <cell r="AP286">
            <v>0</v>
          </cell>
          <cell r="AQ286">
            <v>326399</v>
          </cell>
          <cell r="AR286">
            <v>0</v>
          </cell>
          <cell r="AS286">
            <v>326399</v>
          </cell>
        </row>
        <row r="287">
          <cell r="G287" t="str">
            <v>10.11.17.208</v>
          </cell>
          <cell r="H287">
            <v>405747</v>
          </cell>
          <cell r="I287">
            <v>405747</v>
          </cell>
          <cell r="J287">
            <v>0</v>
          </cell>
          <cell r="K287">
            <v>405747</v>
          </cell>
          <cell r="L287">
            <v>0</v>
          </cell>
          <cell r="M287">
            <v>405747</v>
          </cell>
          <cell r="N287">
            <v>0</v>
          </cell>
          <cell r="O287">
            <v>405747</v>
          </cell>
          <cell r="P287">
            <v>0</v>
          </cell>
          <cell r="Q287">
            <v>405747</v>
          </cell>
          <cell r="R287">
            <v>0</v>
          </cell>
          <cell r="S287">
            <v>405747</v>
          </cell>
          <cell r="T287">
            <v>0</v>
          </cell>
          <cell r="U287">
            <v>405747</v>
          </cell>
          <cell r="V287">
            <v>0</v>
          </cell>
          <cell r="W287">
            <v>405747</v>
          </cell>
          <cell r="X287">
            <v>0</v>
          </cell>
          <cell r="Y287">
            <v>405747</v>
          </cell>
          <cell r="Z287">
            <v>0</v>
          </cell>
          <cell r="AA287">
            <v>405747</v>
          </cell>
          <cell r="AB287">
            <v>0</v>
          </cell>
          <cell r="AC287">
            <v>405747</v>
          </cell>
          <cell r="AD287">
            <v>0</v>
          </cell>
          <cell r="AE287">
            <v>405747</v>
          </cell>
          <cell r="AF287">
            <v>0</v>
          </cell>
          <cell r="AG287">
            <v>405747</v>
          </cell>
          <cell r="AH287">
            <v>0</v>
          </cell>
          <cell r="AI287">
            <v>405747</v>
          </cell>
          <cell r="AJ287">
            <v>0</v>
          </cell>
          <cell r="AK287">
            <v>405747</v>
          </cell>
          <cell r="AL287">
            <v>0</v>
          </cell>
          <cell r="AM287">
            <v>405747</v>
          </cell>
          <cell r="AN287">
            <v>0</v>
          </cell>
          <cell r="AO287">
            <v>405747</v>
          </cell>
          <cell r="AP287">
            <v>0</v>
          </cell>
          <cell r="AQ287">
            <v>405747</v>
          </cell>
          <cell r="AR287">
            <v>0</v>
          </cell>
          <cell r="AS287">
            <v>405747</v>
          </cell>
        </row>
        <row r="288">
          <cell r="H288">
            <v>679613</v>
          </cell>
          <cell r="I288">
            <v>679613</v>
          </cell>
          <cell r="J288">
            <v>0</v>
          </cell>
          <cell r="K288">
            <v>679613</v>
          </cell>
          <cell r="L288">
            <v>0</v>
          </cell>
          <cell r="M288">
            <v>679613</v>
          </cell>
          <cell r="N288">
            <v>0</v>
          </cell>
          <cell r="O288">
            <v>679613</v>
          </cell>
          <cell r="P288">
            <v>0</v>
          </cell>
          <cell r="Q288">
            <v>679613</v>
          </cell>
          <cell r="R288">
            <v>0</v>
          </cell>
          <cell r="S288">
            <v>679613</v>
          </cell>
          <cell r="T288">
            <v>0</v>
          </cell>
          <cell r="U288">
            <v>679613</v>
          </cell>
          <cell r="V288">
            <v>0</v>
          </cell>
          <cell r="W288">
            <v>679613</v>
          </cell>
          <cell r="X288">
            <v>0</v>
          </cell>
          <cell r="Y288">
            <v>679613</v>
          </cell>
          <cell r="Z288">
            <v>0</v>
          </cell>
          <cell r="AA288">
            <v>679613</v>
          </cell>
          <cell r="AB288">
            <v>0</v>
          </cell>
          <cell r="AC288">
            <v>679613</v>
          </cell>
          <cell r="AD288">
            <v>0</v>
          </cell>
          <cell r="AE288">
            <v>679613</v>
          </cell>
          <cell r="AF288">
            <v>0</v>
          </cell>
          <cell r="AG288">
            <v>679613</v>
          </cell>
          <cell r="AH288">
            <v>0</v>
          </cell>
          <cell r="AI288">
            <v>679613</v>
          </cell>
          <cell r="AJ288">
            <v>0</v>
          </cell>
          <cell r="AK288">
            <v>679613</v>
          </cell>
          <cell r="AL288">
            <v>0</v>
          </cell>
          <cell r="AM288">
            <v>679613</v>
          </cell>
          <cell r="AN288">
            <v>0</v>
          </cell>
          <cell r="AO288">
            <v>679613</v>
          </cell>
          <cell r="AP288">
            <v>0</v>
          </cell>
          <cell r="AQ288">
            <v>679613</v>
          </cell>
          <cell r="AR288">
            <v>0</v>
          </cell>
          <cell r="AS288">
            <v>679613</v>
          </cell>
        </row>
        <row r="289">
          <cell r="G289" t="str">
            <v>10.10.145.200</v>
          </cell>
          <cell r="H289">
            <v>497108</v>
          </cell>
          <cell r="I289">
            <v>497108</v>
          </cell>
          <cell r="J289">
            <v>0</v>
          </cell>
          <cell r="K289">
            <v>497108</v>
          </cell>
          <cell r="L289">
            <v>0</v>
          </cell>
          <cell r="M289">
            <v>497108</v>
          </cell>
          <cell r="N289">
            <v>0</v>
          </cell>
          <cell r="O289">
            <v>497108</v>
          </cell>
          <cell r="P289">
            <v>0</v>
          </cell>
          <cell r="Q289">
            <v>497108</v>
          </cell>
          <cell r="R289">
            <v>0</v>
          </cell>
          <cell r="S289">
            <v>497108</v>
          </cell>
          <cell r="T289">
            <v>0</v>
          </cell>
          <cell r="U289">
            <v>497108</v>
          </cell>
          <cell r="V289">
            <v>0</v>
          </cell>
          <cell r="W289">
            <v>497108</v>
          </cell>
          <cell r="X289">
            <v>0</v>
          </cell>
          <cell r="Y289">
            <v>497108</v>
          </cell>
          <cell r="Z289">
            <v>0</v>
          </cell>
          <cell r="AA289">
            <v>497108</v>
          </cell>
          <cell r="AB289">
            <v>0</v>
          </cell>
          <cell r="AC289">
            <v>497108</v>
          </cell>
          <cell r="AD289">
            <v>0</v>
          </cell>
          <cell r="AE289">
            <v>497108</v>
          </cell>
          <cell r="AF289">
            <v>0</v>
          </cell>
          <cell r="AG289">
            <v>497108</v>
          </cell>
          <cell r="AH289">
            <v>0</v>
          </cell>
          <cell r="AI289">
            <v>497108</v>
          </cell>
          <cell r="AJ289">
            <v>0</v>
          </cell>
          <cell r="AK289">
            <v>497108</v>
          </cell>
          <cell r="AL289">
            <v>0</v>
          </cell>
          <cell r="AM289">
            <v>497108</v>
          </cell>
          <cell r="AN289">
            <v>0</v>
          </cell>
          <cell r="AO289">
            <v>497108</v>
          </cell>
          <cell r="AP289">
            <v>0</v>
          </cell>
          <cell r="AQ289">
            <v>497108</v>
          </cell>
          <cell r="AR289">
            <v>0</v>
          </cell>
          <cell r="AS289">
            <v>497108</v>
          </cell>
        </row>
        <row r="290">
          <cell r="G290" t="str">
            <v>10.10.246.200</v>
          </cell>
          <cell r="H290">
            <v>697706</v>
          </cell>
          <cell r="I290">
            <v>697706</v>
          </cell>
          <cell r="J290">
            <v>0</v>
          </cell>
          <cell r="K290">
            <v>697706</v>
          </cell>
          <cell r="L290">
            <v>0</v>
          </cell>
          <cell r="M290">
            <v>697706</v>
          </cell>
          <cell r="N290">
            <v>0</v>
          </cell>
          <cell r="O290">
            <v>697706</v>
          </cell>
          <cell r="P290">
            <v>0</v>
          </cell>
          <cell r="Q290">
            <v>697706</v>
          </cell>
          <cell r="R290">
            <v>0</v>
          </cell>
          <cell r="S290">
            <v>697706</v>
          </cell>
          <cell r="T290">
            <v>0</v>
          </cell>
          <cell r="U290">
            <v>697706</v>
          </cell>
          <cell r="V290">
            <v>0</v>
          </cell>
          <cell r="W290">
            <v>697706</v>
          </cell>
          <cell r="X290">
            <v>0</v>
          </cell>
          <cell r="Y290">
            <v>697706</v>
          </cell>
          <cell r="Z290">
            <v>0</v>
          </cell>
          <cell r="AA290">
            <v>697706</v>
          </cell>
          <cell r="AB290">
            <v>0</v>
          </cell>
          <cell r="AC290">
            <v>697706</v>
          </cell>
          <cell r="AD290">
            <v>0</v>
          </cell>
          <cell r="AE290">
            <v>697706</v>
          </cell>
          <cell r="AF290">
            <v>0</v>
          </cell>
          <cell r="AG290">
            <v>697706</v>
          </cell>
          <cell r="AH290">
            <v>0</v>
          </cell>
          <cell r="AI290">
            <v>697706</v>
          </cell>
          <cell r="AJ290">
            <v>0</v>
          </cell>
          <cell r="AK290">
            <v>697706</v>
          </cell>
          <cell r="AL290">
            <v>0</v>
          </cell>
          <cell r="AM290">
            <v>697706</v>
          </cell>
          <cell r="AN290">
            <v>0</v>
          </cell>
          <cell r="AO290">
            <v>697706</v>
          </cell>
          <cell r="AP290">
            <v>0</v>
          </cell>
          <cell r="AQ290">
            <v>697706</v>
          </cell>
          <cell r="AR290">
            <v>0</v>
          </cell>
          <cell r="AS290">
            <v>697706</v>
          </cell>
        </row>
        <row r="291">
          <cell r="G291" t="str">
            <v>10.10.52.201</v>
          </cell>
          <cell r="H291">
            <v>503742</v>
          </cell>
          <cell r="I291">
            <v>503742</v>
          </cell>
          <cell r="J291">
            <v>0</v>
          </cell>
          <cell r="K291">
            <v>503742</v>
          </cell>
          <cell r="L291">
            <v>0</v>
          </cell>
          <cell r="M291">
            <v>503742</v>
          </cell>
          <cell r="N291">
            <v>0</v>
          </cell>
          <cell r="O291">
            <v>503742</v>
          </cell>
          <cell r="P291">
            <v>0</v>
          </cell>
          <cell r="Q291">
            <v>503742</v>
          </cell>
          <cell r="R291">
            <v>0</v>
          </cell>
          <cell r="S291">
            <v>503742</v>
          </cell>
          <cell r="T291">
            <v>0</v>
          </cell>
          <cell r="U291">
            <v>503742</v>
          </cell>
          <cell r="V291">
            <v>0</v>
          </cell>
          <cell r="W291">
            <v>503742</v>
          </cell>
          <cell r="X291">
            <v>0</v>
          </cell>
          <cell r="Y291">
            <v>503742</v>
          </cell>
          <cell r="Z291">
            <v>0</v>
          </cell>
          <cell r="AA291">
            <v>503742</v>
          </cell>
          <cell r="AB291">
            <v>0</v>
          </cell>
          <cell r="AC291">
            <v>503742</v>
          </cell>
          <cell r="AD291">
            <v>0</v>
          </cell>
          <cell r="AE291">
            <v>503742</v>
          </cell>
          <cell r="AF291">
            <v>0</v>
          </cell>
          <cell r="AG291">
            <v>503742</v>
          </cell>
          <cell r="AH291">
            <v>0</v>
          </cell>
          <cell r="AI291">
            <v>503742</v>
          </cell>
          <cell r="AJ291">
            <v>0</v>
          </cell>
          <cell r="AK291">
            <v>503742</v>
          </cell>
          <cell r="AL291">
            <v>0</v>
          </cell>
          <cell r="AM291">
            <v>503742</v>
          </cell>
          <cell r="AN291">
            <v>0</v>
          </cell>
          <cell r="AO291">
            <v>503742</v>
          </cell>
          <cell r="AP291">
            <v>0</v>
          </cell>
          <cell r="AQ291">
            <v>503742</v>
          </cell>
          <cell r="AR291">
            <v>0</v>
          </cell>
          <cell r="AS291">
            <v>503742</v>
          </cell>
        </row>
        <row r="292">
          <cell r="G292" t="str">
            <v>10.10.18.201</v>
          </cell>
          <cell r="H292">
            <v>404520</v>
          </cell>
          <cell r="I292">
            <v>404520</v>
          </cell>
          <cell r="J292">
            <v>0</v>
          </cell>
          <cell r="K292">
            <v>404520</v>
          </cell>
          <cell r="L292">
            <v>0</v>
          </cell>
          <cell r="M292">
            <v>404520</v>
          </cell>
          <cell r="N292">
            <v>0</v>
          </cell>
          <cell r="O292">
            <v>404520</v>
          </cell>
          <cell r="P292">
            <v>0</v>
          </cell>
          <cell r="Q292">
            <v>404520</v>
          </cell>
          <cell r="R292">
            <v>0</v>
          </cell>
          <cell r="S292">
            <v>404520</v>
          </cell>
          <cell r="T292">
            <v>0</v>
          </cell>
          <cell r="U292">
            <v>404520</v>
          </cell>
          <cell r="V292">
            <v>0</v>
          </cell>
          <cell r="W292">
            <v>404520</v>
          </cell>
          <cell r="X292">
            <v>0</v>
          </cell>
          <cell r="Y292">
            <v>404520</v>
          </cell>
          <cell r="Z292">
            <v>0</v>
          </cell>
          <cell r="AA292">
            <v>404520</v>
          </cell>
          <cell r="AB292">
            <v>0</v>
          </cell>
          <cell r="AC292">
            <v>404520</v>
          </cell>
          <cell r="AD292">
            <v>0</v>
          </cell>
          <cell r="AE292">
            <v>404520</v>
          </cell>
          <cell r="AF292">
            <v>0</v>
          </cell>
          <cell r="AG292">
            <v>404520</v>
          </cell>
          <cell r="AH292">
            <v>0</v>
          </cell>
          <cell r="AI292">
            <v>404520</v>
          </cell>
          <cell r="AJ292">
            <v>0</v>
          </cell>
          <cell r="AK292">
            <v>404520</v>
          </cell>
          <cell r="AL292">
            <v>0</v>
          </cell>
          <cell r="AM292">
            <v>404520</v>
          </cell>
          <cell r="AN292">
            <v>0</v>
          </cell>
          <cell r="AO292">
            <v>404520</v>
          </cell>
          <cell r="AP292">
            <v>0</v>
          </cell>
          <cell r="AQ292">
            <v>404520</v>
          </cell>
          <cell r="AR292">
            <v>0</v>
          </cell>
          <cell r="AS292">
            <v>404520</v>
          </cell>
        </row>
        <row r="293">
          <cell r="H293">
            <v>1110401</v>
          </cell>
          <cell r="I293">
            <v>1110401</v>
          </cell>
          <cell r="J293">
            <v>0</v>
          </cell>
          <cell r="K293">
            <v>1110401</v>
          </cell>
          <cell r="L293">
            <v>0</v>
          </cell>
          <cell r="M293">
            <v>1110401</v>
          </cell>
          <cell r="N293">
            <v>0</v>
          </cell>
          <cell r="O293">
            <v>1110401</v>
          </cell>
          <cell r="P293">
            <v>0</v>
          </cell>
          <cell r="Q293">
            <v>1110401</v>
          </cell>
          <cell r="R293">
            <v>0</v>
          </cell>
          <cell r="S293">
            <v>1110401</v>
          </cell>
          <cell r="T293">
            <v>0</v>
          </cell>
          <cell r="U293">
            <v>1110401</v>
          </cell>
          <cell r="V293">
            <v>0</v>
          </cell>
          <cell r="W293">
            <v>1110401</v>
          </cell>
          <cell r="X293">
            <v>0</v>
          </cell>
          <cell r="Y293">
            <v>1110401</v>
          </cell>
          <cell r="Z293">
            <v>0</v>
          </cell>
          <cell r="AA293">
            <v>1110401</v>
          </cell>
          <cell r="AB293">
            <v>0</v>
          </cell>
          <cell r="AC293">
            <v>1110401</v>
          </cell>
          <cell r="AD293">
            <v>0</v>
          </cell>
          <cell r="AE293">
            <v>1110401</v>
          </cell>
          <cell r="AF293">
            <v>0</v>
          </cell>
          <cell r="AG293">
            <v>1110401</v>
          </cell>
          <cell r="AH293">
            <v>0</v>
          </cell>
          <cell r="AI293">
            <v>1110401</v>
          </cell>
          <cell r="AJ293">
            <v>0</v>
          </cell>
          <cell r="AK293">
            <v>1110401</v>
          </cell>
          <cell r="AL293">
            <v>0</v>
          </cell>
          <cell r="AM293">
            <v>1110401</v>
          </cell>
          <cell r="AN293">
            <v>0</v>
          </cell>
          <cell r="AO293">
            <v>1110401</v>
          </cell>
          <cell r="AP293">
            <v>0</v>
          </cell>
          <cell r="AQ293">
            <v>1110401</v>
          </cell>
          <cell r="AR293">
            <v>0</v>
          </cell>
          <cell r="AS293">
            <v>1110401</v>
          </cell>
        </row>
        <row r="294">
          <cell r="G294" t="str">
            <v>10.11.22.201</v>
          </cell>
          <cell r="H294">
            <v>668726</v>
          </cell>
          <cell r="I294">
            <v>668726</v>
          </cell>
          <cell r="J294">
            <v>0</v>
          </cell>
          <cell r="K294">
            <v>668726</v>
          </cell>
          <cell r="L294">
            <v>0</v>
          </cell>
          <cell r="M294">
            <v>668726</v>
          </cell>
          <cell r="N294">
            <v>0</v>
          </cell>
          <cell r="O294">
            <v>668726</v>
          </cell>
          <cell r="P294">
            <v>0</v>
          </cell>
          <cell r="Q294">
            <v>668726</v>
          </cell>
          <cell r="R294">
            <v>0</v>
          </cell>
          <cell r="S294">
            <v>668726</v>
          </cell>
          <cell r="T294">
            <v>0</v>
          </cell>
          <cell r="U294">
            <v>668726</v>
          </cell>
          <cell r="V294">
            <v>0</v>
          </cell>
          <cell r="W294">
            <v>668726</v>
          </cell>
          <cell r="X294">
            <v>0</v>
          </cell>
          <cell r="Y294">
            <v>668726</v>
          </cell>
          <cell r="Z294">
            <v>0</v>
          </cell>
          <cell r="AA294">
            <v>668726</v>
          </cell>
          <cell r="AB294">
            <v>0</v>
          </cell>
          <cell r="AC294">
            <v>668726</v>
          </cell>
          <cell r="AD294">
            <v>0</v>
          </cell>
          <cell r="AE294">
            <v>668726</v>
          </cell>
          <cell r="AF294">
            <v>0</v>
          </cell>
          <cell r="AG294">
            <v>668726</v>
          </cell>
          <cell r="AH294">
            <v>0</v>
          </cell>
          <cell r="AI294">
            <v>668726</v>
          </cell>
          <cell r="AJ294">
            <v>0</v>
          </cell>
          <cell r="AK294">
            <v>668726</v>
          </cell>
          <cell r="AL294">
            <v>0</v>
          </cell>
          <cell r="AM294">
            <v>668726</v>
          </cell>
          <cell r="AN294">
            <v>0</v>
          </cell>
          <cell r="AO294">
            <v>668726</v>
          </cell>
          <cell r="AP294">
            <v>0</v>
          </cell>
          <cell r="AQ294">
            <v>668726</v>
          </cell>
          <cell r="AR294">
            <v>0</v>
          </cell>
          <cell r="AS294">
            <v>668726</v>
          </cell>
        </row>
        <row r="295">
          <cell r="G295" t="str">
            <v>10.11.1.203</v>
          </cell>
          <cell r="H295">
            <v>194608</v>
          </cell>
          <cell r="I295">
            <v>194608</v>
          </cell>
          <cell r="J295">
            <v>0</v>
          </cell>
          <cell r="K295">
            <v>194608</v>
          </cell>
          <cell r="L295">
            <v>0</v>
          </cell>
          <cell r="M295">
            <v>194608</v>
          </cell>
          <cell r="N295">
            <v>0</v>
          </cell>
          <cell r="O295">
            <v>194608</v>
          </cell>
          <cell r="P295">
            <v>0</v>
          </cell>
          <cell r="Q295">
            <v>194608</v>
          </cell>
          <cell r="R295">
            <v>0</v>
          </cell>
          <cell r="S295">
            <v>194608</v>
          </cell>
          <cell r="T295">
            <v>0</v>
          </cell>
          <cell r="U295">
            <v>194608</v>
          </cell>
          <cell r="V295">
            <v>0</v>
          </cell>
          <cell r="W295">
            <v>194608</v>
          </cell>
          <cell r="X295">
            <v>0</v>
          </cell>
          <cell r="Y295">
            <v>194608</v>
          </cell>
          <cell r="Z295">
            <v>0</v>
          </cell>
          <cell r="AA295">
            <v>194608</v>
          </cell>
          <cell r="AB295">
            <v>0</v>
          </cell>
          <cell r="AC295">
            <v>194608</v>
          </cell>
          <cell r="AD295">
            <v>0</v>
          </cell>
          <cell r="AE295">
            <v>194608</v>
          </cell>
          <cell r="AF295">
            <v>0</v>
          </cell>
          <cell r="AG295">
            <v>194608</v>
          </cell>
          <cell r="AH295">
            <v>0</v>
          </cell>
          <cell r="AI295">
            <v>194608</v>
          </cell>
          <cell r="AJ295">
            <v>0</v>
          </cell>
          <cell r="AK295">
            <v>194608</v>
          </cell>
          <cell r="AL295">
            <v>0</v>
          </cell>
          <cell r="AM295">
            <v>194608</v>
          </cell>
          <cell r="AN295">
            <v>0</v>
          </cell>
          <cell r="AO295">
            <v>194608</v>
          </cell>
          <cell r="AP295">
            <v>0</v>
          </cell>
          <cell r="AQ295">
            <v>194608</v>
          </cell>
          <cell r="AR295">
            <v>0</v>
          </cell>
          <cell r="AS295">
            <v>194608</v>
          </cell>
        </row>
        <row r="296">
          <cell r="G296" t="str">
            <v>10.11.61.200</v>
          </cell>
          <cell r="H296">
            <v>555430</v>
          </cell>
          <cell r="I296">
            <v>555430</v>
          </cell>
          <cell r="J296">
            <v>0</v>
          </cell>
          <cell r="K296">
            <v>555430</v>
          </cell>
          <cell r="L296">
            <v>0</v>
          </cell>
          <cell r="M296">
            <v>555430</v>
          </cell>
          <cell r="N296">
            <v>0</v>
          </cell>
          <cell r="O296">
            <v>555430</v>
          </cell>
          <cell r="P296">
            <v>0</v>
          </cell>
          <cell r="Q296">
            <v>555430</v>
          </cell>
          <cell r="R296">
            <v>0</v>
          </cell>
          <cell r="S296">
            <v>555430</v>
          </cell>
          <cell r="T296">
            <v>0</v>
          </cell>
          <cell r="U296">
            <v>555430</v>
          </cell>
          <cell r="V296">
            <v>0</v>
          </cell>
          <cell r="W296">
            <v>555430</v>
          </cell>
          <cell r="X296">
            <v>0</v>
          </cell>
          <cell r="Y296">
            <v>555430</v>
          </cell>
          <cell r="Z296">
            <v>0</v>
          </cell>
          <cell r="AA296">
            <v>555430</v>
          </cell>
          <cell r="AB296">
            <v>0</v>
          </cell>
          <cell r="AC296">
            <v>555430</v>
          </cell>
          <cell r="AD296">
            <v>0</v>
          </cell>
          <cell r="AE296">
            <v>555430</v>
          </cell>
          <cell r="AF296">
            <v>0</v>
          </cell>
          <cell r="AG296">
            <v>555430</v>
          </cell>
          <cell r="AH296">
            <v>0</v>
          </cell>
          <cell r="AI296">
            <v>555430</v>
          </cell>
          <cell r="AJ296">
            <v>0</v>
          </cell>
          <cell r="AK296">
            <v>555430</v>
          </cell>
          <cell r="AL296">
            <v>0</v>
          </cell>
          <cell r="AM296">
            <v>555430</v>
          </cell>
          <cell r="AN296">
            <v>0</v>
          </cell>
          <cell r="AO296">
            <v>555430</v>
          </cell>
          <cell r="AP296">
            <v>0</v>
          </cell>
          <cell r="AQ296">
            <v>555430</v>
          </cell>
          <cell r="AR296">
            <v>0</v>
          </cell>
          <cell r="AS296">
            <v>555430</v>
          </cell>
        </row>
        <row r="297">
          <cell r="G297" t="str">
            <v>10.10.3.201</v>
          </cell>
          <cell r="H297">
            <v>360557</v>
          </cell>
          <cell r="I297">
            <v>360557</v>
          </cell>
          <cell r="J297">
            <v>0</v>
          </cell>
          <cell r="K297">
            <v>360557</v>
          </cell>
          <cell r="L297">
            <v>0</v>
          </cell>
          <cell r="M297">
            <v>360557</v>
          </cell>
          <cell r="N297">
            <v>0</v>
          </cell>
          <cell r="O297">
            <v>360557</v>
          </cell>
          <cell r="P297">
            <v>0</v>
          </cell>
          <cell r="Q297">
            <v>360557</v>
          </cell>
          <cell r="R297">
            <v>0</v>
          </cell>
          <cell r="S297">
            <v>360557</v>
          </cell>
          <cell r="T297">
            <v>0</v>
          </cell>
          <cell r="U297">
            <v>360557</v>
          </cell>
          <cell r="V297">
            <v>0</v>
          </cell>
          <cell r="W297">
            <v>360557</v>
          </cell>
          <cell r="X297">
            <v>0</v>
          </cell>
          <cell r="Y297">
            <v>360557</v>
          </cell>
          <cell r="Z297">
            <v>0</v>
          </cell>
          <cell r="AA297">
            <v>360557</v>
          </cell>
          <cell r="AB297">
            <v>0</v>
          </cell>
          <cell r="AC297">
            <v>360557</v>
          </cell>
          <cell r="AD297">
            <v>0</v>
          </cell>
          <cell r="AE297">
            <v>360557</v>
          </cell>
          <cell r="AF297">
            <v>0</v>
          </cell>
          <cell r="AG297">
            <v>360557</v>
          </cell>
          <cell r="AH297">
            <v>0</v>
          </cell>
          <cell r="AI297">
            <v>360557</v>
          </cell>
          <cell r="AJ297">
            <v>0</v>
          </cell>
          <cell r="AK297">
            <v>360557</v>
          </cell>
          <cell r="AL297">
            <v>0</v>
          </cell>
          <cell r="AM297">
            <v>360557</v>
          </cell>
          <cell r="AN297">
            <v>0</v>
          </cell>
          <cell r="AO297">
            <v>360557</v>
          </cell>
          <cell r="AP297">
            <v>0</v>
          </cell>
          <cell r="AQ297">
            <v>360557</v>
          </cell>
          <cell r="AR297">
            <v>0</v>
          </cell>
          <cell r="AS297">
            <v>360557</v>
          </cell>
        </row>
        <row r="298">
          <cell r="G298" t="str">
            <v>10.10.154.200</v>
          </cell>
          <cell r="H298">
            <v>237202</v>
          </cell>
          <cell r="I298">
            <v>237202</v>
          </cell>
          <cell r="J298">
            <v>0</v>
          </cell>
          <cell r="K298">
            <v>237202</v>
          </cell>
          <cell r="L298">
            <v>0</v>
          </cell>
          <cell r="M298">
            <v>237202</v>
          </cell>
          <cell r="N298">
            <v>0</v>
          </cell>
          <cell r="O298">
            <v>237202</v>
          </cell>
          <cell r="P298">
            <v>0</v>
          </cell>
          <cell r="Q298">
            <v>237202</v>
          </cell>
          <cell r="R298">
            <v>0</v>
          </cell>
          <cell r="S298">
            <v>237202</v>
          </cell>
          <cell r="T298">
            <v>0</v>
          </cell>
          <cell r="U298">
            <v>237202</v>
          </cell>
          <cell r="V298">
            <v>0</v>
          </cell>
          <cell r="W298">
            <v>237202</v>
          </cell>
          <cell r="X298">
            <v>0</v>
          </cell>
          <cell r="Y298">
            <v>237202</v>
          </cell>
          <cell r="Z298">
            <v>0</v>
          </cell>
          <cell r="AA298">
            <v>237202</v>
          </cell>
          <cell r="AB298">
            <v>0</v>
          </cell>
          <cell r="AC298">
            <v>237202</v>
          </cell>
          <cell r="AD298">
            <v>0</v>
          </cell>
          <cell r="AE298">
            <v>237202</v>
          </cell>
          <cell r="AF298">
            <v>0</v>
          </cell>
          <cell r="AG298">
            <v>237202</v>
          </cell>
          <cell r="AH298">
            <v>0</v>
          </cell>
          <cell r="AI298">
            <v>237202</v>
          </cell>
          <cell r="AJ298">
            <v>0</v>
          </cell>
          <cell r="AK298">
            <v>237202</v>
          </cell>
          <cell r="AL298">
            <v>0</v>
          </cell>
          <cell r="AM298">
            <v>237202</v>
          </cell>
          <cell r="AN298">
            <v>0</v>
          </cell>
          <cell r="AO298">
            <v>237202</v>
          </cell>
          <cell r="AP298">
            <v>0</v>
          </cell>
          <cell r="AQ298">
            <v>237202</v>
          </cell>
          <cell r="AR298">
            <v>0</v>
          </cell>
          <cell r="AS298">
            <v>237202</v>
          </cell>
        </row>
        <row r="299">
          <cell r="G299" t="str">
            <v>10.10.194.202</v>
          </cell>
          <cell r="H299">
            <v>233499</v>
          </cell>
          <cell r="I299">
            <v>233499</v>
          </cell>
          <cell r="J299">
            <v>0</v>
          </cell>
          <cell r="K299">
            <v>233499</v>
          </cell>
          <cell r="L299">
            <v>0</v>
          </cell>
          <cell r="M299">
            <v>233499</v>
          </cell>
          <cell r="N299">
            <v>0</v>
          </cell>
          <cell r="O299">
            <v>233499</v>
          </cell>
          <cell r="P299">
            <v>0</v>
          </cell>
          <cell r="Q299">
            <v>233499</v>
          </cell>
          <cell r="R299">
            <v>0</v>
          </cell>
          <cell r="S299">
            <v>233499</v>
          </cell>
          <cell r="T299">
            <v>0</v>
          </cell>
          <cell r="U299">
            <v>233499</v>
          </cell>
          <cell r="V299">
            <v>0</v>
          </cell>
          <cell r="W299">
            <v>233499</v>
          </cell>
          <cell r="X299">
            <v>0</v>
          </cell>
          <cell r="Y299">
            <v>233499</v>
          </cell>
          <cell r="Z299">
            <v>0</v>
          </cell>
          <cell r="AA299">
            <v>233499</v>
          </cell>
          <cell r="AB299">
            <v>0</v>
          </cell>
          <cell r="AC299">
            <v>233499</v>
          </cell>
          <cell r="AD299">
            <v>0</v>
          </cell>
          <cell r="AE299">
            <v>233499</v>
          </cell>
          <cell r="AF299">
            <v>0</v>
          </cell>
          <cell r="AG299">
            <v>233499</v>
          </cell>
          <cell r="AH299">
            <v>0</v>
          </cell>
          <cell r="AI299">
            <v>233499</v>
          </cell>
          <cell r="AJ299">
            <v>0</v>
          </cell>
          <cell r="AK299">
            <v>233499</v>
          </cell>
          <cell r="AL299">
            <v>0</v>
          </cell>
          <cell r="AM299">
            <v>233499</v>
          </cell>
          <cell r="AN299">
            <v>0</v>
          </cell>
          <cell r="AO299">
            <v>233499</v>
          </cell>
          <cell r="AP299">
            <v>0</v>
          </cell>
          <cell r="AQ299">
            <v>233499</v>
          </cell>
          <cell r="AR299">
            <v>0</v>
          </cell>
          <cell r="AS299">
            <v>233499</v>
          </cell>
        </row>
        <row r="300">
          <cell r="G300" t="str">
            <v>10.11.29.204</v>
          </cell>
          <cell r="H300">
            <v>448206</v>
          </cell>
          <cell r="I300">
            <v>448206</v>
          </cell>
          <cell r="J300">
            <v>0</v>
          </cell>
          <cell r="K300">
            <v>448206</v>
          </cell>
          <cell r="L300">
            <v>0</v>
          </cell>
          <cell r="M300">
            <v>448206</v>
          </cell>
          <cell r="N300">
            <v>0</v>
          </cell>
          <cell r="O300">
            <v>448206</v>
          </cell>
          <cell r="P300">
            <v>0</v>
          </cell>
          <cell r="Q300">
            <v>448206</v>
          </cell>
          <cell r="R300">
            <v>0</v>
          </cell>
          <cell r="S300">
            <v>448206</v>
          </cell>
          <cell r="T300">
            <v>0</v>
          </cell>
          <cell r="U300">
            <v>448206</v>
          </cell>
          <cell r="V300">
            <v>0</v>
          </cell>
          <cell r="W300">
            <v>448206</v>
          </cell>
          <cell r="X300">
            <v>0</v>
          </cell>
          <cell r="Y300">
            <v>448206</v>
          </cell>
          <cell r="Z300">
            <v>0</v>
          </cell>
          <cell r="AA300">
            <v>448206</v>
          </cell>
          <cell r="AB300">
            <v>0</v>
          </cell>
          <cell r="AC300">
            <v>448206</v>
          </cell>
          <cell r="AD300">
            <v>0</v>
          </cell>
          <cell r="AE300">
            <v>448206</v>
          </cell>
          <cell r="AF300">
            <v>0</v>
          </cell>
          <cell r="AG300">
            <v>448206</v>
          </cell>
          <cell r="AH300">
            <v>0</v>
          </cell>
          <cell r="AI300">
            <v>448206</v>
          </cell>
          <cell r="AJ300">
            <v>0</v>
          </cell>
          <cell r="AK300">
            <v>448206</v>
          </cell>
          <cell r="AL300">
            <v>0</v>
          </cell>
          <cell r="AM300">
            <v>448206</v>
          </cell>
          <cell r="AN300">
            <v>0</v>
          </cell>
          <cell r="AO300">
            <v>448206</v>
          </cell>
          <cell r="AP300">
            <v>0</v>
          </cell>
          <cell r="AQ300">
            <v>448206</v>
          </cell>
          <cell r="AR300">
            <v>0</v>
          </cell>
          <cell r="AS300">
            <v>448206</v>
          </cell>
        </row>
        <row r="301">
          <cell r="G301" t="str">
            <v>10.10.33.200</v>
          </cell>
          <cell r="H301">
            <v>257710</v>
          </cell>
          <cell r="I301">
            <v>257710</v>
          </cell>
          <cell r="J301">
            <v>0</v>
          </cell>
          <cell r="K301">
            <v>257710</v>
          </cell>
          <cell r="L301">
            <v>0</v>
          </cell>
          <cell r="M301">
            <v>257710</v>
          </cell>
          <cell r="N301">
            <v>0</v>
          </cell>
          <cell r="O301">
            <v>257710</v>
          </cell>
          <cell r="P301">
            <v>0</v>
          </cell>
          <cell r="Q301">
            <v>257710</v>
          </cell>
          <cell r="R301">
            <v>0</v>
          </cell>
          <cell r="S301">
            <v>257710</v>
          </cell>
          <cell r="T301">
            <v>0</v>
          </cell>
          <cell r="U301">
            <v>257710</v>
          </cell>
          <cell r="V301">
            <v>0</v>
          </cell>
          <cell r="W301">
            <v>257710</v>
          </cell>
          <cell r="X301">
            <v>0</v>
          </cell>
          <cell r="Y301">
            <v>257710</v>
          </cell>
          <cell r="Z301">
            <v>0</v>
          </cell>
          <cell r="AA301">
            <v>257710</v>
          </cell>
          <cell r="AB301">
            <v>0</v>
          </cell>
          <cell r="AC301">
            <v>257710</v>
          </cell>
          <cell r="AD301">
            <v>0</v>
          </cell>
          <cell r="AE301">
            <v>257710</v>
          </cell>
          <cell r="AF301">
            <v>0</v>
          </cell>
          <cell r="AG301">
            <v>257710</v>
          </cell>
          <cell r="AH301">
            <v>0</v>
          </cell>
          <cell r="AI301">
            <v>257710</v>
          </cell>
          <cell r="AJ301">
            <v>0</v>
          </cell>
          <cell r="AK301">
            <v>257710</v>
          </cell>
          <cell r="AL301">
            <v>0</v>
          </cell>
          <cell r="AM301">
            <v>257710</v>
          </cell>
          <cell r="AN301">
            <v>0</v>
          </cell>
          <cell r="AO301">
            <v>257710</v>
          </cell>
          <cell r="AP301">
            <v>0</v>
          </cell>
          <cell r="AQ301">
            <v>257710</v>
          </cell>
          <cell r="AR301">
            <v>0</v>
          </cell>
          <cell r="AS301">
            <v>257710</v>
          </cell>
        </row>
        <row r="302">
          <cell r="G302" t="str">
            <v>10.10.194.201</v>
          </cell>
          <cell r="H302">
            <v>267445</v>
          </cell>
          <cell r="I302">
            <v>267445</v>
          </cell>
          <cell r="J302">
            <v>0</v>
          </cell>
          <cell r="K302">
            <v>267445</v>
          </cell>
          <cell r="L302">
            <v>0</v>
          </cell>
          <cell r="M302">
            <v>267445</v>
          </cell>
          <cell r="N302">
            <v>0</v>
          </cell>
          <cell r="O302">
            <v>267445</v>
          </cell>
          <cell r="P302">
            <v>0</v>
          </cell>
          <cell r="Q302">
            <v>267445</v>
          </cell>
          <cell r="R302">
            <v>0</v>
          </cell>
          <cell r="S302">
            <v>267445</v>
          </cell>
          <cell r="T302">
            <v>0</v>
          </cell>
          <cell r="U302">
            <v>267445</v>
          </cell>
          <cell r="V302">
            <v>0</v>
          </cell>
          <cell r="W302">
            <v>267445</v>
          </cell>
          <cell r="X302">
            <v>0</v>
          </cell>
          <cell r="Y302">
            <v>267445</v>
          </cell>
          <cell r="Z302">
            <v>0</v>
          </cell>
          <cell r="AA302">
            <v>267445</v>
          </cell>
          <cell r="AB302">
            <v>0</v>
          </cell>
          <cell r="AC302">
            <v>267445</v>
          </cell>
          <cell r="AD302">
            <v>0</v>
          </cell>
          <cell r="AE302">
            <v>267445</v>
          </cell>
          <cell r="AF302">
            <v>0</v>
          </cell>
          <cell r="AG302">
            <v>267445</v>
          </cell>
          <cell r="AH302">
            <v>0</v>
          </cell>
          <cell r="AI302">
            <v>267445</v>
          </cell>
          <cell r="AJ302">
            <v>0</v>
          </cell>
          <cell r="AK302">
            <v>267445</v>
          </cell>
          <cell r="AL302">
            <v>0</v>
          </cell>
          <cell r="AM302">
            <v>267445</v>
          </cell>
          <cell r="AN302">
            <v>0</v>
          </cell>
          <cell r="AO302">
            <v>267445</v>
          </cell>
          <cell r="AP302">
            <v>0</v>
          </cell>
          <cell r="AQ302">
            <v>267445</v>
          </cell>
          <cell r="AR302">
            <v>0</v>
          </cell>
          <cell r="AS302">
            <v>267445</v>
          </cell>
        </row>
        <row r="303">
          <cell r="G303" t="str">
            <v>10.14.13.200</v>
          </cell>
          <cell r="H303">
            <v>366883</v>
          </cell>
          <cell r="I303">
            <v>366883</v>
          </cell>
          <cell r="J303">
            <v>0</v>
          </cell>
          <cell r="K303">
            <v>366883</v>
          </cell>
          <cell r="L303">
            <v>0</v>
          </cell>
          <cell r="M303">
            <v>366883</v>
          </cell>
          <cell r="N303">
            <v>0</v>
          </cell>
          <cell r="O303">
            <v>366883</v>
          </cell>
          <cell r="P303">
            <v>0</v>
          </cell>
          <cell r="Q303">
            <v>366883</v>
          </cell>
          <cell r="R303">
            <v>0</v>
          </cell>
          <cell r="S303">
            <v>366883</v>
          </cell>
          <cell r="T303">
            <v>0</v>
          </cell>
          <cell r="U303">
            <v>366883</v>
          </cell>
          <cell r="V303">
            <v>0</v>
          </cell>
          <cell r="W303">
            <v>366883</v>
          </cell>
          <cell r="X303">
            <v>0</v>
          </cell>
          <cell r="Y303">
            <v>366883</v>
          </cell>
          <cell r="Z303">
            <v>0</v>
          </cell>
          <cell r="AA303">
            <v>366883</v>
          </cell>
          <cell r="AB303">
            <v>0</v>
          </cell>
          <cell r="AC303">
            <v>366883</v>
          </cell>
          <cell r="AD303">
            <v>0</v>
          </cell>
          <cell r="AE303">
            <v>366883</v>
          </cell>
          <cell r="AF303">
            <v>0</v>
          </cell>
          <cell r="AG303">
            <v>366883</v>
          </cell>
          <cell r="AH303">
            <v>0</v>
          </cell>
          <cell r="AI303">
            <v>366883</v>
          </cell>
          <cell r="AJ303">
            <v>0</v>
          </cell>
          <cell r="AK303">
            <v>366883</v>
          </cell>
          <cell r="AL303">
            <v>0</v>
          </cell>
          <cell r="AM303">
            <v>366883</v>
          </cell>
          <cell r="AN303">
            <v>0</v>
          </cell>
          <cell r="AO303">
            <v>366883</v>
          </cell>
          <cell r="AP303">
            <v>0</v>
          </cell>
          <cell r="AQ303">
            <v>366883</v>
          </cell>
          <cell r="AR303">
            <v>0</v>
          </cell>
          <cell r="AS303">
            <v>366883</v>
          </cell>
        </row>
        <row r="304">
          <cell r="H304">
            <v>572116</v>
          </cell>
          <cell r="I304">
            <v>572116</v>
          </cell>
          <cell r="J304">
            <v>0</v>
          </cell>
          <cell r="K304">
            <v>572116</v>
          </cell>
          <cell r="L304">
            <v>0</v>
          </cell>
          <cell r="M304">
            <v>572116</v>
          </cell>
          <cell r="N304">
            <v>0</v>
          </cell>
          <cell r="O304">
            <v>572116</v>
          </cell>
          <cell r="P304">
            <v>0</v>
          </cell>
          <cell r="Q304">
            <v>572116</v>
          </cell>
          <cell r="R304">
            <v>0</v>
          </cell>
          <cell r="S304">
            <v>572116</v>
          </cell>
          <cell r="T304">
            <v>0</v>
          </cell>
          <cell r="U304">
            <v>572116</v>
          </cell>
          <cell r="V304">
            <v>0</v>
          </cell>
          <cell r="W304">
            <v>572116</v>
          </cell>
          <cell r="X304">
            <v>0</v>
          </cell>
          <cell r="Y304">
            <v>572116</v>
          </cell>
          <cell r="Z304">
            <v>0</v>
          </cell>
          <cell r="AA304">
            <v>572116</v>
          </cell>
          <cell r="AB304">
            <v>0</v>
          </cell>
          <cell r="AC304">
            <v>572116</v>
          </cell>
          <cell r="AD304">
            <v>0</v>
          </cell>
          <cell r="AE304">
            <v>572116</v>
          </cell>
          <cell r="AF304">
            <v>0</v>
          </cell>
          <cell r="AG304">
            <v>572116</v>
          </cell>
          <cell r="AH304">
            <v>0</v>
          </cell>
          <cell r="AI304">
            <v>572116</v>
          </cell>
          <cell r="AJ304">
            <v>0</v>
          </cell>
          <cell r="AK304">
            <v>572116</v>
          </cell>
          <cell r="AL304">
            <v>0</v>
          </cell>
          <cell r="AM304">
            <v>572116</v>
          </cell>
          <cell r="AN304">
            <v>0</v>
          </cell>
          <cell r="AO304">
            <v>572116</v>
          </cell>
          <cell r="AP304">
            <v>0</v>
          </cell>
          <cell r="AQ304">
            <v>572116</v>
          </cell>
          <cell r="AR304">
            <v>0</v>
          </cell>
          <cell r="AS304">
            <v>572116</v>
          </cell>
        </row>
        <row r="305">
          <cell r="G305" t="str">
            <v>10.11.19.200</v>
          </cell>
          <cell r="H305">
            <v>282366</v>
          </cell>
          <cell r="I305">
            <v>282366</v>
          </cell>
          <cell r="J305">
            <v>0</v>
          </cell>
          <cell r="K305">
            <v>282366</v>
          </cell>
          <cell r="L305">
            <v>0</v>
          </cell>
          <cell r="M305">
            <v>282366</v>
          </cell>
          <cell r="N305">
            <v>0</v>
          </cell>
          <cell r="O305">
            <v>282366</v>
          </cell>
          <cell r="P305">
            <v>0</v>
          </cell>
          <cell r="Q305">
            <v>282366</v>
          </cell>
          <cell r="R305">
            <v>0</v>
          </cell>
          <cell r="S305">
            <v>282366</v>
          </cell>
          <cell r="T305">
            <v>0</v>
          </cell>
          <cell r="U305">
            <v>282366</v>
          </cell>
          <cell r="V305">
            <v>0</v>
          </cell>
          <cell r="W305">
            <v>282366</v>
          </cell>
          <cell r="X305">
            <v>0</v>
          </cell>
          <cell r="Y305">
            <v>282366</v>
          </cell>
          <cell r="Z305">
            <v>0</v>
          </cell>
          <cell r="AA305">
            <v>282366</v>
          </cell>
          <cell r="AB305">
            <v>0</v>
          </cell>
          <cell r="AC305">
            <v>282366</v>
          </cell>
          <cell r="AD305">
            <v>0</v>
          </cell>
          <cell r="AE305">
            <v>282366</v>
          </cell>
          <cell r="AF305">
            <v>0</v>
          </cell>
          <cell r="AG305">
            <v>282366</v>
          </cell>
          <cell r="AH305">
            <v>0</v>
          </cell>
          <cell r="AI305">
            <v>282366</v>
          </cell>
          <cell r="AJ305">
            <v>0</v>
          </cell>
          <cell r="AK305">
            <v>282366</v>
          </cell>
          <cell r="AL305">
            <v>0</v>
          </cell>
          <cell r="AM305">
            <v>282366</v>
          </cell>
          <cell r="AN305">
            <v>0</v>
          </cell>
          <cell r="AO305">
            <v>282366</v>
          </cell>
          <cell r="AP305">
            <v>0</v>
          </cell>
          <cell r="AQ305">
            <v>282366</v>
          </cell>
          <cell r="AR305">
            <v>0</v>
          </cell>
          <cell r="AS305">
            <v>282366</v>
          </cell>
        </row>
        <row r="306">
          <cell r="G306" t="str">
            <v>10.10.32.201</v>
          </cell>
          <cell r="H306">
            <v>249130</v>
          </cell>
          <cell r="I306">
            <v>249130</v>
          </cell>
          <cell r="J306">
            <v>0</v>
          </cell>
          <cell r="K306">
            <v>249130</v>
          </cell>
          <cell r="L306">
            <v>0</v>
          </cell>
          <cell r="M306">
            <v>249130</v>
          </cell>
          <cell r="N306">
            <v>0</v>
          </cell>
          <cell r="O306">
            <v>249130</v>
          </cell>
          <cell r="P306">
            <v>0</v>
          </cell>
          <cell r="Q306">
            <v>249130</v>
          </cell>
          <cell r="R306">
            <v>0</v>
          </cell>
          <cell r="S306">
            <v>249130</v>
          </cell>
          <cell r="T306">
            <v>0</v>
          </cell>
          <cell r="U306">
            <v>249130</v>
          </cell>
          <cell r="V306">
            <v>0</v>
          </cell>
          <cell r="W306">
            <v>249130</v>
          </cell>
          <cell r="X306">
            <v>0</v>
          </cell>
          <cell r="Y306">
            <v>249130</v>
          </cell>
          <cell r="Z306">
            <v>0</v>
          </cell>
          <cell r="AA306">
            <v>249130</v>
          </cell>
          <cell r="AB306">
            <v>0</v>
          </cell>
          <cell r="AC306">
            <v>249130</v>
          </cell>
          <cell r="AD306">
            <v>0</v>
          </cell>
          <cell r="AE306">
            <v>249130</v>
          </cell>
          <cell r="AF306">
            <v>0</v>
          </cell>
          <cell r="AG306">
            <v>249130</v>
          </cell>
          <cell r="AH306">
            <v>0</v>
          </cell>
          <cell r="AI306">
            <v>249130</v>
          </cell>
          <cell r="AJ306">
            <v>0</v>
          </cell>
          <cell r="AK306">
            <v>249130</v>
          </cell>
          <cell r="AL306">
            <v>0</v>
          </cell>
          <cell r="AM306">
            <v>249130</v>
          </cell>
          <cell r="AN306">
            <v>0</v>
          </cell>
          <cell r="AO306">
            <v>249130</v>
          </cell>
          <cell r="AP306">
            <v>0</v>
          </cell>
          <cell r="AQ306">
            <v>249130</v>
          </cell>
          <cell r="AR306">
            <v>0</v>
          </cell>
          <cell r="AS306">
            <v>249130</v>
          </cell>
        </row>
        <row r="307">
          <cell r="H307">
            <v>661873</v>
          </cell>
          <cell r="I307">
            <v>661873</v>
          </cell>
          <cell r="J307">
            <v>0</v>
          </cell>
          <cell r="K307">
            <v>661873</v>
          </cell>
          <cell r="L307">
            <v>0</v>
          </cell>
          <cell r="M307">
            <v>661873</v>
          </cell>
          <cell r="N307">
            <v>0</v>
          </cell>
          <cell r="O307">
            <v>661873</v>
          </cell>
          <cell r="P307">
            <v>0</v>
          </cell>
          <cell r="Q307">
            <v>661873</v>
          </cell>
          <cell r="R307">
            <v>0</v>
          </cell>
          <cell r="S307">
            <v>661873</v>
          </cell>
          <cell r="T307">
            <v>0</v>
          </cell>
          <cell r="U307">
            <v>661873</v>
          </cell>
          <cell r="V307">
            <v>0</v>
          </cell>
          <cell r="W307">
            <v>661873</v>
          </cell>
          <cell r="X307">
            <v>0</v>
          </cell>
          <cell r="Y307">
            <v>661873</v>
          </cell>
          <cell r="Z307">
            <v>0</v>
          </cell>
          <cell r="AA307">
            <v>661873</v>
          </cell>
          <cell r="AB307">
            <v>0</v>
          </cell>
          <cell r="AC307">
            <v>661873</v>
          </cell>
          <cell r="AD307">
            <v>0</v>
          </cell>
          <cell r="AE307">
            <v>661873</v>
          </cell>
          <cell r="AF307">
            <v>0</v>
          </cell>
          <cell r="AG307">
            <v>661873</v>
          </cell>
          <cell r="AH307">
            <v>0</v>
          </cell>
          <cell r="AI307">
            <v>661873</v>
          </cell>
          <cell r="AJ307">
            <v>0</v>
          </cell>
          <cell r="AK307">
            <v>661873</v>
          </cell>
          <cell r="AL307">
            <v>0</v>
          </cell>
          <cell r="AM307">
            <v>661873</v>
          </cell>
          <cell r="AN307">
            <v>0</v>
          </cell>
          <cell r="AO307">
            <v>661873</v>
          </cell>
          <cell r="AP307">
            <v>0</v>
          </cell>
          <cell r="AQ307">
            <v>661873</v>
          </cell>
          <cell r="AR307">
            <v>0</v>
          </cell>
          <cell r="AS307">
            <v>661873</v>
          </cell>
        </row>
        <row r="308">
          <cell r="G308" t="str">
            <v>10.11.67.225</v>
          </cell>
          <cell r="H308">
            <v>369555</v>
          </cell>
          <cell r="I308">
            <v>369555</v>
          </cell>
          <cell r="J308">
            <v>0</v>
          </cell>
          <cell r="K308">
            <v>369555</v>
          </cell>
          <cell r="L308">
            <v>0</v>
          </cell>
          <cell r="M308">
            <v>369555</v>
          </cell>
          <cell r="N308">
            <v>0</v>
          </cell>
          <cell r="O308">
            <v>369555</v>
          </cell>
          <cell r="P308">
            <v>0</v>
          </cell>
          <cell r="Q308">
            <v>369555</v>
          </cell>
          <cell r="R308">
            <v>0</v>
          </cell>
          <cell r="S308">
            <v>369555</v>
          </cell>
          <cell r="T308">
            <v>0</v>
          </cell>
          <cell r="U308">
            <v>369555</v>
          </cell>
          <cell r="V308">
            <v>0</v>
          </cell>
          <cell r="W308">
            <v>369555</v>
          </cell>
          <cell r="X308">
            <v>0</v>
          </cell>
          <cell r="Y308">
            <v>369555</v>
          </cell>
          <cell r="Z308">
            <v>0</v>
          </cell>
          <cell r="AA308">
            <v>369555</v>
          </cell>
          <cell r="AB308">
            <v>0</v>
          </cell>
          <cell r="AC308">
            <v>369555</v>
          </cell>
          <cell r="AD308">
            <v>0</v>
          </cell>
          <cell r="AE308">
            <v>369555</v>
          </cell>
          <cell r="AF308">
            <v>0</v>
          </cell>
          <cell r="AG308">
            <v>369555</v>
          </cell>
          <cell r="AH308">
            <v>0</v>
          </cell>
          <cell r="AI308">
            <v>369555</v>
          </cell>
          <cell r="AJ308">
            <v>0</v>
          </cell>
          <cell r="AK308">
            <v>369555</v>
          </cell>
          <cell r="AL308">
            <v>0</v>
          </cell>
          <cell r="AM308">
            <v>369555</v>
          </cell>
          <cell r="AN308">
            <v>0</v>
          </cell>
          <cell r="AO308">
            <v>369555</v>
          </cell>
          <cell r="AP308">
            <v>0</v>
          </cell>
          <cell r="AQ308">
            <v>369555</v>
          </cell>
          <cell r="AR308">
            <v>0</v>
          </cell>
          <cell r="AS308">
            <v>369555</v>
          </cell>
        </row>
        <row r="309">
          <cell r="G309" t="str">
            <v>10.11.33.201</v>
          </cell>
          <cell r="H309">
            <v>207865</v>
          </cell>
          <cell r="I309">
            <v>207865</v>
          </cell>
          <cell r="J309">
            <v>0</v>
          </cell>
          <cell r="K309">
            <v>207865</v>
          </cell>
          <cell r="L309">
            <v>0</v>
          </cell>
          <cell r="M309">
            <v>207865</v>
          </cell>
          <cell r="N309">
            <v>0</v>
          </cell>
          <cell r="O309">
            <v>207865</v>
          </cell>
          <cell r="P309">
            <v>0</v>
          </cell>
          <cell r="Q309">
            <v>207865</v>
          </cell>
          <cell r="R309">
            <v>0</v>
          </cell>
          <cell r="S309">
            <v>207865</v>
          </cell>
          <cell r="T309">
            <v>0</v>
          </cell>
          <cell r="U309">
            <v>207865</v>
          </cell>
          <cell r="V309">
            <v>0</v>
          </cell>
          <cell r="W309">
            <v>207865</v>
          </cell>
          <cell r="X309">
            <v>0</v>
          </cell>
          <cell r="Y309">
            <v>207865</v>
          </cell>
          <cell r="Z309">
            <v>0</v>
          </cell>
          <cell r="AA309">
            <v>207865</v>
          </cell>
          <cell r="AB309">
            <v>0</v>
          </cell>
          <cell r="AC309">
            <v>207865</v>
          </cell>
          <cell r="AD309">
            <v>0</v>
          </cell>
          <cell r="AE309">
            <v>207865</v>
          </cell>
          <cell r="AF309">
            <v>0</v>
          </cell>
          <cell r="AG309">
            <v>207865</v>
          </cell>
          <cell r="AH309">
            <v>0</v>
          </cell>
          <cell r="AI309">
            <v>207865</v>
          </cell>
          <cell r="AJ309">
            <v>0</v>
          </cell>
          <cell r="AK309">
            <v>207865</v>
          </cell>
          <cell r="AL309">
            <v>0</v>
          </cell>
          <cell r="AM309">
            <v>207865</v>
          </cell>
          <cell r="AN309">
            <v>0</v>
          </cell>
          <cell r="AO309">
            <v>207865</v>
          </cell>
          <cell r="AP309">
            <v>0</v>
          </cell>
          <cell r="AQ309">
            <v>207865</v>
          </cell>
          <cell r="AR309">
            <v>0</v>
          </cell>
          <cell r="AS309">
            <v>207865</v>
          </cell>
        </row>
        <row r="310">
          <cell r="G310" t="str">
            <v>10.10.197.200</v>
          </cell>
          <cell r="H310">
            <v>368625</v>
          </cell>
          <cell r="I310">
            <v>368625</v>
          </cell>
          <cell r="J310">
            <v>0</v>
          </cell>
          <cell r="K310">
            <v>368625</v>
          </cell>
          <cell r="L310">
            <v>0</v>
          </cell>
          <cell r="M310">
            <v>368625</v>
          </cell>
          <cell r="N310">
            <v>0</v>
          </cell>
          <cell r="O310">
            <v>368625</v>
          </cell>
          <cell r="P310">
            <v>0</v>
          </cell>
          <cell r="Q310">
            <v>368625</v>
          </cell>
          <cell r="R310">
            <v>0</v>
          </cell>
          <cell r="S310">
            <v>368625</v>
          </cell>
          <cell r="T310">
            <v>0</v>
          </cell>
          <cell r="U310">
            <v>368625</v>
          </cell>
          <cell r="V310">
            <v>0</v>
          </cell>
          <cell r="W310">
            <v>368625</v>
          </cell>
          <cell r="X310">
            <v>0</v>
          </cell>
          <cell r="Y310">
            <v>368625</v>
          </cell>
          <cell r="Z310">
            <v>0</v>
          </cell>
          <cell r="AA310">
            <v>368625</v>
          </cell>
          <cell r="AB310">
            <v>0</v>
          </cell>
          <cell r="AC310">
            <v>368625</v>
          </cell>
          <cell r="AD310">
            <v>0</v>
          </cell>
          <cell r="AE310">
            <v>368625</v>
          </cell>
          <cell r="AF310">
            <v>0</v>
          </cell>
          <cell r="AG310">
            <v>368625</v>
          </cell>
          <cell r="AH310">
            <v>0</v>
          </cell>
          <cell r="AI310">
            <v>368625</v>
          </cell>
          <cell r="AJ310">
            <v>0</v>
          </cell>
          <cell r="AK310">
            <v>368625</v>
          </cell>
          <cell r="AL310">
            <v>0</v>
          </cell>
          <cell r="AM310">
            <v>368625</v>
          </cell>
          <cell r="AN310">
            <v>0</v>
          </cell>
          <cell r="AO310">
            <v>368625</v>
          </cell>
          <cell r="AP310">
            <v>0</v>
          </cell>
          <cell r="AQ310">
            <v>368625</v>
          </cell>
          <cell r="AR310">
            <v>0</v>
          </cell>
          <cell r="AS310">
            <v>368625</v>
          </cell>
        </row>
        <row r="311">
          <cell r="G311" t="str">
            <v>10.10.44.200</v>
          </cell>
          <cell r="H311">
            <v>74083</v>
          </cell>
          <cell r="I311">
            <v>74083</v>
          </cell>
          <cell r="J311">
            <v>0</v>
          </cell>
          <cell r="K311">
            <v>74083</v>
          </cell>
          <cell r="L311">
            <v>0</v>
          </cell>
          <cell r="M311">
            <v>74083</v>
          </cell>
          <cell r="N311">
            <v>0</v>
          </cell>
          <cell r="O311">
            <v>74083</v>
          </cell>
          <cell r="P311">
            <v>0</v>
          </cell>
          <cell r="Q311">
            <v>74083</v>
          </cell>
          <cell r="R311">
            <v>0</v>
          </cell>
          <cell r="S311">
            <v>74083</v>
          </cell>
          <cell r="T311">
            <v>0</v>
          </cell>
          <cell r="U311">
            <v>74083</v>
          </cell>
          <cell r="V311">
            <v>0</v>
          </cell>
          <cell r="W311">
            <v>74083</v>
          </cell>
          <cell r="X311">
            <v>0</v>
          </cell>
          <cell r="Y311">
            <v>74083</v>
          </cell>
          <cell r="Z311">
            <v>0</v>
          </cell>
          <cell r="AA311">
            <v>74083</v>
          </cell>
          <cell r="AB311">
            <v>0</v>
          </cell>
          <cell r="AC311">
            <v>74083</v>
          </cell>
          <cell r="AD311">
            <v>0</v>
          </cell>
          <cell r="AE311">
            <v>74083</v>
          </cell>
          <cell r="AF311">
            <v>0</v>
          </cell>
          <cell r="AG311">
            <v>74083</v>
          </cell>
          <cell r="AH311">
            <v>0</v>
          </cell>
          <cell r="AI311">
            <v>74083</v>
          </cell>
          <cell r="AJ311">
            <v>0</v>
          </cell>
          <cell r="AK311">
            <v>74083</v>
          </cell>
          <cell r="AL311">
            <v>0</v>
          </cell>
          <cell r="AM311">
            <v>74083</v>
          </cell>
          <cell r="AN311">
            <v>0</v>
          </cell>
          <cell r="AO311">
            <v>74083</v>
          </cell>
          <cell r="AP311">
            <v>0</v>
          </cell>
          <cell r="AQ311">
            <v>74083</v>
          </cell>
          <cell r="AR311">
            <v>0</v>
          </cell>
          <cell r="AS311">
            <v>74083</v>
          </cell>
        </row>
        <row r="312">
          <cell r="G312" t="str">
            <v>10.10.56.201</v>
          </cell>
          <cell r="H312">
            <v>237281</v>
          </cell>
          <cell r="I312">
            <v>237281</v>
          </cell>
          <cell r="J312">
            <v>0</v>
          </cell>
          <cell r="K312">
            <v>237281</v>
          </cell>
          <cell r="L312">
            <v>0</v>
          </cell>
          <cell r="M312">
            <v>237281</v>
          </cell>
          <cell r="N312">
            <v>0</v>
          </cell>
          <cell r="O312">
            <v>237281</v>
          </cell>
          <cell r="P312">
            <v>0</v>
          </cell>
          <cell r="Q312">
            <v>237281</v>
          </cell>
          <cell r="R312">
            <v>0</v>
          </cell>
          <cell r="S312">
            <v>237281</v>
          </cell>
          <cell r="T312">
            <v>0</v>
          </cell>
          <cell r="U312">
            <v>237281</v>
          </cell>
          <cell r="V312">
            <v>0</v>
          </cell>
          <cell r="W312">
            <v>237281</v>
          </cell>
          <cell r="X312">
            <v>0</v>
          </cell>
          <cell r="Y312">
            <v>237281</v>
          </cell>
          <cell r="Z312">
            <v>0</v>
          </cell>
          <cell r="AA312">
            <v>237281</v>
          </cell>
          <cell r="AB312">
            <v>0</v>
          </cell>
          <cell r="AC312">
            <v>237281</v>
          </cell>
          <cell r="AD312">
            <v>0</v>
          </cell>
          <cell r="AE312">
            <v>237281</v>
          </cell>
          <cell r="AF312">
            <v>0</v>
          </cell>
          <cell r="AG312">
            <v>237281</v>
          </cell>
          <cell r="AH312">
            <v>0</v>
          </cell>
          <cell r="AI312">
            <v>237281</v>
          </cell>
          <cell r="AJ312">
            <v>0</v>
          </cell>
          <cell r="AK312">
            <v>237281</v>
          </cell>
          <cell r="AL312">
            <v>0</v>
          </cell>
          <cell r="AM312">
            <v>237281</v>
          </cell>
          <cell r="AN312">
            <v>0</v>
          </cell>
          <cell r="AO312">
            <v>237281</v>
          </cell>
          <cell r="AP312">
            <v>0</v>
          </cell>
          <cell r="AQ312">
            <v>237281</v>
          </cell>
          <cell r="AR312">
            <v>0</v>
          </cell>
          <cell r="AS312">
            <v>237281</v>
          </cell>
        </row>
        <row r="313">
          <cell r="H313">
            <v>483177</v>
          </cell>
          <cell r="I313">
            <v>483177</v>
          </cell>
          <cell r="J313">
            <v>0</v>
          </cell>
          <cell r="K313">
            <v>483177</v>
          </cell>
          <cell r="L313">
            <v>0</v>
          </cell>
          <cell r="M313">
            <v>483177</v>
          </cell>
          <cell r="N313">
            <v>0</v>
          </cell>
          <cell r="O313">
            <v>483177</v>
          </cell>
          <cell r="P313">
            <v>0</v>
          </cell>
          <cell r="Q313">
            <v>483177</v>
          </cell>
          <cell r="R313">
            <v>0</v>
          </cell>
          <cell r="S313">
            <v>483177</v>
          </cell>
          <cell r="T313">
            <v>0</v>
          </cell>
          <cell r="U313">
            <v>483177</v>
          </cell>
          <cell r="V313">
            <v>0</v>
          </cell>
          <cell r="W313">
            <v>483177</v>
          </cell>
          <cell r="X313">
            <v>0</v>
          </cell>
          <cell r="Y313">
            <v>483177</v>
          </cell>
          <cell r="Z313">
            <v>0</v>
          </cell>
          <cell r="AA313">
            <v>483177</v>
          </cell>
          <cell r="AB313">
            <v>0</v>
          </cell>
          <cell r="AC313">
            <v>483177</v>
          </cell>
          <cell r="AD313">
            <v>0</v>
          </cell>
          <cell r="AE313">
            <v>483177</v>
          </cell>
          <cell r="AF313">
            <v>0</v>
          </cell>
          <cell r="AG313">
            <v>483177</v>
          </cell>
          <cell r="AH313">
            <v>0</v>
          </cell>
          <cell r="AI313">
            <v>483177</v>
          </cell>
          <cell r="AJ313">
            <v>0</v>
          </cell>
          <cell r="AK313">
            <v>483177</v>
          </cell>
          <cell r="AL313">
            <v>0</v>
          </cell>
          <cell r="AM313">
            <v>483177</v>
          </cell>
          <cell r="AN313">
            <v>0</v>
          </cell>
          <cell r="AO313">
            <v>483177</v>
          </cell>
          <cell r="AP313">
            <v>0</v>
          </cell>
          <cell r="AQ313">
            <v>483177</v>
          </cell>
          <cell r="AR313">
            <v>0</v>
          </cell>
          <cell r="AS313">
            <v>483177</v>
          </cell>
        </row>
        <row r="314">
          <cell r="G314" t="str">
            <v>10.10.210.200</v>
          </cell>
          <cell r="H314">
            <v>378744</v>
          </cell>
          <cell r="I314">
            <v>378744</v>
          </cell>
          <cell r="J314">
            <v>0</v>
          </cell>
          <cell r="K314">
            <v>378744</v>
          </cell>
          <cell r="L314">
            <v>0</v>
          </cell>
          <cell r="M314">
            <v>378744</v>
          </cell>
          <cell r="N314">
            <v>0</v>
          </cell>
          <cell r="O314">
            <v>378744</v>
          </cell>
          <cell r="P314">
            <v>0</v>
          </cell>
          <cell r="Q314">
            <v>378744</v>
          </cell>
          <cell r="R314">
            <v>0</v>
          </cell>
          <cell r="S314">
            <v>378744</v>
          </cell>
          <cell r="T314">
            <v>0</v>
          </cell>
          <cell r="U314">
            <v>378744</v>
          </cell>
          <cell r="V314">
            <v>0</v>
          </cell>
          <cell r="W314">
            <v>378744</v>
          </cell>
          <cell r="X314">
            <v>0</v>
          </cell>
          <cell r="Y314">
            <v>378744</v>
          </cell>
          <cell r="Z314">
            <v>0</v>
          </cell>
          <cell r="AA314">
            <v>378744</v>
          </cell>
          <cell r="AB314">
            <v>0</v>
          </cell>
          <cell r="AC314">
            <v>378744</v>
          </cell>
          <cell r="AD314">
            <v>0</v>
          </cell>
          <cell r="AE314">
            <v>378744</v>
          </cell>
          <cell r="AF314">
            <v>0</v>
          </cell>
          <cell r="AG314">
            <v>378744</v>
          </cell>
          <cell r="AH314">
            <v>0</v>
          </cell>
          <cell r="AI314">
            <v>378744</v>
          </cell>
          <cell r="AJ314">
            <v>0</v>
          </cell>
          <cell r="AK314">
            <v>378744</v>
          </cell>
          <cell r="AL314">
            <v>0</v>
          </cell>
          <cell r="AM314">
            <v>378744</v>
          </cell>
          <cell r="AN314">
            <v>0</v>
          </cell>
          <cell r="AO314">
            <v>378744</v>
          </cell>
          <cell r="AP314">
            <v>0</v>
          </cell>
          <cell r="AQ314">
            <v>378744</v>
          </cell>
          <cell r="AR314">
            <v>0</v>
          </cell>
          <cell r="AS314">
            <v>378744</v>
          </cell>
        </row>
        <row r="315">
          <cell r="G315" t="str">
            <v>10.10.77.10</v>
          </cell>
          <cell r="H315">
            <v>450762</v>
          </cell>
          <cell r="I315">
            <v>450762</v>
          </cell>
          <cell r="J315">
            <v>0</v>
          </cell>
          <cell r="K315">
            <v>450762</v>
          </cell>
          <cell r="L315">
            <v>0</v>
          </cell>
          <cell r="M315">
            <v>450762</v>
          </cell>
          <cell r="N315">
            <v>0</v>
          </cell>
          <cell r="O315">
            <v>450762</v>
          </cell>
          <cell r="P315">
            <v>0</v>
          </cell>
          <cell r="Q315">
            <v>450762</v>
          </cell>
          <cell r="R315">
            <v>0</v>
          </cell>
          <cell r="S315">
            <v>450762</v>
          </cell>
          <cell r="T315">
            <v>0</v>
          </cell>
          <cell r="U315">
            <v>450762</v>
          </cell>
          <cell r="V315">
            <v>0</v>
          </cell>
          <cell r="W315">
            <v>450762</v>
          </cell>
          <cell r="X315">
            <v>0</v>
          </cell>
          <cell r="Y315">
            <v>450762</v>
          </cell>
          <cell r="Z315">
            <v>0</v>
          </cell>
          <cell r="AA315">
            <v>450762</v>
          </cell>
          <cell r="AB315">
            <v>0</v>
          </cell>
          <cell r="AC315">
            <v>450762</v>
          </cell>
          <cell r="AD315">
            <v>0</v>
          </cell>
          <cell r="AE315">
            <v>450762</v>
          </cell>
          <cell r="AF315">
            <v>0</v>
          </cell>
          <cell r="AG315">
            <v>450762</v>
          </cell>
          <cell r="AH315">
            <v>0</v>
          </cell>
          <cell r="AI315">
            <v>450762</v>
          </cell>
          <cell r="AJ315">
            <v>0</v>
          </cell>
          <cell r="AK315">
            <v>450762</v>
          </cell>
          <cell r="AL315">
            <v>0</v>
          </cell>
          <cell r="AM315">
            <v>450762</v>
          </cell>
          <cell r="AN315">
            <v>0</v>
          </cell>
          <cell r="AO315">
            <v>450762</v>
          </cell>
          <cell r="AP315">
            <v>0</v>
          </cell>
          <cell r="AQ315">
            <v>450762</v>
          </cell>
          <cell r="AR315">
            <v>0</v>
          </cell>
          <cell r="AS315">
            <v>450762</v>
          </cell>
        </row>
        <row r="316">
          <cell r="G316" t="str">
            <v>10.10.220.201</v>
          </cell>
          <cell r="H316">
            <v>359792</v>
          </cell>
          <cell r="I316">
            <v>359792</v>
          </cell>
          <cell r="J316">
            <v>0</v>
          </cell>
          <cell r="K316">
            <v>359792</v>
          </cell>
          <cell r="L316">
            <v>0</v>
          </cell>
          <cell r="M316">
            <v>359792</v>
          </cell>
          <cell r="N316">
            <v>0</v>
          </cell>
          <cell r="O316">
            <v>359792</v>
          </cell>
          <cell r="P316">
            <v>0</v>
          </cell>
          <cell r="Q316">
            <v>359792</v>
          </cell>
          <cell r="R316">
            <v>0</v>
          </cell>
          <cell r="S316">
            <v>359792</v>
          </cell>
          <cell r="T316">
            <v>0</v>
          </cell>
          <cell r="U316">
            <v>359792</v>
          </cell>
          <cell r="V316">
            <v>0</v>
          </cell>
          <cell r="W316">
            <v>359792</v>
          </cell>
          <cell r="X316">
            <v>0</v>
          </cell>
          <cell r="Y316">
            <v>359792</v>
          </cell>
          <cell r="Z316">
            <v>0</v>
          </cell>
          <cell r="AA316">
            <v>359792</v>
          </cell>
          <cell r="AB316">
            <v>0</v>
          </cell>
          <cell r="AC316">
            <v>359792</v>
          </cell>
          <cell r="AD316">
            <v>0</v>
          </cell>
          <cell r="AE316">
            <v>359792</v>
          </cell>
          <cell r="AF316">
            <v>0</v>
          </cell>
          <cell r="AG316">
            <v>359792</v>
          </cell>
          <cell r="AH316">
            <v>0</v>
          </cell>
          <cell r="AI316">
            <v>359792</v>
          </cell>
          <cell r="AJ316">
            <v>0</v>
          </cell>
          <cell r="AK316">
            <v>359792</v>
          </cell>
          <cell r="AL316">
            <v>0</v>
          </cell>
          <cell r="AM316">
            <v>359792</v>
          </cell>
          <cell r="AN316">
            <v>0</v>
          </cell>
          <cell r="AO316">
            <v>359792</v>
          </cell>
          <cell r="AP316">
            <v>0</v>
          </cell>
          <cell r="AQ316">
            <v>359792</v>
          </cell>
          <cell r="AR316">
            <v>0</v>
          </cell>
          <cell r="AS316">
            <v>359792</v>
          </cell>
        </row>
        <row r="317">
          <cell r="G317" t="str">
            <v>10.11.10.201</v>
          </cell>
          <cell r="H317">
            <v>264946</v>
          </cell>
          <cell r="I317">
            <v>264946</v>
          </cell>
          <cell r="J317">
            <v>0</v>
          </cell>
          <cell r="K317">
            <v>264946</v>
          </cell>
          <cell r="L317">
            <v>0</v>
          </cell>
          <cell r="M317">
            <v>264946</v>
          </cell>
          <cell r="N317">
            <v>0</v>
          </cell>
          <cell r="O317">
            <v>264946</v>
          </cell>
          <cell r="P317">
            <v>0</v>
          </cell>
          <cell r="Q317">
            <v>264946</v>
          </cell>
          <cell r="R317">
            <v>0</v>
          </cell>
          <cell r="S317">
            <v>264946</v>
          </cell>
          <cell r="T317">
            <v>0</v>
          </cell>
          <cell r="U317">
            <v>264946</v>
          </cell>
          <cell r="V317">
            <v>0</v>
          </cell>
          <cell r="W317">
            <v>264946</v>
          </cell>
          <cell r="X317">
            <v>0</v>
          </cell>
          <cell r="Y317">
            <v>264946</v>
          </cell>
          <cell r="Z317">
            <v>0</v>
          </cell>
          <cell r="AA317">
            <v>264946</v>
          </cell>
          <cell r="AB317">
            <v>0</v>
          </cell>
          <cell r="AC317">
            <v>264946</v>
          </cell>
          <cell r="AD317">
            <v>0</v>
          </cell>
          <cell r="AE317">
            <v>264946</v>
          </cell>
          <cell r="AF317">
            <v>0</v>
          </cell>
          <cell r="AG317">
            <v>264946</v>
          </cell>
          <cell r="AH317">
            <v>0</v>
          </cell>
          <cell r="AI317">
            <v>264946</v>
          </cell>
          <cell r="AJ317">
            <v>0</v>
          </cell>
          <cell r="AK317">
            <v>264946</v>
          </cell>
          <cell r="AL317">
            <v>0</v>
          </cell>
          <cell r="AM317">
            <v>264946</v>
          </cell>
          <cell r="AN317">
            <v>0</v>
          </cell>
          <cell r="AO317">
            <v>264946</v>
          </cell>
          <cell r="AP317">
            <v>0</v>
          </cell>
          <cell r="AQ317">
            <v>264946</v>
          </cell>
          <cell r="AR317">
            <v>0</v>
          </cell>
          <cell r="AS317">
            <v>264946</v>
          </cell>
        </row>
        <row r="318">
          <cell r="G318" t="str">
            <v>10.10.68.201</v>
          </cell>
          <cell r="H318">
            <v>425089</v>
          </cell>
          <cell r="I318">
            <v>425089</v>
          </cell>
          <cell r="J318">
            <v>0</v>
          </cell>
          <cell r="K318">
            <v>425089</v>
          </cell>
          <cell r="L318">
            <v>0</v>
          </cell>
          <cell r="M318">
            <v>425089</v>
          </cell>
          <cell r="N318">
            <v>0</v>
          </cell>
          <cell r="O318">
            <v>425089</v>
          </cell>
          <cell r="P318">
            <v>0</v>
          </cell>
          <cell r="Q318">
            <v>425089</v>
          </cell>
          <cell r="R318">
            <v>0</v>
          </cell>
          <cell r="S318">
            <v>425089</v>
          </cell>
          <cell r="T318">
            <v>0</v>
          </cell>
          <cell r="U318">
            <v>425089</v>
          </cell>
          <cell r="V318">
            <v>0</v>
          </cell>
          <cell r="W318">
            <v>425089</v>
          </cell>
          <cell r="X318">
            <v>0</v>
          </cell>
          <cell r="Y318">
            <v>425089</v>
          </cell>
          <cell r="Z318">
            <v>0</v>
          </cell>
          <cell r="AA318">
            <v>425089</v>
          </cell>
          <cell r="AB318">
            <v>0</v>
          </cell>
          <cell r="AC318">
            <v>425089</v>
          </cell>
          <cell r="AD318">
            <v>0</v>
          </cell>
          <cell r="AE318">
            <v>425089</v>
          </cell>
          <cell r="AF318">
            <v>0</v>
          </cell>
          <cell r="AG318">
            <v>425089</v>
          </cell>
          <cell r="AH318">
            <v>0</v>
          </cell>
          <cell r="AI318">
            <v>425089</v>
          </cell>
          <cell r="AJ318">
            <v>0</v>
          </cell>
          <cell r="AK318">
            <v>425089</v>
          </cell>
          <cell r="AL318">
            <v>0</v>
          </cell>
          <cell r="AM318">
            <v>425089</v>
          </cell>
          <cell r="AN318">
            <v>0</v>
          </cell>
          <cell r="AO318">
            <v>425089</v>
          </cell>
          <cell r="AP318">
            <v>0</v>
          </cell>
          <cell r="AQ318">
            <v>425089</v>
          </cell>
          <cell r="AR318">
            <v>0</v>
          </cell>
          <cell r="AS318">
            <v>425089</v>
          </cell>
        </row>
        <row r="319">
          <cell r="G319" t="str">
            <v>10.11.1.202</v>
          </cell>
          <cell r="H319">
            <v>359622</v>
          </cell>
          <cell r="I319">
            <v>359622</v>
          </cell>
          <cell r="J319">
            <v>0</v>
          </cell>
          <cell r="K319">
            <v>359622</v>
          </cell>
          <cell r="L319">
            <v>0</v>
          </cell>
          <cell r="M319">
            <v>359622</v>
          </cell>
          <cell r="N319">
            <v>0</v>
          </cell>
          <cell r="O319">
            <v>359622</v>
          </cell>
          <cell r="P319">
            <v>0</v>
          </cell>
          <cell r="Q319">
            <v>359622</v>
          </cell>
          <cell r="R319">
            <v>0</v>
          </cell>
          <cell r="S319">
            <v>359622</v>
          </cell>
          <cell r="T319">
            <v>0</v>
          </cell>
          <cell r="U319">
            <v>359622</v>
          </cell>
          <cell r="V319">
            <v>0</v>
          </cell>
          <cell r="W319">
            <v>359622</v>
          </cell>
          <cell r="X319">
            <v>0</v>
          </cell>
          <cell r="Y319">
            <v>359622</v>
          </cell>
          <cell r="Z319">
            <v>0</v>
          </cell>
          <cell r="AA319">
            <v>359622</v>
          </cell>
          <cell r="AB319">
            <v>0</v>
          </cell>
          <cell r="AC319">
            <v>359622</v>
          </cell>
          <cell r="AD319">
            <v>0</v>
          </cell>
          <cell r="AE319">
            <v>359622</v>
          </cell>
          <cell r="AF319">
            <v>0</v>
          </cell>
          <cell r="AG319">
            <v>359622</v>
          </cell>
          <cell r="AH319">
            <v>0</v>
          </cell>
          <cell r="AI319">
            <v>359622</v>
          </cell>
          <cell r="AJ319">
            <v>0</v>
          </cell>
          <cell r="AK319">
            <v>359622</v>
          </cell>
          <cell r="AL319">
            <v>0</v>
          </cell>
          <cell r="AM319">
            <v>359622</v>
          </cell>
          <cell r="AN319">
            <v>0</v>
          </cell>
          <cell r="AO319">
            <v>359622</v>
          </cell>
          <cell r="AP319">
            <v>0</v>
          </cell>
          <cell r="AQ319">
            <v>359622</v>
          </cell>
          <cell r="AR319">
            <v>0</v>
          </cell>
          <cell r="AS319">
            <v>359622</v>
          </cell>
        </row>
        <row r="320">
          <cell r="G320" t="str">
            <v>10.10.164.200</v>
          </cell>
          <cell r="H320">
            <v>210796</v>
          </cell>
          <cell r="I320">
            <v>210796</v>
          </cell>
          <cell r="J320">
            <v>0</v>
          </cell>
          <cell r="K320">
            <v>210796</v>
          </cell>
          <cell r="L320">
            <v>0</v>
          </cell>
          <cell r="M320">
            <v>210796</v>
          </cell>
          <cell r="N320">
            <v>0</v>
          </cell>
          <cell r="O320">
            <v>210796</v>
          </cell>
          <cell r="P320">
            <v>0</v>
          </cell>
          <cell r="Q320">
            <v>210796</v>
          </cell>
          <cell r="R320">
            <v>0</v>
          </cell>
          <cell r="S320">
            <v>210796</v>
          </cell>
          <cell r="T320">
            <v>0</v>
          </cell>
          <cell r="U320">
            <v>210796</v>
          </cell>
          <cell r="V320">
            <v>0</v>
          </cell>
          <cell r="W320">
            <v>210796</v>
          </cell>
          <cell r="X320">
            <v>0</v>
          </cell>
          <cell r="Y320">
            <v>210796</v>
          </cell>
          <cell r="Z320">
            <v>0</v>
          </cell>
          <cell r="AA320">
            <v>210796</v>
          </cell>
          <cell r="AB320">
            <v>0</v>
          </cell>
          <cell r="AC320">
            <v>210796</v>
          </cell>
          <cell r="AD320">
            <v>0</v>
          </cell>
          <cell r="AE320">
            <v>210796</v>
          </cell>
          <cell r="AF320">
            <v>0</v>
          </cell>
          <cell r="AG320">
            <v>210796</v>
          </cell>
          <cell r="AH320">
            <v>0</v>
          </cell>
          <cell r="AI320">
            <v>210796</v>
          </cell>
          <cell r="AJ320">
            <v>0</v>
          </cell>
          <cell r="AK320">
            <v>210796</v>
          </cell>
          <cell r="AL320">
            <v>0</v>
          </cell>
          <cell r="AM320">
            <v>210796</v>
          </cell>
          <cell r="AN320">
            <v>0</v>
          </cell>
          <cell r="AO320">
            <v>210796</v>
          </cell>
          <cell r="AP320">
            <v>0</v>
          </cell>
          <cell r="AQ320">
            <v>210796</v>
          </cell>
          <cell r="AR320">
            <v>0</v>
          </cell>
          <cell r="AS320">
            <v>210796</v>
          </cell>
        </row>
        <row r="321">
          <cell r="G321" t="str">
            <v>10.10.11.200</v>
          </cell>
          <cell r="H321">
            <v>502138</v>
          </cell>
          <cell r="I321">
            <v>502138</v>
          </cell>
          <cell r="J321">
            <v>0</v>
          </cell>
          <cell r="K321">
            <v>502138</v>
          </cell>
          <cell r="L321">
            <v>0</v>
          </cell>
          <cell r="M321">
            <v>502138</v>
          </cell>
          <cell r="N321">
            <v>0</v>
          </cell>
          <cell r="O321">
            <v>502138</v>
          </cell>
          <cell r="P321">
            <v>0</v>
          </cell>
          <cell r="Q321">
            <v>502138</v>
          </cell>
          <cell r="R321">
            <v>0</v>
          </cell>
          <cell r="S321">
            <v>502138</v>
          </cell>
          <cell r="T321">
            <v>0</v>
          </cell>
          <cell r="U321">
            <v>502138</v>
          </cell>
          <cell r="V321">
            <v>0</v>
          </cell>
          <cell r="W321">
            <v>502138</v>
          </cell>
          <cell r="X321">
            <v>0</v>
          </cell>
          <cell r="Y321">
            <v>502138</v>
          </cell>
          <cell r="Z321">
            <v>0</v>
          </cell>
          <cell r="AA321">
            <v>502138</v>
          </cell>
          <cell r="AB321">
            <v>0</v>
          </cell>
          <cell r="AC321">
            <v>502138</v>
          </cell>
          <cell r="AD321">
            <v>0</v>
          </cell>
          <cell r="AE321">
            <v>502138</v>
          </cell>
          <cell r="AF321">
            <v>0</v>
          </cell>
          <cell r="AG321">
            <v>502138</v>
          </cell>
          <cell r="AH321">
            <v>0</v>
          </cell>
          <cell r="AI321">
            <v>502138</v>
          </cell>
          <cell r="AJ321">
            <v>0</v>
          </cell>
          <cell r="AK321">
            <v>502138</v>
          </cell>
          <cell r="AL321">
            <v>0</v>
          </cell>
          <cell r="AM321">
            <v>502138</v>
          </cell>
          <cell r="AN321">
            <v>0</v>
          </cell>
          <cell r="AO321">
            <v>502138</v>
          </cell>
          <cell r="AP321">
            <v>0</v>
          </cell>
          <cell r="AQ321">
            <v>502138</v>
          </cell>
          <cell r="AR321">
            <v>0</v>
          </cell>
          <cell r="AS321">
            <v>502138</v>
          </cell>
        </row>
        <row r="322">
          <cell r="G322" t="str">
            <v>10.10.144.204</v>
          </cell>
          <cell r="H322">
            <v>177849</v>
          </cell>
          <cell r="I322">
            <v>177849</v>
          </cell>
          <cell r="J322">
            <v>0</v>
          </cell>
          <cell r="K322">
            <v>177849</v>
          </cell>
          <cell r="L322">
            <v>0</v>
          </cell>
          <cell r="M322">
            <v>177849</v>
          </cell>
          <cell r="N322">
            <v>0</v>
          </cell>
          <cell r="O322">
            <v>177849</v>
          </cell>
          <cell r="P322">
            <v>0</v>
          </cell>
          <cell r="Q322">
            <v>177849</v>
          </cell>
          <cell r="R322">
            <v>0</v>
          </cell>
          <cell r="S322">
            <v>177849</v>
          </cell>
          <cell r="T322">
            <v>0</v>
          </cell>
          <cell r="U322">
            <v>177849</v>
          </cell>
          <cell r="V322">
            <v>0</v>
          </cell>
          <cell r="W322">
            <v>177849</v>
          </cell>
          <cell r="X322">
            <v>0</v>
          </cell>
          <cell r="Y322">
            <v>177849</v>
          </cell>
          <cell r="Z322">
            <v>0</v>
          </cell>
          <cell r="AA322">
            <v>177849</v>
          </cell>
          <cell r="AB322">
            <v>0</v>
          </cell>
          <cell r="AC322">
            <v>177849</v>
          </cell>
          <cell r="AD322">
            <v>0</v>
          </cell>
          <cell r="AE322">
            <v>177849</v>
          </cell>
          <cell r="AF322">
            <v>0</v>
          </cell>
          <cell r="AG322">
            <v>177849</v>
          </cell>
          <cell r="AH322">
            <v>0</v>
          </cell>
          <cell r="AI322">
            <v>177849</v>
          </cell>
          <cell r="AJ322">
            <v>0</v>
          </cell>
          <cell r="AK322">
            <v>177849</v>
          </cell>
          <cell r="AL322">
            <v>0</v>
          </cell>
          <cell r="AM322">
            <v>177849</v>
          </cell>
          <cell r="AN322">
            <v>0</v>
          </cell>
          <cell r="AO322">
            <v>177849</v>
          </cell>
          <cell r="AP322">
            <v>0</v>
          </cell>
          <cell r="AQ322">
            <v>177849</v>
          </cell>
          <cell r="AR322">
            <v>0</v>
          </cell>
          <cell r="AS322">
            <v>177849</v>
          </cell>
        </row>
        <row r="323">
          <cell r="H323">
            <v>402798</v>
          </cell>
          <cell r="I323">
            <v>402798</v>
          </cell>
          <cell r="J323">
            <v>0</v>
          </cell>
          <cell r="K323">
            <v>402798</v>
          </cell>
          <cell r="L323">
            <v>0</v>
          </cell>
          <cell r="M323">
            <v>402798</v>
          </cell>
          <cell r="N323">
            <v>0</v>
          </cell>
          <cell r="O323">
            <v>402798</v>
          </cell>
          <cell r="P323">
            <v>0</v>
          </cell>
          <cell r="Q323">
            <v>402798</v>
          </cell>
          <cell r="R323">
            <v>0</v>
          </cell>
          <cell r="S323">
            <v>402798</v>
          </cell>
          <cell r="T323">
            <v>0</v>
          </cell>
          <cell r="U323">
            <v>402798</v>
          </cell>
          <cell r="V323">
            <v>0</v>
          </cell>
          <cell r="W323">
            <v>402798</v>
          </cell>
          <cell r="X323">
            <v>0</v>
          </cell>
          <cell r="Y323">
            <v>402798</v>
          </cell>
          <cell r="Z323">
            <v>0</v>
          </cell>
          <cell r="AA323">
            <v>402798</v>
          </cell>
          <cell r="AB323">
            <v>0</v>
          </cell>
          <cell r="AC323">
            <v>402798</v>
          </cell>
          <cell r="AD323">
            <v>0</v>
          </cell>
          <cell r="AE323">
            <v>402798</v>
          </cell>
          <cell r="AF323">
            <v>0</v>
          </cell>
          <cell r="AG323">
            <v>402798</v>
          </cell>
          <cell r="AH323">
            <v>0</v>
          </cell>
          <cell r="AI323">
            <v>402798</v>
          </cell>
          <cell r="AJ323">
            <v>0</v>
          </cell>
          <cell r="AK323">
            <v>402798</v>
          </cell>
          <cell r="AL323">
            <v>0</v>
          </cell>
          <cell r="AM323">
            <v>402798</v>
          </cell>
          <cell r="AN323">
            <v>0</v>
          </cell>
          <cell r="AO323">
            <v>402798</v>
          </cell>
          <cell r="AP323">
            <v>0</v>
          </cell>
          <cell r="AQ323">
            <v>402798</v>
          </cell>
          <cell r="AR323">
            <v>0</v>
          </cell>
          <cell r="AS323">
            <v>402798</v>
          </cell>
        </row>
        <row r="324">
          <cell r="G324" t="str">
            <v>10.14.35.202</v>
          </cell>
          <cell r="H324">
            <v>384687</v>
          </cell>
          <cell r="I324">
            <v>384687</v>
          </cell>
          <cell r="J324">
            <v>0</v>
          </cell>
          <cell r="K324">
            <v>384687</v>
          </cell>
          <cell r="L324">
            <v>0</v>
          </cell>
          <cell r="M324">
            <v>384687</v>
          </cell>
          <cell r="N324">
            <v>0</v>
          </cell>
          <cell r="O324">
            <v>384687</v>
          </cell>
          <cell r="P324">
            <v>0</v>
          </cell>
          <cell r="Q324">
            <v>384687</v>
          </cell>
          <cell r="R324">
            <v>0</v>
          </cell>
          <cell r="S324">
            <v>384687</v>
          </cell>
          <cell r="T324">
            <v>0</v>
          </cell>
          <cell r="U324">
            <v>384687</v>
          </cell>
          <cell r="V324">
            <v>0</v>
          </cell>
          <cell r="W324">
            <v>384687</v>
          </cell>
          <cell r="X324">
            <v>0</v>
          </cell>
          <cell r="Y324">
            <v>384687</v>
          </cell>
          <cell r="Z324">
            <v>0</v>
          </cell>
          <cell r="AA324">
            <v>384687</v>
          </cell>
          <cell r="AB324">
            <v>0</v>
          </cell>
          <cell r="AC324">
            <v>384687</v>
          </cell>
          <cell r="AD324">
            <v>0</v>
          </cell>
          <cell r="AE324">
            <v>384687</v>
          </cell>
          <cell r="AF324">
            <v>0</v>
          </cell>
          <cell r="AG324">
            <v>384687</v>
          </cell>
          <cell r="AH324">
            <v>0</v>
          </cell>
          <cell r="AI324">
            <v>384687</v>
          </cell>
          <cell r="AJ324">
            <v>0</v>
          </cell>
          <cell r="AK324">
            <v>384687</v>
          </cell>
          <cell r="AL324">
            <v>0</v>
          </cell>
          <cell r="AM324">
            <v>384687</v>
          </cell>
          <cell r="AN324">
            <v>0</v>
          </cell>
          <cell r="AO324">
            <v>384687</v>
          </cell>
          <cell r="AP324">
            <v>0</v>
          </cell>
          <cell r="AQ324">
            <v>384687</v>
          </cell>
          <cell r="AR324">
            <v>0</v>
          </cell>
          <cell r="AS324">
            <v>384687</v>
          </cell>
        </row>
        <row r="325">
          <cell r="G325" t="str">
            <v>10.14.19.201</v>
          </cell>
          <cell r="H325">
            <v>312358</v>
          </cell>
          <cell r="I325">
            <v>312358</v>
          </cell>
          <cell r="J325">
            <v>0</v>
          </cell>
          <cell r="K325">
            <v>312358</v>
          </cell>
          <cell r="L325">
            <v>0</v>
          </cell>
          <cell r="M325">
            <v>312358</v>
          </cell>
          <cell r="N325">
            <v>0</v>
          </cell>
          <cell r="O325">
            <v>312358</v>
          </cell>
          <cell r="P325">
            <v>0</v>
          </cell>
          <cell r="Q325">
            <v>312358</v>
          </cell>
          <cell r="R325">
            <v>0</v>
          </cell>
          <cell r="S325">
            <v>312358</v>
          </cell>
          <cell r="T325">
            <v>0</v>
          </cell>
          <cell r="U325">
            <v>312358</v>
          </cell>
          <cell r="V325">
            <v>0</v>
          </cell>
          <cell r="W325">
            <v>312358</v>
          </cell>
          <cell r="X325">
            <v>0</v>
          </cell>
          <cell r="Y325">
            <v>312358</v>
          </cell>
          <cell r="Z325">
            <v>0</v>
          </cell>
          <cell r="AA325">
            <v>312358</v>
          </cell>
          <cell r="AB325">
            <v>0</v>
          </cell>
          <cell r="AC325">
            <v>312358</v>
          </cell>
          <cell r="AD325">
            <v>0</v>
          </cell>
          <cell r="AE325">
            <v>312358</v>
          </cell>
          <cell r="AF325">
            <v>0</v>
          </cell>
          <cell r="AG325">
            <v>312358</v>
          </cell>
          <cell r="AH325">
            <v>0</v>
          </cell>
          <cell r="AI325">
            <v>312358</v>
          </cell>
          <cell r="AJ325">
            <v>0</v>
          </cell>
          <cell r="AK325">
            <v>312358</v>
          </cell>
          <cell r="AL325">
            <v>0</v>
          </cell>
          <cell r="AM325">
            <v>312358</v>
          </cell>
          <cell r="AN325">
            <v>0</v>
          </cell>
          <cell r="AO325">
            <v>312358</v>
          </cell>
          <cell r="AP325">
            <v>0</v>
          </cell>
          <cell r="AQ325">
            <v>312358</v>
          </cell>
          <cell r="AR325">
            <v>0</v>
          </cell>
          <cell r="AS325">
            <v>312358</v>
          </cell>
        </row>
        <row r="326">
          <cell r="G326" t="str">
            <v>10.14.66.201</v>
          </cell>
          <cell r="H326">
            <v>316998</v>
          </cell>
          <cell r="I326">
            <v>316998</v>
          </cell>
          <cell r="J326">
            <v>0</v>
          </cell>
          <cell r="K326">
            <v>316998</v>
          </cell>
          <cell r="L326">
            <v>0</v>
          </cell>
          <cell r="M326">
            <v>316998</v>
          </cell>
          <cell r="N326">
            <v>0</v>
          </cell>
          <cell r="O326">
            <v>316998</v>
          </cell>
          <cell r="P326">
            <v>0</v>
          </cell>
          <cell r="Q326">
            <v>316998</v>
          </cell>
          <cell r="R326">
            <v>0</v>
          </cell>
          <cell r="S326">
            <v>316998</v>
          </cell>
          <cell r="T326">
            <v>0</v>
          </cell>
          <cell r="U326">
            <v>316998</v>
          </cell>
          <cell r="V326">
            <v>0</v>
          </cell>
          <cell r="W326">
            <v>316998</v>
          </cell>
          <cell r="X326">
            <v>0</v>
          </cell>
          <cell r="Y326">
            <v>316998</v>
          </cell>
          <cell r="Z326">
            <v>0</v>
          </cell>
          <cell r="AA326">
            <v>316998</v>
          </cell>
          <cell r="AB326">
            <v>0</v>
          </cell>
          <cell r="AC326">
            <v>316998</v>
          </cell>
          <cell r="AD326">
            <v>0</v>
          </cell>
          <cell r="AE326">
            <v>316998</v>
          </cell>
          <cell r="AF326">
            <v>0</v>
          </cell>
          <cell r="AG326">
            <v>316998</v>
          </cell>
          <cell r="AH326">
            <v>0</v>
          </cell>
          <cell r="AI326">
            <v>316998</v>
          </cell>
          <cell r="AJ326">
            <v>0</v>
          </cell>
          <cell r="AK326">
            <v>316998</v>
          </cell>
          <cell r="AL326">
            <v>0</v>
          </cell>
          <cell r="AM326">
            <v>316998</v>
          </cell>
          <cell r="AN326">
            <v>0</v>
          </cell>
          <cell r="AO326">
            <v>316998</v>
          </cell>
          <cell r="AP326">
            <v>0</v>
          </cell>
          <cell r="AQ326">
            <v>316998</v>
          </cell>
          <cell r="AR326">
            <v>0</v>
          </cell>
          <cell r="AS326">
            <v>316998</v>
          </cell>
        </row>
        <row r="327">
          <cell r="G327" t="str">
            <v>10.10.193.201</v>
          </cell>
          <cell r="H327">
            <v>181950</v>
          </cell>
          <cell r="I327">
            <v>181950</v>
          </cell>
          <cell r="J327">
            <v>0</v>
          </cell>
          <cell r="K327">
            <v>181950</v>
          </cell>
          <cell r="L327">
            <v>0</v>
          </cell>
          <cell r="M327">
            <v>181950</v>
          </cell>
          <cell r="N327">
            <v>0</v>
          </cell>
          <cell r="O327">
            <v>181950</v>
          </cell>
          <cell r="P327">
            <v>0</v>
          </cell>
          <cell r="Q327">
            <v>181950</v>
          </cell>
          <cell r="R327">
            <v>0</v>
          </cell>
          <cell r="S327">
            <v>181950</v>
          </cell>
          <cell r="T327">
            <v>0</v>
          </cell>
          <cell r="U327">
            <v>181950</v>
          </cell>
          <cell r="V327">
            <v>0</v>
          </cell>
          <cell r="W327">
            <v>181950</v>
          </cell>
          <cell r="X327">
            <v>0</v>
          </cell>
          <cell r="Y327">
            <v>181950</v>
          </cell>
          <cell r="Z327">
            <v>0</v>
          </cell>
          <cell r="AA327">
            <v>181950</v>
          </cell>
          <cell r="AB327">
            <v>0</v>
          </cell>
          <cell r="AC327">
            <v>181950</v>
          </cell>
          <cell r="AD327">
            <v>0</v>
          </cell>
          <cell r="AE327">
            <v>181950</v>
          </cell>
          <cell r="AF327">
            <v>0</v>
          </cell>
          <cell r="AG327">
            <v>181950</v>
          </cell>
          <cell r="AH327">
            <v>0</v>
          </cell>
          <cell r="AI327">
            <v>181950</v>
          </cell>
          <cell r="AJ327">
            <v>0</v>
          </cell>
          <cell r="AK327">
            <v>181950</v>
          </cell>
          <cell r="AL327">
            <v>0</v>
          </cell>
          <cell r="AM327">
            <v>181950</v>
          </cell>
          <cell r="AN327">
            <v>0</v>
          </cell>
          <cell r="AO327">
            <v>181950</v>
          </cell>
          <cell r="AP327">
            <v>0</v>
          </cell>
          <cell r="AQ327">
            <v>181950</v>
          </cell>
          <cell r="AR327">
            <v>0</v>
          </cell>
          <cell r="AS327">
            <v>181950</v>
          </cell>
        </row>
        <row r="328">
          <cell r="G328" t="str">
            <v>10.10.79.200</v>
          </cell>
          <cell r="H328">
            <v>110506</v>
          </cell>
          <cell r="I328">
            <v>110506</v>
          </cell>
          <cell r="J328">
            <v>0</v>
          </cell>
          <cell r="K328">
            <v>110506</v>
          </cell>
          <cell r="L328">
            <v>0</v>
          </cell>
          <cell r="M328">
            <v>110506</v>
          </cell>
          <cell r="N328">
            <v>0</v>
          </cell>
          <cell r="O328">
            <v>110506</v>
          </cell>
          <cell r="P328">
            <v>0</v>
          </cell>
          <cell r="Q328">
            <v>110506</v>
          </cell>
          <cell r="R328">
            <v>0</v>
          </cell>
          <cell r="S328">
            <v>110506</v>
          </cell>
          <cell r="T328">
            <v>0</v>
          </cell>
          <cell r="U328">
            <v>110506</v>
          </cell>
          <cell r="V328">
            <v>0</v>
          </cell>
          <cell r="W328">
            <v>110506</v>
          </cell>
          <cell r="X328">
            <v>0</v>
          </cell>
          <cell r="Y328">
            <v>110506</v>
          </cell>
          <cell r="Z328">
            <v>0</v>
          </cell>
          <cell r="AA328">
            <v>110506</v>
          </cell>
          <cell r="AB328">
            <v>0</v>
          </cell>
          <cell r="AC328">
            <v>110506</v>
          </cell>
          <cell r="AD328">
            <v>0</v>
          </cell>
          <cell r="AE328">
            <v>110506</v>
          </cell>
          <cell r="AF328">
            <v>0</v>
          </cell>
          <cell r="AG328">
            <v>110506</v>
          </cell>
          <cell r="AH328">
            <v>0</v>
          </cell>
          <cell r="AI328">
            <v>110506</v>
          </cell>
          <cell r="AJ328">
            <v>0</v>
          </cell>
          <cell r="AK328">
            <v>110506</v>
          </cell>
          <cell r="AL328">
            <v>0</v>
          </cell>
          <cell r="AM328">
            <v>110506</v>
          </cell>
          <cell r="AN328">
            <v>0</v>
          </cell>
          <cell r="AO328">
            <v>110506</v>
          </cell>
          <cell r="AP328">
            <v>0</v>
          </cell>
          <cell r="AQ328">
            <v>110506</v>
          </cell>
          <cell r="AR328">
            <v>0</v>
          </cell>
          <cell r="AS328">
            <v>110506</v>
          </cell>
        </row>
        <row r="329">
          <cell r="G329" t="str">
            <v>10.14.12.200</v>
          </cell>
          <cell r="H329">
            <v>512688</v>
          </cell>
          <cell r="I329">
            <v>512688</v>
          </cell>
          <cell r="J329">
            <v>0</v>
          </cell>
          <cell r="K329">
            <v>512688</v>
          </cell>
          <cell r="L329">
            <v>0</v>
          </cell>
          <cell r="M329">
            <v>512688</v>
          </cell>
          <cell r="N329">
            <v>0</v>
          </cell>
          <cell r="O329">
            <v>512688</v>
          </cell>
          <cell r="P329">
            <v>0</v>
          </cell>
          <cell r="Q329">
            <v>512688</v>
          </cell>
          <cell r="R329">
            <v>0</v>
          </cell>
          <cell r="S329">
            <v>512688</v>
          </cell>
          <cell r="T329">
            <v>0</v>
          </cell>
          <cell r="U329">
            <v>512688</v>
          </cell>
          <cell r="V329">
            <v>0</v>
          </cell>
          <cell r="W329">
            <v>512688</v>
          </cell>
          <cell r="X329">
            <v>0</v>
          </cell>
          <cell r="Y329">
            <v>512688</v>
          </cell>
          <cell r="Z329">
            <v>0</v>
          </cell>
          <cell r="AA329">
            <v>512688</v>
          </cell>
          <cell r="AB329">
            <v>0</v>
          </cell>
          <cell r="AC329">
            <v>512688</v>
          </cell>
          <cell r="AD329">
            <v>0</v>
          </cell>
          <cell r="AE329">
            <v>512688</v>
          </cell>
          <cell r="AF329">
            <v>0</v>
          </cell>
          <cell r="AG329">
            <v>512688</v>
          </cell>
          <cell r="AH329">
            <v>0</v>
          </cell>
          <cell r="AI329">
            <v>512688</v>
          </cell>
          <cell r="AJ329">
            <v>0</v>
          </cell>
          <cell r="AK329">
            <v>512688</v>
          </cell>
          <cell r="AL329">
            <v>0</v>
          </cell>
          <cell r="AM329">
            <v>512688</v>
          </cell>
          <cell r="AN329">
            <v>0</v>
          </cell>
          <cell r="AO329">
            <v>512688</v>
          </cell>
          <cell r="AP329">
            <v>0</v>
          </cell>
          <cell r="AQ329">
            <v>512688</v>
          </cell>
          <cell r="AR329">
            <v>0</v>
          </cell>
          <cell r="AS329">
            <v>512688</v>
          </cell>
        </row>
        <row r="330">
          <cell r="G330" t="str">
            <v>10.10.95.201</v>
          </cell>
          <cell r="H330">
            <v>494977</v>
          </cell>
          <cell r="I330">
            <v>494977</v>
          </cell>
          <cell r="J330">
            <v>0</v>
          </cell>
          <cell r="K330">
            <v>494977</v>
          </cell>
          <cell r="L330">
            <v>0</v>
          </cell>
          <cell r="M330">
            <v>494977</v>
          </cell>
          <cell r="N330">
            <v>0</v>
          </cell>
          <cell r="O330">
            <v>494977</v>
          </cell>
          <cell r="P330">
            <v>0</v>
          </cell>
          <cell r="Q330">
            <v>494977</v>
          </cell>
          <cell r="R330">
            <v>0</v>
          </cell>
          <cell r="S330">
            <v>494977</v>
          </cell>
          <cell r="T330">
            <v>0</v>
          </cell>
          <cell r="U330">
            <v>494977</v>
          </cell>
          <cell r="V330">
            <v>0</v>
          </cell>
          <cell r="W330">
            <v>494977</v>
          </cell>
          <cell r="X330">
            <v>0</v>
          </cell>
          <cell r="Y330">
            <v>494977</v>
          </cell>
          <cell r="Z330">
            <v>0</v>
          </cell>
          <cell r="AA330">
            <v>494977</v>
          </cell>
          <cell r="AB330">
            <v>0</v>
          </cell>
          <cell r="AC330">
            <v>494977</v>
          </cell>
          <cell r="AD330">
            <v>0</v>
          </cell>
          <cell r="AE330">
            <v>494977</v>
          </cell>
          <cell r="AF330">
            <v>0</v>
          </cell>
          <cell r="AG330">
            <v>494977</v>
          </cell>
          <cell r="AH330">
            <v>0</v>
          </cell>
          <cell r="AI330">
            <v>494977</v>
          </cell>
          <cell r="AJ330">
            <v>0</v>
          </cell>
          <cell r="AK330">
            <v>494977</v>
          </cell>
          <cell r="AL330">
            <v>0</v>
          </cell>
          <cell r="AM330">
            <v>494977</v>
          </cell>
          <cell r="AN330">
            <v>0</v>
          </cell>
          <cell r="AO330">
            <v>494977</v>
          </cell>
          <cell r="AP330">
            <v>0</v>
          </cell>
          <cell r="AQ330">
            <v>494977</v>
          </cell>
          <cell r="AR330">
            <v>0</v>
          </cell>
          <cell r="AS330">
            <v>494977</v>
          </cell>
        </row>
        <row r="331">
          <cell r="J331">
            <v>59844</v>
          </cell>
          <cell r="L331">
            <v>431</v>
          </cell>
          <cell r="N331">
            <v>30597</v>
          </cell>
          <cell r="P331">
            <v>29533</v>
          </cell>
          <cell r="R331">
            <v>30893</v>
          </cell>
          <cell r="T331">
            <v>29793</v>
          </cell>
          <cell r="V331">
            <v>32612</v>
          </cell>
          <cell r="X331">
            <v>27733</v>
          </cell>
          <cell r="Z331">
            <v>29669</v>
          </cell>
          <cell r="AB331">
            <v>27712</v>
          </cell>
          <cell r="AD331">
            <v>32752</v>
          </cell>
          <cell r="AF331">
            <v>32729</v>
          </cell>
          <cell r="AH331">
            <v>30755</v>
          </cell>
          <cell r="AJ331">
            <v>29405</v>
          </cell>
          <cell r="AL331">
            <v>28808</v>
          </cell>
          <cell r="AN331">
            <v>32690</v>
          </cell>
          <cell r="AP331">
            <v>59634</v>
          </cell>
          <cell r="AR331">
            <v>1237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zoomScale="85" zoomScaleNormal="85" zoomScaleSheetLayoutView="106" workbookViewId="0">
      <pane ySplit="1" topLeftCell="A2" activePane="bottomLeft" state="frozen"/>
      <selection pane="bottomLeft" activeCell="O303" sqref="O303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404</v>
      </c>
      <c r="B1" s="98" t="s">
        <v>405</v>
      </c>
      <c r="C1" s="98" t="s">
        <v>406</v>
      </c>
      <c r="D1" s="98" t="s">
        <v>407</v>
      </c>
      <c r="E1" s="98" t="s">
        <v>408</v>
      </c>
      <c r="F1" s="98" t="s">
        <v>409</v>
      </c>
      <c r="G1" s="98" t="s">
        <v>0</v>
      </c>
      <c r="H1" s="52" t="s">
        <v>2502</v>
      </c>
      <c r="I1" s="87" t="s">
        <v>2154</v>
      </c>
      <c r="J1" s="87" t="s">
        <v>2505</v>
      </c>
      <c r="K1" s="88" t="s">
        <v>2155</v>
      </c>
      <c r="L1" s="88" t="s">
        <v>2156</v>
      </c>
      <c r="M1" s="87" t="s">
        <v>2157</v>
      </c>
      <c r="N1" s="87" t="s">
        <v>2158</v>
      </c>
      <c r="O1" s="88" t="s">
        <v>2159</v>
      </c>
      <c r="P1" s="88" t="s">
        <v>2160</v>
      </c>
      <c r="Q1" s="87" t="s">
        <v>2161</v>
      </c>
      <c r="R1" s="87" t="s">
        <v>2162</v>
      </c>
      <c r="S1" s="99" t="s">
        <v>395</v>
      </c>
      <c r="T1" s="99" t="s">
        <v>2163</v>
      </c>
      <c r="U1" s="100" t="s">
        <v>379</v>
      </c>
      <c r="V1" s="101" t="s">
        <v>2223</v>
      </c>
      <c r="W1" s="101" t="s">
        <v>2372</v>
      </c>
    </row>
    <row r="2" spans="1:23" ht="13.5" customHeight="1" x14ac:dyDescent="0.25">
      <c r="A2" s="53" t="s">
        <v>2442</v>
      </c>
      <c r="B2" s="14" t="s">
        <v>673</v>
      </c>
      <c r="C2" s="120">
        <v>9948</v>
      </c>
      <c r="D2" s="14" t="s">
        <v>2440</v>
      </c>
      <c r="E2" s="14" t="s">
        <v>413</v>
      </c>
      <c r="F2" s="14" t="s">
        <v>1218</v>
      </c>
      <c r="G2" s="14" t="s">
        <v>237</v>
      </c>
      <c r="H2" s="55">
        <v>46532</v>
      </c>
      <c r="I2" s="55">
        <v>46573</v>
      </c>
      <c r="J2" s="55">
        <f>I2-H2</f>
        <v>41</v>
      </c>
      <c r="K2" s="55">
        <f>VLOOKUP(G2,'[1]01-09 al 30-09'!$G:$AA,21,FALSE)</f>
        <v>46608</v>
      </c>
      <c r="L2" s="55">
        <f>K2-I2</f>
        <v>35</v>
      </c>
      <c r="M2" s="55">
        <f>VLOOKUP(G2,'[1]01-09 al 30-09'!$G:$AI,29,FALSE)</f>
        <v>46628</v>
      </c>
      <c r="N2" s="55">
        <f>M2-K2</f>
        <v>20</v>
      </c>
      <c r="O2" s="55">
        <f>VLOOKUP(G2,'[1]01-09 al 30-09'!$G:$AS,39,FALSE)</f>
        <v>46668</v>
      </c>
      <c r="P2" s="55">
        <f>O2-M2</f>
        <v>40</v>
      </c>
      <c r="Q2" s="55"/>
      <c r="R2" s="55"/>
      <c r="S2" s="90">
        <f>R2+P2+N2+L2+J2</f>
        <v>136</v>
      </c>
      <c r="T2" s="89">
        <v>46146</v>
      </c>
      <c r="U2" s="14"/>
      <c r="V2" s="108" t="s">
        <v>2375</v>
      </c>
      <c r="W2" s="105" t="str">
        <f>VLOOKUP(C2,'Status oficina'!$A$2:$C$208,3,FALSE)</f>
        <v>Activa</v>
      </c>
    </row>
    <row r="3" spans="1:23" ht="13.5" customHeight="1" x14ac:dyDescent="0.25">
      <c r="A3" s="14" t="s">
        <v>939</v>
      </c>
      <c r="B3" s="14" t="s">
        <v>1025</v>
      </c>
      <c r="C3" s="120">
        <v>9503</v>
      </c>
      <c r="D3" s="14" t="s">
        <v>1027</v>
      </c>
      <c r="E3" s="14" t="s">
        <v>413</v>
      </c>
      <c r="F3" s="14" t="s">
        <v>1028</v>
      </c>
      <c r="G3" s="70" t="s">
        <v>378</v>
      </c>
      <c r="H3" s="55">
        <v>55906</v>
      </c>
      <c r="I3" s="55">
        <v>55955</v>
      </c>
      <c r="J3" s="55">
        <f t="shared" ref="J3:J66" si="0">I3-H3</f>
        <v>49</v>
      </c>
      <c r="K3" s="55">
        <v>55980</v>
      </c>
      <c r="L3" s="55">
        <f t="shared" ref="L3:L66" si="1">K3-I3</f>
        <v>25</v>
      </c>
      <c r="M3" s="55">
        <f>VLOOKUP(G3,'[1]01-09 al 30-09'!$G:$AI,29,FALSE)</f>
        <v>56025</v>
      </c>
      <c r="N3" s="55">
        <f t="shared" ref="N3:N66" si="2">M3-K3</f>
        <v>45</v>
      </c>
      <c r="O3" s="55">
        <f>VLOOKUP(G3,'[1]01-09 al 30-09'!$G:$AS,39,FALSE)</f>
        <v>56054</v>
      </c>
      <c r="P3" s="55">
        <f t="shared" ref="P3:P66" si="3">O3-M3</f>
        <v>29</v>
      </c>
      <c r="Q3" s="55"/>
      <c r="R3" s="55"/>
      <c r="S3" s="90">
        <f t="shared" ref="S3:S66" si="4">R3+P3+N3+L3+J3</f>
        <v>148</v>
      </c>
      <c r="T3" s="89">
        <v>46146</v>
      </c>
      <c r="U3" s="14"/>
      <c r="V3" s="108" t="s">
        <v>2375</v>
      </c>
      <c r="W3" s="105" t="str">
        <f>VLOOKUP(C3,'Status oficina'!$A$2:$C$208,3,FALSE)</f>
        <v>Activa</v>
      </c>
    </row>
    <row r="4" spans="1:23" ht="13.5" customHeight="1" x14ac:dyDescent="0.25">
      <c r="A4" s="53" t="s">
        <v>868</v>
      </c>
      <c r="B4" s="53" t="s">
        <v>431</v>
      </c>
      <c r="C4" s="19">
        <v>9892</v>
      </c>
      <c r="D4" s="53" t="s">
        <v>2417</v>
      </c>
      <c r="E4" s="53" t="s">
        <v>413</v>
      </c>
      <c r="F4" s="53" t="s">
        <v>1074</v>
      </c>
      <c r="G4" s="53" t="s">
        <v>78</v>
      </c>
      <c r="H4" s="55">
        <v>146483</v>
      </c>
      <c r="I4" s="55">
        <v>146584</v>
      </c>
      <c r="J4" s="55">
        <f t="shared" si="0"/>
        <v>101</v>
      </c>
      <c r="K4" s="55">
        <v>146867</v>
      </c>
      <c r="L4" s="55">
        <f t="shared" si="1"/>
        <v>283</v>
      </c>
      <c r="M4" s="55">
        <f>VLOOKUP(G4,'[1]01-09 al 30-09'!$G:$AI,29,FALSE)</f>
        <v>146967</v>
      </c>
      <c r="N4" s="55">
        <f t="shared" si="2"/>
        <v>100</v>
      </c>
      <c r="O4" s="55">
        <f>VLOOKUP(G4,'[1]01-09 al 30-09'!$G:$AS,39,FALSE)</f>
        <v>147175</v>
      </c>
      <c r="P4" s="55">
        <f t="shared" si="3"/>
        <v>208</v>
      </c>
      <c r="Q4" s="55"/>
      <c r="R4" s="55"/>
      <c r="S4" s="90">
        <f t="shared" si="4"/>
        <v>692</v>
      </c>
      <c r="T4" s="89">
        <v>46146</v>
      </c>
      <c r="U4" s="57"/>
      <c r="V4" s="105" t="s">
        <v>2375</v>
      </c>
      <c r="W4" s="105" t="str">
        <f>VLOOKUP(C4,'Status oficina'!$A$2:$C$208,3,FALSE)</f>
        <v>Activa</v>
      </c>
    </row>
    <row r="5" spans="1:23" ht="13.5" customHeight="1" x14ac:dyDescent="0.25">
      <c r="A5" s="53" t="s">
        <v>2442</v>
      </c>
      <c r="B5" s="14" t="s">
        <v>757</v>
      </c>
      <c r="C5" s="120">
        <v>9211</v>
      </c>
      <c r="D5" s="14" t="s">
        <v>759</v>
      </c>
      <c r="E5" s="14" t="s">
        <v>413</v>
      </c>
      <c r="F5" s="14" t="s">
        <v>762</v>
      </c>
      <c r="G5" s="14" t="s">
        <v>394</v>
      </c>
      <c r="H5" s="55">
        <v>172355</v>
      </c>
      <c r="I5" s="55">
        <v>172355</v>
      </c>
      <c r="J5" s="55">
        <f t="shared" si="0"/>
        <v>0</v>
      </c>
      <c r="K5" s="55">
        <v>172355</v>
      </c>
      <c r="L5" s="55">
        <f t="shared" si="1"/>
        <v>0</v>
      </c>
      <c r="M5" s="55">
        <f>VLOOKUP(G5,'[1]01-09 al 30-09'!$G:$AI,29,FALSE)</f>
        <v>172355</v>
      </c>
      <c r="N5" s="55">
        <f t="shared" si="2"/>
        <v>0</v>
      </c>
      <c r="O5" s="55">
        <f>VLOOKUP(G5,'[1]01-09 al 30-09'!$G:$AS,39,FALSE)</f>
        <v>172355</v>
      </c>
      <c r="P5" s="55">
        <f t="shared" si="3"/>
        <v>0</v>
      </c>
      <c r="Q5" s="55"/>
      <c r="R5" s="55"/>
      <c r="S5" s="90">
        <f t="shared" si="4"/>
        <v>0</v>
      </c>
      <c r="T5" s="89">
        <v>46146</v>
      </c>
      <c r="U5" s="14" t="s">
        <v>2126</v>
      </c>
      <c r="V5" s="105" t="s">
        <v>2374</v>
      </c>
      <c r="W5" s="105" t="str">
        <f>VLOOKUP(C5,'Status oficina'!$A$2:$C$208,3,FALSE)</f>
        <v>Activa</v>
      </c>
    </row>
    <row r="6" spans="1:23" ht="13.5" customHeight="1" x14ac:dyDescent="0.25">
      <c r="A6" s="53" t="s">
        <v>2442</v>
      </c>
      <c r="B6" s="14" t="s">
        <v>639</v>
      </c>
      <c r="C6" s="19">
        <v>9214</v>
      </c>
      <c r="D6" s="14" t="s">
        <v>641</v>
      </c>
      <c r="E6" s="14" t="s">
        <v>413</v>
      </c>
      <c r="F6" s="14" t="s">
        <v>1200</v>
      </c>
      <c r="G6" s="14" t="s">
        <v>278</v>
      </c>
      <c r="H6" s="55">
        <v>152288</v>
      </c>
      <c r="I6" s="55">
        <v>152288</v>
      </c>
      <c r="J6" s="55">
        <f t="shared" si="0"/>
        <v>0</v>
      </c>
      <c r="K6" s="55">
        <v>152288</v>
      </c>
      <c r="L6" s="55">
        <f t="shared" si="1"/>
        <v>0</v>
      </c>
      <c r="M6" s="55">
        <f>VLOOKUP(G6,'[1]01-09 al 30-09'!$G:$AI,29,FALSE)</f>
        <v>152288</v>
      </c>
      <c r="N6" s="55">
        <f t="shared" si="2"/>
        <v>0</v>
      </c>
      <c r="O6" s="55">
        <f>VLOOKUP(G6,'[1]01-09 al 30-09'!$G:$AS,39,FALSE)</f>
        <v>152288</v>
      </c>
      <c r="P6" s="55">
        <f t="shared" si="3"/>
        <v>0</v>
      </c>
      <c r="Q6" s="55"/>
      <c r="R6" s="55"/>
      <c r="S6" s="90">
        <f t="shared" si="4"/>
        <v>0</v>
      </c>
      <c r="T6" s="89">
        <v>46146</v>
      </c>
      <c r="U6" s="14"/>
      <c r="V6" s="105" t="s">
        <v>2231</v>
      </c>
      <c r="W6" s="105" t="s">
        <v>2231</v>
      </c>
    </row>
    <row r="7" spans="1:23" ht="13.5" customHeight="1" x14ac:dyDescent="0.25">
      <c r="A7" s="53" t="s">
        <v>2442</v>
      </c>
      <c r="B7" s="14" t="s">
        <v>757</v>
      </c>
      <c r="C7" s="22">
        <v>9211</v>
      </c>
      <c r="D7" s="14" t="s">
        <v>761</v>
      </c>
      <c r="E7" s="15" t="s">
        <v>417</v>
      </c>
      <c r="F7" s="14" t="s">
        <v>1271</v>
      </c>
      <c r="G7" s="15" t="s">
        <v>365</v>
      </c>
      <c r="H7" s="55">
        <v>448206</v>
      </c>
      <c r="I7" s="55">
        <v>448206</v>
      </c>
      <c r="J7" s="55">
        <f t="shared" si="0"/>
        <v>0</v>
      </c>
      <c r="K7" s="55">
        <v>448206</v>
      </c>
      <c r="L7" s="55">
        <f t="shared" si="1"/>
        <v>0</v>
      </c>
      <c r="M7" s="55">
        <f>VLOOKUP(G7,'[1]01-09 al 30-09'!$G:$AI,29,FALSE)</f>
        <v>448206</v>
      </c>
      <c r="N7" s="55">
        <f t="shared" si="2"/>
        <v>0</v>
      </c>
      <c r="O7" s="55">
        <f>VLOOKUP(G7,'[1]01-09 al 30-09'!$G:$AS,39,FALSE)</f>
        <v>448206</v>
      </c>
      <c r="P7" s="55">
        <f t="shared" si="3"/>
        <v>0</v>
      </c>
      <c r="Q7" s="55"/>
      <c r="R7" s="55"/>
      <c r="S7" s="90">
        <f t="shared" si="4"/>
        <v>0</v>
      </c>
      <c r="T7" s="89">
        <v>46146</v>
      </c>
      <c r="U7" s="14" t="s">
        <v>2086</v>
      </c>
      <c r="V7" s="14" t="s">
        <v>2374</v>
      </c>
      <c r="W7" s="105" t="str">
        <f>VLOOKUP(C7,'Status oficina'!$A$2:$C$208,3,FALSE)</f>
        <v>Activa</v>
      </c>
    </row>
    <row r="8" spans="1:23" ht="13.5" customHeight="1" x14ac:dyDescent="0.25">
      <c r="A8" s="14" t="s">
        <v>939</v>
      </c>
      <c r="B8" s="14" t="s">
        <v>980</v>
      </c>
      <c r="C8" s="120">
        <v>9655</v>
      </c>
      <c r="D8" s="26" t="s">
        <v>985</v>
      </c>
      <c r="E8" s="14" t="s">
        <v>413</v>
      </c>
      <c r="F8" s="14" t="s">
        <v>986</v>
      </c>
      <c r="G8" s="54" t="s">
        <v>396</v>
      </c>
      <c r="H8" s="55">
        <v>119620</v>
      </c>
      <c r="I8" s="55">
        <v>119818</v>
      </c>
      <c r="J8" s="55">
        <f t="shared" si="0"/>
        <v>198</v>
      </c>
      <c r="K8" s="55">
        <v>119915</v>
      </c>
      <c r="L8" s="55">
        <f t="shared" si="1"/>
        <v>97</v>
      </c>
      <c r="M8" s="55">
        <f>VLOOKUP(G8,'[1]01-09 al 30-09'!$G:$AI,29,FALSE)</f>
        <v>119985</v>
      </c>
      <c r="N8" s="55">
        <f t="shared" si="2"/>
        <v>70</v>
      </c>
      <c r="O8" s="55">
        <f>VLOOKUP(G8,'[1]01-09 al 30-09'!$G:$AS,39,FALSE)</f>
        <v>120042</v>
      </c>
      <c r="P8" s="55">
        <f t="shared" si="3"/>
        <v>57</v>
      </c>
      <c r="Q8" s="55"/>
      <c r="R8" s="55"/>
      <c r="S8" s="90">
        <f t="shared" si="4"/>
        <v>422</v>
      </c>
      <c r="T8" s="89">
        <v>46146</v>
      </c>
      <c r="U8" s="14" t="s">
        <v>2438</v>
      </c>
      <c r="V8" s="108" t="s">
        <v>2375</v>
      </c>
      <c r="W8" s="105" t="str">
        <f>VLOOKUP(C8,'Status oficina'!$A$2:$C$208,3,FALSE)</f>
        <v>Activa</v>
      </c>
    </row>
    <row r="9" spans="1:23" ht="13.5" customHeight="1" x14ac:dyDescent="0.25">
      <c r="A9" s="53" t="s">
        <v>2442</v>
      </c>
      <c r="B9" s="14" t="s">
        <v>671</v>
      </c>
      <c r="C9" s="120">
        <v>9935</v>
      </c>
      <c r="D9" s="14" t="s">
        <v>672</v>
      </c>
      <c r="E9" s="14" t="s">
        <v>413</v>
      </c>
      <c r="F9" s="14" t="s">
        <v>1217</v>
      </c>
      <c r="G9" s="14" t="s">
        <v>197</v>
      </c>
      <c r="H9" s="55">
        <v>340906</v>
      </c>
      <c r="I9" s="55">
        <v>341234</v>
      </c>
      <c r="J9" s="55">
        <f t="shared" si="0"/>
        <v>328</v>
      </c>
      <c r="K9" s="55">
        <v>341406</v>
      </c>
      <c r="L9" s="55">
        <f t="shared" si="1"/>
        <v>172</v>
      </c>
      <c r="M9" s="55">
        <f>VLOOKUP(G9,'[1]01-09 al 30-09'!$G:$AI,29,FALSE)</f>
        <v>341688</v>
      </c>
      <c r="N9" s="55">
        <f t="shared" si="2"/>
        <v>282</v>
      </c>
      <c r="O9" s="55">
        <f>VLOOKUP(G9,'[1]01-09 al 30-09'!$G:$AS,39,FALSE)</f>
        <v>342026</v>
      </c>
      <c r="P9" s="55">
        <f t="shared" si="3"/>
        <v>338</v>
      </c>
      <c r="Q9" s="55"/>
      <c r="R9" s="55"/>
      <c r="S9" s="90">
        <f t="shared" si="4"/>
        <v>1120</v>
      </c>
      <c r="T9" s="89">
        <v>46146</v>
      </c>
      <c r="U9" s="14"/>
      <c r="V9" s="108" t="s">
        <v>2375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2082</v>
      </c>
      <c r="B10" s="14" t="s">
        <v>619</v>
      </c>
      <c r="C10" s="120">
        <v>9832</v>
      </c>
      <c r="D10" s="14" t="s">
        <v>620</v>
      </c>
      <c r="E10" s="14" t="s">
        <v>413</v>
      </c>
      <c r="F10" s="14" t="s">
        <v>1993</v>
      </c>
      <c r="G10" s="14" t="s">
        <v>310</v>
      </c>
      <c r="H10" s="55">
        <v>133262</v>
      </c>
      <c r="I10" s="55">
        <v>133262</v>
      </c>
      <c r="J10" s="55">
        <f t="shared" si="0"/>
        <v>0</v>
      </c>
      <c r="K10" s="55">
        <v>133650</v>
      </c>
      <c r="L10" s="55">
        <f t="shared" si="1"/>
        <v>388</v>
      </c>
      <c r="M10" s="55">
        <f>VLOOKUP(G10,'[1]01-09 al 30-09'!$G:$AI,29,FALSE)</f>
        <v>133740</v>
      </c>
      <c r="N10" s="55">
        <f t="shared" si="2"/>
        <v>90</v>
      </c>
      <c r="O10" s="55">
        <f>VLOOKUP(G10,'[1]01-09 al 30-09'!$G:$AS,39,FALSE)</f>
        <v>134387</v>
      </c>
      <c r="P10" s="55">
        <f t="shared" si="3"/>
        <v>647</v>
      </c>
      <c r="Q10" s="55"/>
      <c r="R10" s="55"/>
      <c r="S10" s="90">
        <f t="shared" si="4"/>
        <v>1125</v>
      </c>
      <c r="T10" s="89">
        <v>46146</v>
      </c>
      <c r="U10" s="14" t="s">
        <v>2430</v>
      </c>
      <c r="V10" s="105" t="s">
        <v>2375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868</v>
      </c>
      <c r="B11" s="53" t="s">
        <v>432</v>
      </c>
      <c r="C11" s="120">
        <v>9822</v>
      </c>
      <c r="D11" s="14" t="s">
        <v>433</v>
      </c>
      <c r="E11" s="14" t="s">
        <v>413</v>
      </c>
      <c r="F11" s="14" t="s">
        <v>1075</v>
      </c>
      <c r="G11" s="14" t="s">
        <v>192</v>
      </c>
      <c r="H11" s="55">
        <v>474521</v>
      </c>
      <c r="I11" s="55">
        <v>474746</v>
      </c>
      <c r="J11" s="55">
        <f t="shared" si="0"/>
        <v>225</v>
      </c>
      <c r="K11" s="55">
        <v>474846</v>
      </c>
      <c r="L11" s="55">
        <f t="shared" si="1"/>
        <v>100</v>
      </c>
      <c r="M11" s="55">
        <f>VLOOKUP(G11,'[1]01-09 al 30-09'!$G:$AI,29,FALSE)</f>
        <v>474961</v>
      </c>
      <c r="N11" s="55">
        <f t="shared" si="2"/>
        <v>115</v>
      </c>
      <c r="O11" s="55">
        <f>VLOOKUP(G11,'[1]01-09 al 30-09'!$G:$AS,39,FALSE)</f>
        <v>475097</v>
      </c>
      <c r="P11" s="55">
        <f t="shared" si="3"/>
        <v>136</v>
      </c>
      <c r="Q11" s="55"/>
      <c r="R11" s="55"/>
      <c r="S11" s="90">
        <f t="shared" si="4"/>
        <v>576</v>
      </c>
      <c r="T11" s="89">
        <v>46146</v>
      </c>
      <c r="U11" s="14"/>
      <c r="V11" s="105" t="s">
        <v>2375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2442</v>
      </c>
      <c r="B12" s="14" t="s">
        <v>698</v>
      </c>
      <c r="C12" s="120">
        <v>9232</v>
      </c>
      <c r="D12" s="14" t="s">
        <v>2152</v>
      </c>
      <c r="E12" s="14" t="s">
        <v>413</v>
      </c>
      <c r="F12" s="14" t="s">
        <v>1234</v>
      </c>
      <c r="G12" s="14" t="s">
        <v>128</v>
      </c>
      <c r="H12" s="55">
        <v>179094</v>
      </c>
      <c r="I12" s="55">
        <v>179194</v>
      </c>
      <c r="J12" s="55">
        <f t="shared" si="0"/>
        <v>100</v>
      </c>
      <c r="K12" s="55">
        <v>179281</v>
      </c>
      <c r="L12" s="55">
        <f t="shared" si="1"/>
        <v>87</v>
      </c>
      <c r="M12" s="55">
        <f>VLOOKUP(G12,'[1]01-09 al 30-09'!$G:$AI,29,FALSE)</f>
        <v>179349</v>
      </c>
      <c r="N12" s="55">
        <f t="shared" si="2"/>
        <v>68</v>
      </c>
      <c r="O12" s="55">
        <f>VLOOKUP(G12,'[1]01-09 al 30-09'!$G:$AS,39,FALSE)</f>
        <v>179374</v>
      </c>
      <c r="P12" s="55">
        <f t="shared" si="3"/>
        <v>25</v>
      </c>
      <c r="Q12" s="55"/>
      <c r="R12" s="55"/>
      <c r="S12" s="90">
        <f t="shared" si="4"/>
        <v>280</v>
      </c>
      <c r="T12" s="89">
        <v>46146</v>
      </c>
      <c r="U12" s="14"/>
      <c r="V12" s="105" t="s">
        <v>2375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2442</v>
      </c>
      <c r="B13" s="14" t="s">
        <v>757</v>
      </c>
      <c r="C13" s="120">
        <v>9211</v>
      </c>
      <c r="D13" s="14" t="s">
        <v>2092</v>
      </c>
      <c r="E13" s="14" t="s">
        <v>413</v>
      </c>
      <c r="F13" s="14" t="s">
        <v>1466</v>
      </c>
      <c r="G13" s="14" t="s">
        <v>291</v>
      </c>
      <c r="H13" s="55">
        <v>133847</v>
      </c>
      <c r="I13" s="55">
        <v>133939</v>
      </c>
      <c r="J13" s="55">
        <f t="shared" si="0"/>
        <v>92</v>
      </c>
      <c r="K13" s="55">
        <v>134029</v>
      </c>
      <c r="L13" s="55">
        <f t="shared" si="1"/>
        <v>90</v>
      </c>
      <c r="M13" s="55">
        <f>VLOOKUP(G13,'[1]01-09 al 30-09'!$G:$AI,29,FALSE)</f>
        <v>134078</v>
      </c>
      <c r="N13" s="55">
        <f t="shared" si="2"/>
        <v>49</v>
      </c>
      <c r="O13" s="55">
        <f>VLOOKUP(G13,'[1]01-09 al 30-09'!$G:$AS,39,FALSE)</f>
        <v>134224</v>
      </c>
      <c r="P13" s="55">
        <f t="shared" si="3"/>
        <v>146</v>
      </c>
      <c r="Q13" s="55"/>
      <c r="R13" s="55"/>
      <c r="S13" s="90">
        <f t="shared" si="4"/>
        <v>377</v>
      </c>
      <c r="T13" s="89">
        <v>46146</v>
      </c>
      <c r="U13" s="14"/>
      <c r="V13" s="108" t="s">
        <v>2375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2443</v>
      </c>
      <c r="B14" s="14" t="s">
        <v>667</v>
      </c>
      <c r="C14" s="19">
        <v>9224</v>
      </c>
      <c r="D14" s="14" t="s">
        <v>669</v>
      </c>
      <c r="E14" s="14" t="s">
        <v>413</v>
      </c>
      <c r="F14" s="14" t="s">
        <v>1215</v>
      </c>
      <c r="G14" s="14" t="s">
        <v>294</v>
      </c>
      <c r="H14" s="55">
        <v>154740</v>
      </c>
      <c r="I14" s="55">
        <v>154816</v>
      </c>
      <c r="J14" s="55">
        <f t="shared" si="0"/>
        <v>76</v>
      </c>
      <c r="K14" s="55">
        <v>154958</v>
      </c>
      <c r="L14" s="55">
        <f t="shared" si="1"/>
        <v>142</v>
      </c>
      <c r="M14" s="55">
        <f>VLOOKUP(G14,'[1]01-09 al 30-09'!$G:$AI,29,FALSE)</f>
        <v>155094</v>
      </c>
      <c r="N14" s="55">
        <f t="shared" si="2"/>
        <v>136</v>
      </c>
      <c r="O14" s="55">
        <f>VLOOKUP(G14,'[1]01-09 al 30-09'!$G:$AS,39,FALSE)</f>
        <v>155189</v>
      </c>
      <c r="P14" s="55">
        <f t="shared" si="3"/>
        <v>95</v>
      </c>
      <c r="Q14" s="55"/>
      <c r="R14" s="55"/>
      <c r="S14" s="90">
        <f t="shared" si="4"/>
        <v>449</v>
      </c>
      <c r="T14" s="89">
        <v>46146</v>
      </c>
      <c r="U14" s="14"/>
      <c r="V14" s="105" t="s">
        <v>2375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2443</v>
      </c>
      <c r="B15" s="14" t="s">
        <v>667</v>
      </c>
      <c r="C15" s="19">
        <v>9224</v>
      </c>
      <c r="D15" s="14" t="s">
        <v>670</v>
      </c>
      <c r="E15" s="14" t="s">
        <v>413</v>
      </c>
      <c r="F15" s="14" t="s">
        <v>2212</v>
      </c>
      <c r="G15" s="14" t="s">
        <v>336</v>
      </c>
      <c r="H15" s="55">
        <v>314764</v>
      </c>
      <c r="I15" s="55">
        <v>315696</v>
      </c>
      <c r="J15" s="55">
        <f t="shared" si="0"/>
        <v>932</v>
      </c>
      <c r="K15" s="55">
        <v>316647</v>
      </c>
      <c r="L15" s="55">
        <f t="shared" si="1"/>
        <v>951</v>
      </c>
      <c r="M15" s="55">
        <f>VLOOKUP(G15,'[1]01-09 al 30-09'!$G:$AI,29,FALSE)</f>
        <v>317569</v>
      </c>
      <c r="N15" s="55">
        <f t="shared" si="2"/>
        <v>922</v>
      </c>
      <c r="O15" s="55">
        <f>VLOOKUP(G15,'[1]01-09 al 30-09'!$G:$AS,39,FALSE)</f>
        <v>318415</v>
      </c>
      <c r="P15" s="55">
        <f t="shared" si="3"/>
        <v>846</v>
      </c>
      <c r="Q15" s="55"/>
      <c r="R15" s="55"/>
      <c r="S15" s="90">
        <f t="shared" si="4"/>
        <v>3651</v>
      </c>
      <c r="T15" s="89">
        <v>46146</v>
      </c>
      <c r="U15" s="14"/>
      <c r="V15" s="105" t="s">
        <v>2375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2442</v>
      </c>
      <c r="B16" s="15" t="s">
        <v>653</v>
      </c>
      <c r="C16" s="19">
        <v>9203</v>
      </c>
      <c r="D16" s="14" t="s">
        <v>655</v>
      </c>
      <c r="E16" s="15" t="s">
        <v>413</v>
      </c>
      <c r="F16" s="14" t="s">
        <v>656</v>
      </c>
      <c r="G16" s="15" t="s">
        <v>376</v>
      </c>
      <c r="H16" s="55">
        <v>306785</v>
      </c>
      <c r="I16" s="55">
        <v>306785</v>
      </c>
      <c r="J16" s="55">
        <f t="shared" si="0"/>
        <v>0</v>
      </c>
      <c r="K16" s="55">
        <v>306785</v>
      </c>
      <c r="L16" s="55">
        <f t="shared" si="1"/>
        <v>0</v>
      </c>
      <c r="M16" s="55">
        <f>VLOOKUP(G16,'[1]01-09 al 30-09'!$G:$AI,29,FALSE)</f>
        <v>306785</v>
      </c>
      <c r="N16" s="55">
        <f t="shared" si="2"/>
        <v>0</v>
      </c>
      <c r="O16" s="55">
        <f>VLOOKUP(G16,'[1]01-09 al 30-09'!$G:$AS,39,FALSE)</f>
        <v>306785</v>
      </c>
      <c r="P16" s="55">
        <f t="shared" si="3"/>
        <v>0</v>
      </c>
      <c r="Q16" s="55"/>
      <c r="R16" s="55"/>
      <c r="S16" s="90">
        <f t="shared" si="4"/>
        <v>0</v>
      </c>
      <c r="T16" s="89">
        <v>46146</v>
      </c>
      <c r="U16" s="14" t="s">
        <v>2471</v>
      </c>
      <c r="V16" s="105" t="s">
        <v>2238</v>
      </c>
      <c r="W16" s="105" t="s">
        <v>2238</v>
      </c>
    </row>
    <row r="17" spans="1:23" ht="13.5" customHeight="1" x14ac:dyDescent="0.25">
      <c r="A17" s="53" t="s">
        <v>868</v>
      </c>
      <c r="B17" s="53" t="s">
        <v>414</v>
      </c>
      <c r="C17" s="19">
        <v>9963</v>
      </c>
      <c r="D17" s="53" t="s">
        <v>415</v>
      </c>
      <c r="E17" s="53" t="s">
        <v>413</v>
      </c>
      <c r="F17" s="53" t="s">
        <v>1064</v>
      </c>
      <c r="G17" s="53" t="s">
        <v>105</v>
      </c>
      <c r="H17" s="55">
        <v>127579</v>
      </c>
      <c r="I17" s="55">
        <v>127875</v>
      </c>
      <c r="J17" s="55">
        <f t="shared" si="0"/>
        <v>296</v>
      </c>
      <c r="K17" s="55">
        <v>128229</v>
      </c>
      <c r="L17" s="55">
        <f t="shared" si="1"/>
        <v>354</v>
      </c>
      <c r="M17" s="55">
        <f>VLOOKUP(G17,'[1]01-09 al 30-09'!$G:$AI,29,FALSE)</f>
        <v>128401</v>
      </c>
      <c r="N17" s="55">
        <f t="shared" si="2"/>
        <v>172</v>
      </c>
      <c r="O17" s="55">
        <f>VLOOKUP(G17,'[1]01-09 al 30-09'!$G:$AS,39,FALSE)</f>
        <v>128650</v>
      </c>
      <c r="P17" s="55">
        <f t="shared" si="3"/>
        <v>249</v>
      </c>
      <c r="Q17" s="55"/>
      <c r="R17" s="55"/>
      <c r="S17" s="90">
        <f t="shared" si="4"/>
        <v>1071</v>
      </c>
      <c r="T17" s="89">
        <v>46146</v>
      </c>
      <c r="U17" s="57"/>
      <c r="V17" s="108" t="s">
        <v>2375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868</v>
      </c>
      <c r="B18" s="53" t="s">
        <v>428</v>
      </c>
      <c r="C18" s="120">
        <v>9837</v>
      </c>
      <c r="D18" s="14" t="s">
        <v>429</v>
      </c>
      <c r="E18" s="14" t="s">
        <v>413</v>
      </c>
      <c r="F18" s="14" t="s">
        <v>1072</v>
      </c>
      <c r="G18" s="14" t="s">
        <v>104</v>
      </c>
      <c r="H18" s="55">
        <v>246164</v>
      </c>
      <c r="I18" s="55">
        <v>246795</v>
      </c>
      <c r="J18" s="55">
        <f t="shared" si="0"/>
        <v>631</v>
      </c>
      <c r="K18" s="55">
        <v>247354</v>
      </c>
      <c r="L18" s="55">
        <f t="shared" si="1"/>
        <v>559</v>
      </c>
      <c r="M18" s="55">
        <f>VLOOKUP(G18,'[1]01-09 al 30-09'!$G:$AI,29,FALSE)</f>
        <v>247859</v>
      </c>
      <c r="N18" s="55">
        <f t="shared" si="2"/>
        <v>505</v>
      </c>
      <c r="O18" s="55">
        <f>VLOOKUP(G18,'[1]01-09 al 30-09'!$G:$AS,39,FALSE)</f>
        <v>248344</v>
      </c>
      <c r="P18" s="55">
        <f t="shared" si="3"/>
        <v>485</v>
      </c>
      <c r="Q18" s="55"/>
      <c r="R18" s="55"/>
      <c r="S18" s="90">
        <f t="shared" si="4"/>
        <v>2180</v>
      </c>
      <c r="T18" s="89">
        <v>46146</v>
      </c>
      <c r="U18" s="14"/>
      <c r="V18" s="105" t="s">
        <v>2375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868</v>
      </c>
      <c r="B19" s="53" t="s">
        <v>439</v>
      </c>
      <c r="C19" s="120">
        <v>9895</v>
      </c>
      <c r="D19" s="14" t="s">
        <v>2122</v>
      </c>
      <c r="E19" s="14" t="s">
        <v>413</v>
      </c>
      <c r="F19" s="14" t="s">
        <v>1079</v>
      </c>
      <c r="G19" s="14" t="s">
        <v>223</v>
      </c>
      <c r="H19" s="55">
        <v>93852</v>
      </c>
      <c r="I19" s="55">
        <v>93852</v>
      </c>
      <c r="J19" s="55">
        <f t="shared" si="0"/>
        <v>0</v>
      </c>
      <c r="K19" s="55">
        <v>93852</v>
      </c>
      <c r="L19" s="55">
        <f t="shared" si="1"/>
        <v>0</v>
      </c>
      <c r="M19" s="55">
        <f>VLOOKUP(G19,'[1]01-09 al 30-09'!$G:$AI,29,FALSE)</f>
        <v>93852</v>
      </c>
      <c r="N19" s="55">
        <f t="shared" si="2"/>
        <v>0</v>
      </c>
      <c r="O19" s="55">
        <f>VLOOKUP(G19,'[1]01-09 al 30-09'!$G:$AS,39,FALSE)</f>
        <v>93852</v>
      </c>
      <c r="P19" s="55">
        <f t="shared" si="3"/>
        <v>0</v>
      </c>
      <c r="Q19" s="55"/>
      <c r="R19" s="55"/>
      <c r="S19" s="90">
        <f t="shared" si="4"/>
        <v>0</v>
      </c>
      <c r="T19" s="89">
        <v>46146</v>
      </c>
      <c r="U19" s="14" t="s">
        <v>2455</v>
      </c>
      <c r="V19" s="105" t="s">
        <v>2238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2082</v>
      </c>
      <c r="B20" s="14" t="s">
        <v>492</v>
      </c>
      <c r="C20" s="120">
        <v>9410</v>
      </c>
      <c r="D20" s="14" t="s">
        <v>2490</v>
      </c>
      <c r="E20" s="14" t="s">
        <v>413</v>
      </c>
      <c r="F20" s="14" t="s">
        <v>1114</v>
      </c>
      <c r="G20" s="14" t="s">
        <v>5</v>
      </c>
      <c r="H20" s="55">
        <v>144237</v>
      </c>
      <c r="I20" s="55">
        <v>144409</v>
      </c>
      <c r="J20" s="55">
        <f t="shared" si="0"/>
        <v>172</v>
      </c>
      <c r="K20" s="55">
        <v>144724</v>
      </c>
      <c r="L20" s="55">
        <f t="shared" si="1"/>
        <v>315</v>
      </c>
      <c r="M20" s="55">
        <f>VLOOKUP(G20,'[1]01-09 al 30-09'!$G:$AI,29,FALSE)</f>
        <v>144788</v>
      </c>
      <c r="N20" s="55">
        <f t="shared" si="2"/>
        <v>64</v>
      </c>
      <c r="O20" s="55">
        <f>VLOOKUP(G20,'[1]01-09 al 30-09'!$G:$AS,39,FALSE)</f>
        <v>145081</v>
      </c>
      <c r="P20" s="55">
        <f t="shared" si="3"/>
        <v>293</v>
      </c>
      <c r="Q20" s="55"/>
      <c r="R20" s="55"/>
      <c r="S20" s="90">
        <f t="shared" si="4"/>
        <v>844</v>
      </c>
      <c r="T20" s="89">
        <v>46146</v>
      </c>
      <c r="U20" s="14"/>
      <c r="V20" s="105" t="s">
        <v>2375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2082</v>
      </c>
      <c r="B21" s="14" t="s">
        <v>509</v>
      </c>
      <c r="C21" s="22">
        <v>9467</v>
      </c>
      <c r="D21" s="14" t="s">
        <v>510</v>
      </c>
      <c r="E21" s="15" t="s">
        <v>413</v>
      </c>
      <c r="F21" s="14" t="s">
        <v>1130</v>
      </c>
      <c r="G21" s="15" t="s">
        <v>349</v>
      </c>
      <c r="H21" s="55">
        <v>126543</v>
      </c>
      <c r="I21" s="55">
        <v>126738</v>
      </c>
      <c r="J21" s="55">
        <f t="shared" si="0"/>
        <v>195</v>
      </c>
      <c r="K21" s="55">
        <v>126927</v>
      </c>
      <c r="L21" s="55">
        <f t="shared" si="1"/>
        <v>189</v>
      </c>
      <c r="M21" s="55">
        <f>VLOOKUP(G21,'[1]01-09 al 30-09'!$G:$AI,29,FALSE)</f>
        <v>127026</v>
      </c>
      <c r="N21" s="55">
        <f t="shared" si="2"/>
        <v>99</v>
      </c>
      <c r="O21" s="55">
        <f>VLOOKUP(G21,'[1]01-09 al 30-09'!$G:$AS,39,FALSE)</f>
        <v>127178</v>
      </c>
      <c r="P21" s="55">
        <f t="shared" si="3"/>
        <v>152</v>
      </c>
      <c r="Q21" s="55"/>
      <c r="R21" s="55"/>
      <c r="S21" s="90">
        <f t="shared" si="4"/>
        <v>635</v>
      </c>
      <c r="T21" s="89">
        <v>46146</v>
      </c>
      <c r="U21" s="14"/>
      <c r="V21" s="105" t="s">
        <v>2375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2082</v>
      </c>
      <c r="B22" s="14" t="s">
        <v>485</v>
      </c>
      <c r="C22" s="120">
        <v>9420</v>
      </c>
      <c r="D22" s="109" t="s">
        <v>487</v>
      </c>
      <c r="E22" s="14" t="s">
        <v>413</v>
      </c>
      <c r="F22" s="14" t="s">
        <v>1109</v>
      </c>
      <c r="G22" s="14" t="s">
        <v>198</v>
      </c>
      <c r="H22" s="55">
        <v>221210</v>
      </c>
      <c r="I22" s="55">
        <v>221210</v>
      </c>
      <c r="J22" s="55">
        <f t="shared" si="0"/>
        <v>0</v>
      </c>
      <c r="K22" s="55">
        <v>221210</v>
      </c>
      <c r="L22" s="55">
        <f t="shared" si="1"/>
        <v>0</v>
      </c>
      <c r="M22" s="55">
        <f>VLOOKUP(G22,'[1]01-09 al 30-09'!$G:$AI,29,FALSE)</f>
        <v>221210</v>
      </c>
      <c r="N22" s="55">
        <f t="shared" si="2"/>
        <v>0</v>
      </c>
      <c r="O22" s="55">
        <f>VLOOKUP(G22,'[1]01-09 al 30-09'!$G:$AS,39,FALSE)</f>
        <v>221210</v>
      </c>
      <c r="P22" s="55">
        <f t="shared" si="3"/>
        <v>0</v>
      </c>
      <c r="Q22" s="55"/>
      <c r="R22" s="55"/>
      <c r="S22" s="90">
        <f t="shared" si="4"/>
        <v>0</v>
      </c>
      <c r="T22" s="89">
        <v>46146</v>
      </c>
      <c r="U22" s="14"/>
      <c r="V22" s="105" t="s">
        <v>2238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2443</v>
      </c>
      <c r="B23" s="14" t="s">
        <v>807</v>
      </c>
      <c r="C23" s="19">
        <v>9231</v>
      </c>
      <c r="D23" s="14" t="s">
        <v>810</v>
      </c>
      <c r="E23" s="14" t="s">
        <v>413</v>
      </c>
      <c r="F23" s="14" t="s">
        <v>1303</v>
      </c>
      <c r="G23" s="14" t="s">
        <v>331</v>
      </c>
      <c r="H23" s="55">
        <v>207435</v>
      </c>
      <c r="I23" s="55">
        <v>207637</v>
      </c>
      <c r="J23" s="55">
        <f t="shared" si="0"/>
        <v>202</v>
      </c>
      <c r="K23" s="55">
        <v>207765</v>
      </c>
      <c r="L23" s="55">
        <f t="shared" si="1"/>
        <v>128</v>
      </c>
      <c r="M23" s="55">
        <f>VLOOKUP(G23,'[1]01-09 al 30-09'!$G:$AI,29,FALSE)</f>
        <v>207936</v>
      </c>
      <c r="N23" s="55">
        <f t="shared" si="2"/>
        <v>171</v>
      </c>
      <c r="O23" s="55">
        <f>VLOOKUP(G23,'[1]01-09 al 30-09'!$G:$AS,39,FALSE)</f>
        <v>208081</v>
      </c>
      <c r="P23" s="55">
        <f t="shared" si="3"/>
        <v>145</v>
      </c>
      <c r="Q23" s="55"/>
      <c r="R23" s="55"/>
      <c r="S23" s="90">
        <f t="shared" si="4"/>
        <v>646</v>
      </c>
      <c r="T23" s="89">
        <v>46146</v>
      </c>
      <c r="U23" s="14"/>
      <c r="V23" s="105" t="s">
        <v>2375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2082</v>
      </c>
      <c r="B24" s="14" t="s">
        <v>475</v>
      </c>
      <c r="C24" s="19">
        <v>9425</v>
      </c>
      <c r="D24" s="14" t="s">
        <v>477</v>
      </c>
      <c r="E24" s="14" t="s">
        <v>413</v>
      </c>
      <c r="F24" s="14" t="s">
        <v>1103</v>
      </c>
      <c r="G24" s="14" t="s">
        <v>58</v>
      </c>
      <c r="H24" s="55">
        <v>261899</v>
      </c>
      <c r="I24" s="55">
        <v>262242</v>
      </c>
      <c r="J24" s="55">
        <f t="shared" si="0"/>
        <v>343</v>
      </c>
      <c r="K24" s="55">
        <v>263283</v>
      </c>
      <c r="L24" s="55">
        <f t="shared" si="1"/>
        <v>1041</v>
      </c>
      <c r="M24" s="55">
        <f>VLOOKUP(G24,'[1]01-09 al 30-09'!$G:$AI,29,FALSE)</f>
        <v>263283</v>
      </c>
      <c r="N24" s="55">
        <f t="shared" si="2"/>
        <v>0</v>
      </c>
      <c r="O24" s="55">
        <f>VLOOKUP(G24,'[1]01-09 al 30-09'!$G:$AS,39,FALSE)</f>
        <v>263474</v>
      </c>
      <c r="P24" s="55">
        <f t="shared" si="3"/>
        <v>191</v>
      </c>
      <c r="Q24" s="55"/>
      <c r="R24" s="55"/>
      <c r="S24" s="90">
        <f t="shared" si="4"/>
        <v>1575</v>
      </c>
      <c r="T24" s="89">
        <v>46146</v>
      </c>
      <c r="U24" s="14"/>
      <c r="V24" s="105" t="s">
        <v>2375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2443</v>
      </c>
      <c r="B25" s="14" t="s">
        <v>793</v>
      </c>
      <c r="C25" s="19">
        <v>9294</v>
      </c>
      <c r="D25" s="14" t="s">
        <v>796</v>
      </c>
      <c r="E25" s="14" t="s">
        <v>413</v>
      </c>
      <c r="F25" s="14" t="s">
        <v>1292</v>
      </c>
      <c r="G25" s="14" t="s">
        <v>325</v>
      </c>
      <c r="H25" s="55">
        <v>283273</v>
      </c>
      <c r="I25" s="55">
        <v>283288</v>
      </c>
      <c r="J25" s="55">
        <f t="shared" si="0"/>
        <v>15</v>
      </c>
      <c r="K25" s="55">
        <v>283308</v>
      </c>
      <c r="L25" s="55">
        <f t="shared" si="1"/>
        <v>20</v>
      </c>
      <c r="M25" s="55">
        <f>VLOOKUP(G25,'[1]01-09 al 30-09'!$G:$AI,29,FALSE)</f>
        <v>283349</v>
      </c>
      <c r="N25" s="55">
        <f t="shared" si="2"/>
        <v>41</v>
      </c>
      <c r="O25" s="55">
        <f>VLOOKUP(G25,'[1]01-09 al 30-09'!$G:$AS,39,FALSE)</f>
        <v>283386</v>
      </c>
      <c r="P25" s="55">
        <f t="shared" si="3"/>
        <v>37</v>
      </c>
      <c r="Q25" s="55"/>
      <c r="R25" s="55"/>
      <c r="S25" s="90">
        <f t="shared" si="4"/>
        <v>113</v>
      </c>
      <c r="T25" s="89">
        <v>46146</v>
      </c>
      <c r="U25" s="14"/>
      <c r="V25" s="105" t="s">
        <v>2375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2443</v>
      </c>
      <c r="B26" s="14" t="s">
        <v>830</v>
      </c>
      <c r="C26" s="120">
        <v>9228</v>
      </c>
      <c r="D26" s="14" t="s">
        <v>831</v>
      </c>
      <c r="E26" s="14" t="s">
        <v>417</v>
      </c>
      <c r="F26" s="14" t="s">
        <v>1317</v>
      </c>
      <c r="G26" s="14" t="s">
        <v>160</v>
      </c>
      <c r="H26" s="55">
        <v>384856</v>
      </c>
      <c r="I26" s="55">
        <v>385890</v>
      </c>
      <c r="J26" s="55">
        <f t="shared" si="0"/>
        <v>1034</v>
      </c>
      <c r="K26" s="55">
        <v>386818</v>
      </c>
      <c r="L26" s="55">
        <f t="shared" si="1"/>
        <v>928</v>
      </c>
      <c r="M26" s="55">
        <f>VLOOKUP(G26,'[1]01-09 al 30-09'!$G:$AI,29,FALSE)</f>
        <v>387647</v>
      </c>
      <c r="N26" s="55">
        <f t="shared" si="2"/>
        <v>829</v>
      </c>
      <c r="O26" s="55">
        <f>VLOOKUP(G26,'[1]01-09 al 30-09'!$G:$AS,39,FALSE)</f>
        <v>388675</v>
      </c>
      <c r="P26" s="55">
        <f t="shared" si="3"/>
        <v>1028</v>
      </c>
      <c r="Q26" s="55"/>
      <c r="R26" s="55"/>
      <c r="S26" s="90">
        <f t="shared" si="4"/>
        <v>3819</v>
      </c>
      <c r="T26" s="89">
        <v>46146</v>
      </c>
      <c r="U26" s="14"/>
      <c r="V26" s="105" t="s">
        <v>2375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2443</v>
      </c>
      <c r="B27" s="14" t="s">
        <v>863</v>
      </c>
      <c r="C27" s="120">
        <v>9927</v>
      </c>
      <c r="D27" s="14" t="s">
        <v>864</v>
      </c>
      <c r="E27" s="14" t="s">
        <v>413</v>
      </c>
      <c r="F27" s="14" t="s">
        <v>1335</v>
      </c>
      <c r="G27" s="14" t="s">
        <v>98</v>
      </c>
      <c r="H27" s="55">
        <v>188326</v>
      </c>
      <c r="I27" s="55">
        <v>188557</v>
      </c>
      <c r="J27" s="55">
        <f t="shared" si="0"/>
        <v>231</v>
      </c>
      <c r="K27" s="55">
        <v>188674</v>
      </c>
      <c r="L27" s="55">
        <f t="shared" si="1"/>
        <v>117</v>
      </c>
      <c r="M27" s="55">
        <f>VLOOKUP(G27,'[1]01-09 al 30-09'!$G:$AI,29,FALSE)</f>
        <v>188790</v>
      </c>
      <c r="N27" s="55">
        <f t="shared" si="2"/>
        <v>116</v>
      </c>
      <c r="O27" s="55">
        <f>VLOOKUP(G27,'[1]01-09 al 30-09'!$G:$AS,39,FALSE)</f>
        <v>189051</v>
      </c>
      <c r="P27" s="55">
        <f t="shared" si="3"/>
        <v>261</v>
      </c>
      <c r="Q27" s="55"/>
      <c r="R27" s="55"/>
      <c r="S27" s="90">
        <f t="shared" si="4"/>
        <v>725</v>
      </c>
      <c r="T27" s="89">
        <v>46146</v>
      </c>
      <c r="U27" s="14"/>
      <c r="V27" s="105" t="s">
        <v>2375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939</v>
      </c>
      <c r="B28" s="14" t="s">
        <v>990</v>
      </c>
      <c r="C28" s="120">
        <v>9538</v>
      </c>
      <c r="D28" s="14" t="s">
        <v>991</v>
      </c>
      <c r="E28" s="14" t="s">
        <v>413</v>
      </c>
      <c r="F28" s="14" t="s">
        <v>1424</v>
      </c>
      <c r="G28" s="14" t="s">
        <v>109</v>
      </c>
      <c r="H28" s="55">
        <v>250936</v>
      </c>
      <c r="I28" s="55">
        <v>250936</v>
      </c>
      <c r="J28" s="55">
        <f t="shared" si="0"/>
        <v>0</v>
      </c>
      <c r="K28" s="55">
        <v>250936</v>
      </c>
      <c r="L28" s="55">
        <f t="shared" si="1"/>
        <v>0</v>
      </c>
      <c r="M28" s="55">
        <f>VLOOKUP(G28,'[1]01-09 al 30-09'!$G:$AI,29,FALSE)</f>
        <v>250936</v>
      </c>
      <c r="N28" s="55">
        <f t="shared" si="2"/>
        <v>0</v>
      </c>
      <c r="O28" s="55">
        <f>VLOOKUP(G28,'[1]01-09 al 30-09'!$G:$AS,39,FALSE)</f>
        <v>250936</v>
      </c>
      <c r="P28" s="55">
        <f t="shared" si="3"/>
        <v>0</v>
      </c>
      <c r="Q28" s="55"/>
      <c r="R28" s="55"/>
      <c r="S28" s="90">
        <f t="shared" si="4"/>
        <v>0</v>
      </c>
      <c r="T28" s="89">
        <v>46146</v>
      </c>
      <c r="U28" s="14"/>
      <c r="V28" s="105" t="s">
        <v>2231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2082</v>
      </c>
      <c r="B29" s="14" t="s">
        <v>504</v>
      </c>
      <c r="C29" s="120">
        <v>9430</v>
      </c>
      <c r="D29" s="14" t="s">
        <v>2205</v>
      </c>
      <c r="E29" s="14" t="s">
        <v>413</v>
      </c>
      <c r="F29" s="14" t="s">
        <v>1125</v>
      </c>
      <c r="G29" s="14" t="s">
        <v>52</v>
      </c>
      <c r="H29" s="55">
        <v>155750</v>
      </c>
      <c r="I29" s="55">
        <v>156112</v>
      </c>
      <c r="J29" s="55">
        <f t="shared" si="0"/>
        <v>362</v>
      </c>
      <c r="K29" s="55">
        <v>156449</v>
      </c>
      <c r="L29" s="55">
        <f t="shared" si="1"/>
        <v>337</v>
      </c>
      <c r="M29" s="55">
        <f>VLOOKUP(G29,'[1]01-09 al 30-09'!$G:$AI,29,FALSE)</f>
        <v>156715</v>
      </c>
      <c r="N29" s="55">
        <f t="shared" si="2"/>
        <v>266</v>
      </c>
      <c r="O29" s="55">
        <f>VLOOKUP(G29,'[1]01-09 al 30-09'!$G:$AS,39,FALSE)</f>
        <v>157479</v>
      </c>
      <c r="P29" s="55">
        <f t="shared" si="3"/>
        <v>764</v>
      </c>
      <c r="Q29" s="55"/>
      <c r="R29" s="55"/>
      <c r="S29" s="90">
        <f t="shared" si="4"/>
        <v>1729</v>
      </c>
      <c r="T29" s="89">
        <v>46146</v>
      </c>
      <c r="U29" s="14"/>
      <c r="V29" s="105" t="s">
        <v>2375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2082</v>
      </c>
      <c r="B30" s="14" t="s">
        <v>600</v>
      </c>
      <c r="C30" s="19">
        <v>9833</v>
      </c>
      <c r="D30" s="14" t="s">
        <v>601</v>
      </c>
      <c r="E30" s="14" t="s">
        <v>413</v>
      </c>
      <c r="F30" s="14" t="s">
        <v>602</v>
      </c>
      <c r="G30" s="14" t="s">
        <v>4</v>
      </c>
      <c r="H30" s="55">
        <v>426870</v>
      </c>
      <c r="I30" s="55">
        <v>426870</v>
      </c>
      <c r="J30" s="55">
        <f t="shared" si="0"/>
        <v>0</v>
      </c>
      <c r="K30" s="55">
        <v>426870</v>
      </c>
      <c r="L30" s="55">
        <f t="shared" si="1"/>
        <v>0</v>
      </c>
      <c r="M30" s="55">
        <f>VLOOKUP(G30,'[1]01-09 al 30-09'!$G:$AI,29,FALSE)</f>
        <v>426870</v>
      </c>
      <c r="N30" s="55">
        <f t="shared" si="2"/>
        <v>0</v>
      </c>
      <c r="O30" s="55">
        <f>VLOOKUP(G30,'[1]01-09 al 30-09'!$G:$AS,39,FALSE)</f>
        <v>426870</v>
      </c>
      <c r="P30" s="55">
        <f t="shared" si="3"/>
        <v>0</v>
      </c>
      <c r="Q30" s="55"/>
      <c r="R30" s="55"/>
      <c r="S30" s="90">
        <f t="shared" si="4"/>
        <v>0</v>
      </c>
      <c r="T30" s="89">
        <v>46146</v>
      </c>
      <c r="U30" s="14" t="s">
        <v>2398</v>
      </c>
      <c r="V30" s="105" t="s">
        <v>2374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2082</v>
      </c>
      <c r="B31" s="14" t="s">
        <v>594</v>
      </c>
      <c r="C31" s="19">
        <v>9831</v>
      </c>
      <c r="D31" s="54" t="s">
        <v>2494</v>
      </c>
      <c r="E31" s="54" t="s">
        <v>413</v>
      </c>
      <c r="F31" s="54" t="s">
        <v>1187</v>
      </c>
      <c r="G31" s="54" t="s">
        <v>296</v>
      </c>
      <c r="H31" s="55">
        <v>127880</v>
      </c>
      <c r="I31" s="55">
        <v>127942</v>
      </c>
      <c r="J31" s="55">
        <f t="shared" si="0"/>
        <v>62</v>
      </c>
      <c r="K31" s="55">
        <v>127948</v>
      </c>
      <c r="L31" s="55">
        <f t="shared" si="1"/>
        <v>6</v>
      </c>
      <c r="M31" s="55">
        <f>VLOOKUP(G31,'[1]01-09 al 30-09'!$G:$AI,29,FALSE)</f>
        <v>127989</v>
      </c>
      <c r="N31" s="55">
        <f t="shared" si="2"/>
        <v>41</v>
      </c>
      <c r="O31" s="55">
        <f>VLOOKUP(G31,'[1]01-09 al 30-09'!$G:$AS,39,FALSE)</f>
        <v>128020</v>
      </c>
      <c r="P31" s="55">
        <f t="shared" si="3"/>
        <v>31</v>
      </c>
      <c r="Q31" s="55"/>
      <c r="R31" s="55"/>
      <c r="S31" s="90">
        <f t="shared" si="4"/>
        <v>140</v>
      </c>
      <c r="T31" s="89">
        <v>46146</v>
      </c>
      <c r="U31" s="14"/>
      <c r="V31" s="105" t="s">
        <v>2375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2443</v>
      </c>
      <c r="B32" s="14" t="s">
        <v>768</v>
      </c>
      <c r="C32" s="19">
        <v>9221</v>
      </c>
      <c r="D32" s="14" t="s">
        <v>2468</v>
      </c>
      <c r="E32" s="14" t="s">
        <v>413</v>
      </c>
      <c r="F32" s="14" t="s">
        <v>1297</v>
      </c>
      <c r="G32" s="14" t="s">
        <v>1711</v>
      </c>
      <c r="H32" s="55">
        <v>136091</v>
      </c>
      <c r="I32" s="55">
        <v>136091</v>
      </c>
      <c r="J32" s="55">
        <f t="shared" si="0"/>
        <v>0</v>
      </c>
      <c r="K32" s="55">
        <v>136091</v>
      </c>
      <c r="L32" s="55">
        <f t="shared" si="1"/>
        <v>0</v>
      </c>
      <c r="M32" s="55">
        <v>136091</v>
      </c>
      <c r="N32" s="55">
        <f t="shared" si="2"/>
        <v>0</v>
      </c>
      <c r="O32" s="55">
        <v>136091</v>
      </c>
      <c r="P32" s="55">
        <f t="shared" si="3"/>
        <v>0</v>
      </c>
      <c r="Q32" s="55"/>
      <c r="R32" s="55"/>
      <c r="S32" s="90">
        <f t="shared" si="4"/>
        <v>0</v>
      </c>
      <c r="T32" s="89">
        <v>46146</v>
      </c>
      <c r="U32" s="14" t="s">
        <v>2469</v>
      </c>
      <c r="V32" s="105" t="s">
        <v>2238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2442</v>
      </c>
      <c r="B33" s="14" t="s">
        <v>742</v>
      </c>
      <c r="C33" s="120">
        <v>9264</v>
      </c>
      <c r="D33" s="14" t="s">
        <v>746</v>
      </c>
      <c r="E33" s="14" t="s">
        <v>413</v>
      </c>
      <c r="F33" s="14" t="s">
        <v>1263</v>
      </c>
      <c r="G33" s="14" t="s">
        <v>392</v>
      </c>
      <c r="H33" s="55">
        <v>204247</v>
      </c>
      <c r="I33" s="55">
        <v>204277</v>
      </c>
      <c r="J33" s="55">
        <f t="shared" si="0"/>
        <v>30</v>
      </c>
      <c r="K33" s="55">
        <v>204294</v>
      </c>
      <c r="L33" s="55">
        <f t="shared" si="1"/>
        <v>17</v>
      </c>
      <c r="M33" s="55">
        <f>VLOOKUP(G33,'[1]01-09 al 30-09'!$G:$AI,29,FALSE)</f>
        <v>204303</v>
      </c>
      <c r="N33" s="55">
        <f t="shared" si="2"/>
        <v>9</v>
      </c>
      <c r="O33" s="55">
        <f>VLOOKUP(G33,'[1]01-09 al 30-09'!$G:$AS,39,FALSE)</f>
        <v>204321</v>
      </c>
      <c r="P33" s="55">
        <f t="shared" si="3"/>
        <v>18</v>
      </c>
      <c r="Q33" s="55"/>
      <c r="R33" s="55"/>
      <c r="S33" s="90">
        <f t="shared" si="4"/>
        <v>74</v>
      </c>
      <c r="T33" s="89">
        <v>46146</v>
      </c>
      <c r="U33" s="14"/>
      <c r="V33" s="105" t="s">
        <v>2375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2442</v>
      </c>
      <c r="B34" s="14" t="s">
        <v>730</v>
      </c>
      <c r="C34" s="120">
        <v>9241</v>
      </c>
      <c r="D34" s="14" t="s">
        <v>731</v>
      </c>
      <c r="E34" s="14" t="s">
        <v>417</v>
      </c>
      <c r="F34" s="14" t="s">
        <v>1252</v>
      </c>
      <c r="G34" s="14" t="s">
        <v>1930</v>
      </c>
      <c r="H34" s="55">
        <v>497108</v>
      </c>
      <c r="I34" s="55">
        <v>497108</v>
      </c>
      <c r="J34" s="55">
        <f t="shared" si="0"/>
        <v>0</v>
      </c>
      <c r="K34" s="55">
        <v>497108</v>
      </c>
      <c r="L34" s="55">
        <f t="shared" si="1"/>
        <v>0</v>
      </c>
      <c r="M34" s="55">
        <f>VLOOKUP(G34,'[1]01-09 al 30-09'!$G:$AI,29,FALSE)</f>
        <v>497108</v>
      </c>
      <c r="N34" s="55">
        <f t="shared" si="2"/>
        <v>0</v>
      </c>
      <c r="O34" s="55">
        <f>VLOOKUP(G34,'[1]01-09 al 30-09'!$G:$AS,39,FALSE)</f>
        <v>497108</v>
      </c>
      <c r="P34" s="55">
        <f t="shared" si="3"/>
        <v>0</v>
      </c>
      <c r="Q34" s="55"/>
      <c r="R34" s="55"/>
      <c r="S34" s="90">
        <f t="shared" si="4"/>
        <v>0</v>
      </c>
      <c r="T34" s="89">
        <v>46146</v>
      </c>
      <c r="U34" s="14"/>
      <c r="V34" s="105" t="s">
        <v>2231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2442</v>
      </c>
      <c r="B35" s="14" t="s">
        <v>730</v>
      </c>
      <c r="C35" s="120">
        <v>9241</v>
      </c>
      <c r="D35" s="14" t="s">
        <v>732</v>
      </c>
      <c r="E35" s="14" t="s">
        <v>413</v>
      </c>
      <c r="F35" s="14" t="s">
        <v>1253</v>
      </c>
      <c r="G35" s="14" t="s">
        <v>317</v>
      </c>
      <c r="H35" s="55">
        <v>85823</v>
      </c>
      <c r="I35" s="55">
        <v>85823</v>
      </c>
      <c r="J35" s="55">
        <f t="shared" si="0"/>
        <v>0</v>
      </c>
      <c r="K35" s="55">
        <v>85823</v>
      </c>
      <c r="L35" s="55">
        <f t="shared" si="1"/>
        <v>0</v>
      </c>
      <c r="M35" s="55">
        <f>VLOOKUP(G35,'[1]01-09 al 30-09'!$G:$AI,29,FALSE)</f>
        <v>85823</v>
      </c>
      <c r="N35" s="55">
        <f t="shared" si="2"/>
        <v>0</v>
      </c>
      <c r="O35" s="55">
        <f>VLOOKUP(G35,'[1]01-09 al 30-09'!$G:$AS,39,FALSE)</f>
        <v>85823</v>
      </c>
      <c r="P35" s="55">
        <f t="shared" si="3"/>
        <v>0</v>
      </c>
      <c r="Q35" s="55"/>
      <c r="R35" s="55"/>
      <c r="S35" s="90">
        <f t="shared" si="4"/>
        <v>0</v>
      </c>
      <c r="T35" s="89">
        <v>46146</v>
      </c>
      <c r="U35" s="14"/>
      <c r="V35" s="105" t="s">
        <v>2231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2443</v>
      </c>
      <c r="B36" s="14" t="s">
        <v>805</v>
      </c>
      <c r="C36" s="19">
        <v>9940</v>
      </c>
      <c r="D36" s="14" t="s">
        <v>806</v>
      </c>
      <c r="E36" s="14" t="s">
        <v>413</v>
      </c>
      <c r="F36" s="14" t="s">
        <v>1300</v>
      </c>
      <c r="G36" s="14" t="s">
        <v>313</v>
      </c>
      <c r="H36" s="55">
        <v>273004</v>
      </c>
      <c r="I36" s="55">
        <v>273201</v>
      </c>
      <c r="J36" s="55">
        <f t="shared" si="0"/>
        <v>197</v>
      </c>
      <c r="K36" s="55">
        <v>273457</v>
      </c>
      <c r="L36" s="55">
        <f t="shared" si="1"/>
        <v>256</v>
      </c>
      <c r="M36" s="55">
        <f>VLOOKUP(G36,'[1]01-09 al 30-09'!$G:$AI,29,FALSE)</f>
        <v>273728</v>
      </c>
      <c r="N36" s="55">
        <f t="shared" si="2"/>
        <v>271</v>
      </c>
      <c r="O36" s="55">
        <f>VLOOKUP(G36,'[1]01-09 al 30-09'!$G:$AS,39,FALSE)</f>
        <v>274222</v>
      </c>
      <c r="P36" s="55">
        <f t="shared" si="3"/>
        <v>494</v>
      </c>
      <c r="Q36" s="55"/>
      <c r="R36" s="55"/>
      <c r="S36" s="90">
        <f t="shared" si="4"/>
        <v>1218</v>
      </c>
      <c r="T36" s="89">
        <v>46146</v>
      </c>
      <c r="U36" s="14"/>
      <c r="V36" s="108" t="s">
        <v>2375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868</v>
      </c>
      <c r="B37" s="14" t="s">
        <v>920</v>
      </c>
      <c r="C37" s="120">
        <v>9499</v>
      </c>
      <c r="D37" s="14" t="s">
        <v>2431</v>
      </c>
      <c r="E37" s="14" t="s">
        <v>413</v>
      </c>
      <c r="F37" s="14" t="s">
        <v>1378</v>
      </c>
      <c r="G37" s="14" t="s">
        <v>264</v>
      </c>
      <c r="H37" s="55">
        <v>97540</v>
      </c>
      <c r="I37" s="55">
        <v>97602</v>
      </c>
      <c r="J37" s="55">
        <f t="shared" si="0"/>
        <v>62</v>
      </c>
      <c r="K37" s="55">
        <v>97644</v>
      </c>
      <c r="L37" s="55">
        <f t="shared" si="1"/>
        <v>42</v>
      </c>
      <c r="M37" s="55">
        <f>VLOOKUP(G37,'[1]01-09 al 30-09'!$G:$AI,29,FALSE)</f>
        <v>97680</v>
      </c>
      <c r="N37" s="55">
        <f t="shared" si="2"/>
        <v>36</v>
      </c>
      <c r="O37" s="55">
        <f>VLOOKUP(G37,'[1]01-09 al 30-09'!$G:$AS,39,FALSE)</f>
        <v>97747</v>
      </c>
      <c r="P37" s="55">
        <f t="shared" si="3"/>
        <v>67</v>
      </c>
      <c r="Q37" s="55"/>
      <c r="R37" s="55"/>
      <c r="S37" s="90">
        <f t="shared" si="4"/>
        <v>207</v>
      </c>
      <c r="T37" s="89">
        <v>46146</v>
      </c>
      <c r="U37" s="14"/>
      <c r="V37" s="108" t="s">
        <v>2375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939</v>
      </c>
      <c r="B38" s="15" t="s">
        <v>976</v>
      </c>
      <c r="C38" s="22">
        <v>9567</v>
      </c>
      <c r="D38" s="14" t="s">
        <v>977</v>
      </c>
      <c r="E38" s="15" t="s">
        <v>413</v>
      </c>
      <c r="F38" s="14" t="s">
        <v>1414</v>
      </c>
      <c r="G38" s="15" t="s">
        <v>369</v>
      </c>
      <c r="H38" s="55">
        <v>206606</v>
      </c>
      <c r="I38" s="55">
        <v>206729</v>
      </c>
      <c r="J38" s="55">
        <f t="shared" si="0"/>
        <v>123</v>
      </c>
      <c r="K38" s="55">
        <v>206818</v>
      </c>
      <c r="L38" s="55">
        <f t="shared" si="1"/>
        <v>89</v>
      </c>
      <c r="M38" s="55">
        <f>VLOOKUP(G38,'[1]01-09 al 30-09'!$G:$AI,29,FALSE)</f>
        <v>206882</v>
      </c>
      <c r="N38" s="55">
        <f t="shared" si="2"/>
        <v>64</v>
      </c>
      <c r="O38" s="55">
        <f>VLOOKUP(G38,'[1]01-09 al 30-09'!$G:$AS,39,FALSE)</f>
        <v>207090</v>
      </c>
      <c r="P38" s="55">
        <f t="shared" si="3"/>
        <v>208</v>
      </c>
      <c r="Q38" s="55"/>
      <c r="R38" s="55"/>
      <c r="S38" s="90">
        <f t="shared" si="4"/>
        <v>484</v>
      </c>
      <c r="T38" s="89">
        <v>46146</v>
      </c>
      <c r="U38" s="14"/>
      <c r="V38" s="105" t="s">
        <v>2375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868</v>
      </c>
      <c r="B39" s="14" t="s">
        <v>888</v>
      </c>
      <c r="C39" s="19">
        <v>9826</v>
      </c>
      <c r="D39" s="14" t="s">
        <v>2096</v>
      </c>
      <c r="E39" s="14" t="s">
        <v>413</v>
      </c>
      <c r="F39" s="14" t="s">
        <v>1352</v>
      </c>
      <c r="G39" s="14" t="s">
        <v>272</v>
      </c>
      <c r="H39" s="55">
        <v>199742</v>
      </c>
      <c r="I39" s="55">
        <v>200083</v>
      </c>
      <c r="J39" s="55">
        <f t="shared" si="0"/>
        <v>341</v>
      </c>
      <c r="K39" s="55">
        <v>200357</v>
      </c>
      <c r="L39" s="55">
        <f t="shared" si="1"/>
        <v>274</v>
      </c>
      <c r="M39" s="55">
        <f>VLOOKUP(G39,'[1]01-09 al 30-09'!$G:$AI,29,FALSE)</f>
        <v>200557</v>
      </c>
      <c r="N39" s="55">
        <f t="shared" si="2"/>
        <v>200</v>
      </c>
      <c r="O39" s="55">
        <f>VLOOKUP(G39,'[1]01-09 al 30-09'!$G:$AS,39,FALSE)</f>
        <v>200797</v>
      </c>
      <c r="P39" s="55">
        <f t="shared" si="3"/>
        <v>240</v>
      </c>
      <c r="Q39" s="55"/>
      <c r="R39" s="55"/>
      <c r="S39" s="90">
        <f t="shared" si="4"/>
        <v>1055</v>
      </c>
      <c r="T39" s="89">
        <v>46146</v>
      </c>
      <c r="U39" s="14"/>
      <c r="V39" s="105" t="s">
        <v>2375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2442</v>
      </c>
      <c r="B40" s="14" t="s">
        <v>674</v>
      </c>
      <c r="C40" s="94">
        <v>9252</v>
      </c>
      <c r="D40" s="14" t="s">
        <v>675</v>
      </c>
      <c r="E40" s="14" t="s">
        <v>417</v>
      </c>
      <c r="F40" s="14" t="s">
        <v>1219</v>
      </c>
      <c r="G40" s="14" t="s">
        <v>113</v>
      </c>
      <c r="H40" s="55">
        <v>666565</v>
      </c>
      <c r="I40" s="55">
        <v>666565</v>
      </c>
      <c r="J40" s="55">
        <f t="shared" si="0"/>
        <v>0</v>
      </c>
      <c r="K40" s="55">
        <v>666565</v>
      </c>
      <c r="L40" s="55">
        <f t="shared" si="1"/>
        <v>0</v>
      </c>
      <c r="M40" s="55">
        <f>VLOOKUP(G40,'[1]01-09 al 30-09'!$G:$AI,29,FALSE)</f>
        <v>666565</v>
      </c>
      <c r="N40" s="55">
        <f t="shared" si="2"/>
        <v>0</v>
      </c>
      <c r="O40" s="55">
        <f>VLOOKUP(G40,'[1]01-09 al 30-09'!$G:$AS,39,FALSE)</f>
        <v>666565</v>
      </c>
      <c r="P40" s="55">
        <f t="shared" si="3"/>
        <v>0</v>
      </c>
      <c r="Q40" s="55"/>
      <c r="R40" s="55"/>
      <c r="S40" s="90">
        <f t="shared" si="4"/>
        <v>0</v>
      </c>
      <c r="T40" s="89">
        <v>46146</v>
      </c>
      <c r="U40" s="14" t="s">
        <v>2166</v>
      </c>
      <c r="V40" s="105" t="s">
        <v>2238</v>
      </c>
      <c r="W40" s="105" t="str">
        <f>VLOOKUP(C40,'Status oficina'!$A$2:$C$208,3,FALSE)</f>
        <v>Cierre definitivo</v>
      </c>
    </row>
    <row r="41" spans="1:23" ht="13.5" customHeight="1" x14ac:dyDescent="0.25">
      <c r="A41" s="53" t="s">
        <v>2442</v>
      </c>
      <c r="B41" s="14" t="s">
        <v>674</v>
      </c>
      <c r="C41" s="97">
        <v>9252</v>
      </c>
      <c r="D41" s="14" t="s">
        <v>676</v>
      </c>
      <c r="E41" s="14" t="s">
        <v>413</v>
      </c>
      <c r="F41" s="14" t="s">
        <v>1220</v>
      </c>
      <c r="G41" s="14" t="s">
        <v>262</v>
      </c>
      <c r="H41" s="55">
        <v>106018</v>
      </c>
      <c r="I41" s="55">
        <v>106018</v>
      </c>
      <c r="J41" s="55">
        <f t="shared" si="0"/>
        <v>0</v>
      </c>
      <c r="K41" s="55">
        <v>106018</v>
      </c>
      <c r="L41" s="55">
        <f t="shared" si="1"/>
        <v>0</v>
      </c>
      <c r="M41" s="55">
        <f>VLOOKUP(G41,'[1]01-09 al 30-09'!$G:$AI,29,FALSE)</f>
        <v>106018</v>
      </c>
      <c r="N41" s="55">
        <f t="shared" si="2"/>
        <v>0</v>
      </c>
      <c r="O41" s="55">
        <f>VLOOKUP(G41,'[1]01-09 al 30-09'!$G:$AS,39,FALSE)</f>
        <v>106018</v>
      </c>
      <c r="P41" s="55">
        <f t="shared" si="3"/>
        <v>0</v>
      </c>
      <c r="Q41" s="55"/>
      <c r="R41" s="55"/>
      <c r="S41" s="90">
        <f t="shared" si="4"/>
        <v>0</v>
      </c>
      <c r="T41" s="89">
        <v>46146</v>
      </c>
      <c r="U41" s="14" t="s">
        <v>2166</v>
      </c>
      <c r="V41" s="105" t="s">
        <v>2238</v>
      </c>
      <c r="W41" s="105" t="str">
        <f>VLOOKUP(C41,'Status oficina'!$A$2:$C$208,3,FALSE)</f>
        <v>Cierre definitivo</v>
      </c>
    </row>
    <row r="42" spans="1:23" ht="13.5" customHeight="1" x14ac:dyDescent="0.25">
      <c r="A42" s="15" t="s">
        <v>868</v>
      </c>
      <c r="B42" s="15" t="s">
        <v>911</v>
      </c>
      <c r="C42" s="120">
        <v>9813</v>
      </c>
      <c r="D42" s="14" t="s">
        <v>2107</v>
      </c>
      <c r="E42" s="15" t="s">
        <v>413</v>
      </c>
      <c r="F42" s="14" t="s">
        <v>1369</v>
      </c>
      <c r="G42" s="15" t="s">
        <v>25</v>
      </c>
      <c r="H42" s="55">
        <v>335447</v>
      </c>
      <c r="I42" s="55">
        <v>335532</v>
      </c>
      <c r="J42" s="55">
        <f t="shared" si="0"/>
        <v>85</v>
      </c>
      <c r="K42" s="55">
        <v>335691</v>
      </c>
      <c r="L42" s="55">
        <f t="shared" si="1"/>
        <v>159</v>
      </c>
      <c r="M42" s="55">
        <f>VLOOKUP(G42,'[1]01-09 al 30-09'!$G:$AI,29,FALSE)</f>
        <v>335804</v>
      </c>
      <c r="N42" s="55">
        <f t="shared" si="2"/>
        <v>113</v>
      </c>
      <c r="O42" s="55">
        <f>VLOOKUP(G42,'[1]01-09 al 30-09'!$G:$AS,39,FALSE)</f>
        <v>335975</v>
      </c>
      <c r="P42" s="55">
        <f t="shared" si="3"/>
        <v>171</v>
      </c>
      <c r="Q42" s="55"/>
      <c r="R42" s="55"/>
      <c r="S42" s="90">
        <f t="shared" si="4"/>
        <v>528</v>
      </c>
      <c r="T42" s="89">
        <v>46146</v>
      </c>
      <c r="U42" s="57"/>
      <c r="V42" s="105" t="s">
        <v>2375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2082</v>
      </c>
      <c r="B43" s="53" t="s">
        <v>460</v>
      </c>
      <c r="C43" s="19">
        <v>9485</v>
      </c>
      <c r="D43" s="53" t="s">
        <v>2432</v>
      </c>
      <c r="E43" s="53" t="s">
        <v>413</v>
      </c>
      <c r="F43" s="53" t="s">
        <v>1091</v>
      </c>
      <c r="G43" s="53" t="s">
        <v>194</v>
      </c>
      <c r="H43" s="55">
        <v>166062</v>
      </c>
      <c r="I43" s="55">
        <v>166169</v>
      </c>
      <c r="J43" s="55">
        <f t="shared" si="0"/>
        <v>107</v>
      </c>
      <c r="K43" s="55">
        <v>166249</v>
      </c>
      <c r="L43" s="55">
        <f t="shared" si="1"/>
        <v>80</v>
      </c>
      <c r="M43" s="55">
        <f>VLOOKUP(G43,'[1]01-09 al 30-09'!$G:$AI,29,FALSE)</f>
        <v>166349</v>
      </c>
      <c r="N43" s="55">
        <f t="shared" si="2"/>
        <v>100</v>
      </c>
      <c r="O43" s="55">
        <f>VLOOKUP(G43,'[1]01-09 al 30-09'!$G:$AS,39,FALSE)</f>
        <v>166638</v>
      </c>
      <c r="P43" s="55">
        <f t="shared" si="3"/>
        <v>289</v>
      </c>
      <c r="Q43" s="55"/>
      <c r="R43" s="55"/>
      <c r="S43" s="90">
        <f t="shared" si="4"/>
        <v>576</v>
      </c>
      <c r="T43" s="89">
        <v>46146</v>
      </c>
      <c r="U43" s="57"/>
      <c r="V43" s="108" t="s">
        <v>2375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2082</v>
      </c>
      <c r="B44" s="14" t="s">
        <v>498</v>
      </c>
      <c r="C44" s="120">
        <v>9470</v>
      </c>
      <c r="D44" s="14" t="s">
        <v>2491</v>
      </c>
      <c r="E44" s="14" t="s">
        <v>413</v>
      </c>
      <c r="F44" s="14" t="s">
        <v>1121</v>
      </c>
      <c r="G44" s="14" t="s">
        <v>214</v>
      </c>
      <c r="H44" s="55">
        <v>181953</v>
      </c>
      <c r="I44" s="55">
        <v>182165</v>
      </c>
      <c r="J44" s="55">
        <f t="shared" si="0"/>
        <v>212</v>
      </c>
      <c r="K44" s="55">
        <v>182504</v>
      </c>
      <c r="L44" s="55">
        <f t="shared" si="1"/>
        <v>339</v>
      </c>
      <c r="M44" s="55">
        <f>VLOOKUP(G44,'[1]01-09 al 30-09'!$G:$AI,29,FALSE)</f>
        <v>182646</v>
      </c>
      <c r="N44" s="55">
        <f t="shared" si="2"/>
        <v>142</v>
      </c>
      <c r="O44" s="55">
        <f>VLOOKUP(G44,'[1]01-09 al 30-09'!$G:$AS,39,FALSE)</f>
        <v>183008</v>
      </c>
      <c r="P44" s="55">
        <f t="shared" si="3"/>
        <v>362</v>
      </c>
      <c r="Q44" s="55"/>
      <c r="R44" s="55"/>
      <c r="S44" s="90">
        <f t="shared" si="4"/>
        <v>1055</v>
      </c>
      <c r="T44" s="89">
        <v>46146</v>
      </c>
      <c r="U44" s="57"/>
      <c r="V44" s="108" t="s">
        <v>2375</v>
      </c>
      <c r="W44" s="105" t="str">
        <f>VLOOKUP(C44,'Status oficina'!$A$2:$C$208,3,FALSE)</f>
        <v>Activa</v>
      </c>
    </row>
    <row r="45" spans="1:23" ht="13.5" customHeight="1" x14ac:dyDescent="0.25">
      <c r="A45" s="53" t="s">
        <v>2442</v>
      </c>
      <c r="B45" s="53" t="s">
        <v>2376</v>
      </c>
      <c r="C45" s="19">
        <v>9219</v>
      </c>
      <c r="D45" s="14" t="s">
        <v>2377</v>
      </c>
      <c r="E45" s="14" t="s">
        <v>413</v>
      </c>
      <c r="F45" s="14" t="s">
        <v>1990</v>
      </c>
      <c r="G45" s="14" t="s">
        <v>2378</v>
      </c>
      <c r="H45" s="55">
        <v>118201</v>
      </c>
      <c r="I45" s="55">
        <v>118547</v>
      </c>
      <c r="J45" s="55">
        <f t="shared" si="0"/>
        <v>346</v>
      </c>
      <c r="K45" s="55">
        <v>118929</v>
      </c>
      <c r="L45" s="55">
        <f t="shared" si="1"/>
        <v>382</v>
      </c>
      <c r="M45" s="55">
        <f>VLOOKUP(G45,'[1]01-09 al 30-09'!$G:$AI,29,FALSE)</f>
        <v>119206</v>
      </c>
      <c r="N45" s="55">
        <f t="shared" si="2"/>
        <v>277</v>
      </c>
      <c r="O45" s="55">
        <f>VLOOKUP(G45,'[1]01-09 al 30-09'!$G:$AS,39,FALSE)</f>
        <v>119501</v>
      </c>
      <c r="P45" s="55">
        <f t="shared" si="3"/>
        <v>295</v>
      </c>
      <c r="Q45" s="55"/>
      <c r="R45" s="55"/>
      <c r="S45" s="90">
        <f t="shared" si="4"/>
        <v>1300</v>
      </c>
      <c r="T45" s="89">
        <v>46146</v>
      </c>
      <c r="U45" s="14"/>
      <c r="V45" s="108" t="s">
        <v>2375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868</v>
      </c>
      <c r="B46" s="14" t="s">
        <v>885</v>
      </c>
      <c r="C46" s="19">
        <v>9816</v>
      </c>
      <c r="D46" s="14" t="s">
        <v>887</v>
      </c>
      <c r="E46" s="14" t="s">
        <v>413</v>
      </c>
      <c r="F46" s="14" t="s">
        <v>1350</v>
      </c>
      <c r="G46" s="14" t="s">
        <v>208</v>
      </c>
      <c r="H46" s="55">
        <v>162839</v>
      </c>
      <c r="I46" s="55">
        <v>162955</v>
      </c>
      <c r="J46" s="55">
        <f t="shared" si="0"/>
        <v>116</v>
      </c>
      <c r="K46" s="55">
        <v>163217</v>
      </c>
      <c r="L46" s="55">
        <f t="shared" si="1"/>
        <v>262</v>
      </c>
      <c r="M46" s="55">
        <f>VLOOKUP(G46,'[1]01-09 al 30-09'!$G:$AI,29,FALSE)</f>
        <v>163308</v>
      </c>
      <c r="N46" s="55">
        <f t="shared" si="2"/>
        <v>91</v>
      </c>
      <c r="O46" s="55">
        <f>VLOOKUP(G46,'[1]01-09 al 30-09'!$G:$AS,39,FALSE)</f>
        <v>163472</v>
      </c>
      <c r="P46" s="55">
        <f t="shared" si="3"/>
        <v>164</v>
      </c>
      <c r="Q46" s="55"/>
      <c r="R46" s="55"/>
      <c r="S46" s="90">
        <f t="shared" si="4"/>
        <v>633</v>
      </c>
      <c r="T46" s="89">
        <v>46146</v>
      </c>
      <c r="U46" s="14"/>
      <c r="V46" s="105" t="s">
        <v>2375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868</v>
      </c>
      <c r="B47" s="14" t="s">
        <v>922</v>
      </c>
      <c r="C47" s="120">
        <v>9814</v>
      </c>
      <c r="D47" s="14" t="s">
        <v>923</v>
      </c>
      <c r="E47" s="14" t="s">
        <v>413</v>
      </c>
      <c r="F47" s="14" t="s">
        <v>1380</v>
      </c>
      <c r="G47" s="14" t="s">
        <v>114</v>
      </c>
      <c r="H47" s="55">
        <v>328378</v>
      </c>
      <c r="I47" s="55">
        <v>328897</v>
      </c>
      <c r="J47" s="55">
        <f t="shared" si="0"/>
        <v>519</v>
      </c>
      <c r="K47" s="55">
        <v>329461</v>
      </c>
      <c r="L47" s="55">
        <f t="shared" si="1"/>
        <v>564</v>
      </c>
      <c r="M47" s="55">
        <f>VLOOKUP(G47,'[1]01-09 al 30-09'!$G:$AI,29,FALSE)</f>
        <v>329960</v>
      </c>
      <c r="N47" s="55">
        <f t="shared" si="2"/>
        <v>499</v>
      </c>
      <c r="O47" s="55">
        <f>VLOOKUP(G47,'[1]01-09 al 30-09'!$G:$AS,39,FALSE)</f>
        <v>330575</v>
      </c>
      <c r="P47" s="55">
        <f t="shared" si="3"/>
        <v>615</v>
      </c>
      <c r="Q47" s="55"/>
      <c r="R47" s="55"/>
      <c r="S47" s="90">
        <f t="shared" si="4"/>
        <v>2197</v>
      </c>
      <c r="T47" s="89">
        <v>46146</v>
      </c>
      <c r="U47" s="14"/>
      <c r="V47" s="105" t="s">
        <v>2375</v>
      </c>
      <c r="W47" s="105" t="str">
        <f>VLOOKUP(C47,'Status oficina'!$A$2:$C$208,3,FALSE)</f>
        <v>Activa</v>
      </c>
    </row>
    <row r="48" spans="1:23" ht="13.5" customHeight="1" x14ac:dyDescent="0.25">
      <c r="A48" s="14" t="s">
        <v>868</v>
      </c>
      <c r="B48" s="14" t="s">
        <v>896</v>
      </c>
      <c r="C48" s="120">
        <v>9884</v>
      </c>
      <c r="D48" s="10" t="s">
        <v>897</v>
      </c>
      <c r="E48" s="14" t="s">
        <v>413</v>
      </c>
      <c r="F48" s="14" t="s">
        <v>1357</v>
      </c>
      <c r="G48" s="14" t="s">
        <v>80</v>
      </c>
      <c r="H48" s="55">
        <v>148923</v>
      </c>
      <c r="I48" s="55">
        <v>148923</v>
      </c>
      <c r="J48" s="55">
        <f t="shared" si="0"/>
        <v>0</v>
      </c>
      <c r="K48" s="55">
        <v>148923</v>
      </c>
      <c r="L48" s="55">
        <f t="shared" si="1"/>
        <v>0</v>
      </c>
      <c r="M48" s="55">
        <f>VLOOKUP(G48,'[1]01-09 al 30-09'!$G:$AI,29,FALSE)</f>
        <v>148923</v>
      </c>
      <c r="N48" s="55">
        <f t="shared" si="2"/>
        <v>0</v>
      </c>
      <c r="O48" s="55">
        <f>VLOOKUP(G48,'[1]01-09 al 30-09'!$G:$AS,39,FALSE)</f>
        <v>148923</v>
      </c>
      <c r="P48" s="55">
        <f t="shared" si="3"/>
        <v>0</v>
      </c>
      <c r="Q48" s="55"/>
      <c r="R48" s="55"/>
      <c r="S48" s="90">
        <f t="shared" si="4"/>
        <v>0</v>
      </c>
      <c r="T48" s="89">
        <v>46146</v>
      </c>
      <c r="U48" s="14" t="s">
        <v>2396</v>
      </c>
      <c r="V48" s="105" t="s">
        <v>2374</v>
      </c>
      <c r="W48" s="105" t="str">
        <f>VLOOKUP(C48,'Status oficina'!$A$2:$C$208,3,FALSE)</f>
        <v>Activa</v>
      </c>
    </row>
    <row r="49" spans="1:23" ht="13.5" customHeight="1" x14ac:dyDescent="0.25">
      <c r="A49" s="53" t="s">
        <v>2442</v>
      </c>
      <c r="B49" s="14" t="s">
        <v>709</v>
      </c>
      <c r="C49" s="19">
        <v>9268</v>
      </c>
      <c r="D49" s="14" t="s">
        <v>710</v>
      </c>
      <c r="E49" s="14" t="s">
        <v>413</v>
      </c>
      <c r="F49" s="14" t="s">
        <v>711</v>
      </c>
      <c r="G49" s="14" t="s">
        <v>327</v>
      </c>
      <c r="H49" s="55">
        <v>276689</v>
      </c>
      <c r="I49" s="55">
        <v>276689</v>
      </c>
      <c r="J49" s="55">
        <f t="shared" si="0"/>
        <v>0</v>
      </c>
      <c r="K49" s="55">
        <v>276689</v>
      </c>
      <c r="L49" s="55">
        <f t="shared" si="1"/>
        <v>0</v>
      </c>
      <c r="M49" s="55">
        <f>VLOOKUP(G49,'[1]01-09 al 30-09'!$G:$AI,29,FALSE)</f>
        <v>276689</v>
      </c>
      <c r="N49" s="55">
        <f t="shared" si="2"/>
        <v>0</v>
      </c>
      <c r="O49" s="55">
        <f>VLOOKUP(G49,'[1]01-09 al 30-09'!$G:$AS,39,FALSE)</f>
        <v>276689</v>
      </c>
      <c r="P49" s="55">
        <f t="shared" si="3"/>
        <v>0</v>
      </c>
      <c r="Q49" s="55"/>
      <c r="R49" s="55"/>
      <c r="S49" s="90">
        <f t="shared" si="4"/>
        <v>0</v>
      </c>
      <c r="T49" s="89">
        <v>46146</v>
      </c>
      <c r="U49" s="14" t="s">
        <v>2080</v>
      </c>
      <c r="V49" s="105" t="s">
        <v>2231</v>
      </c>
      <c r="W49" s="105" t="str">
        <f>VLOOKUP(C49,'Status oficina'!$A$2:$C$208,3,FALSE)</f>
        <v>Cierre temporal</v>
      </c>
    </row>
    <row r="50" spans="1:23" ht="13.5" customHeight="1" x14ac:dyDescent="0.25">
      <c r="A50" s="14" t="s">
        <v>2443</v>
      </c>
      <c r="B50" s="14" t="s">
        <v>696</v>
      </c>
      <c r="C50" s="120">
        <v>9269</v>
      </c>
      <c r="D50" s="14" t="s">
        <v>697</v>
      </c>
      <c r="E50" s="14" t="s">
        <v>413</v>
      </c>
      <c r="F50" s="14" t="s">
        <v>1232</v>
      </c>
      <c r="G50" s="14" t="s">
        <v>186</v>
      </c>
      <c r="H50" s="55">
        <v>272787</v>
      </c>
      <c r="I50" s="55">
        <v>272787</v>
      </c>
      <c r="J50" s="55">
        <f t="shared" si="0"/>
        <v>0</v>
      </c>
      <c r="K50" s="55">
        <v>272787</v>
      </c>
      <c r="L50" s="55">
        <f t="shared" si="1"/>
        <v>0</v>
      </c>
      <c r="M50" s="55">
        <f>VLOOKUP(G50,'[1]01-09 al 30-09'!$G:$AI,29,FALSE)</f>
        <v>272787</v>
      </c>
      <c r="N50" s="55">
        <f t="shared" si="2"/>
        <v>0</v>
      </c>
      <c r="O50" s="55">
        <f>VLOOKUP(G50,'[1]01-09 al 30-09'!$G:$AS,39,FALSE)</f>
        <v>272787</v>
      </c>
      <c r="P50" s="55">
        <f t="shared" si="3"/>
        <v>0</v>
      </c>
      <c r="Q50" s="55"/>
      <c r="R50" s="55"/>
      <c r="S50" s="90">
        <f t="shared" si="4"/>
        <v>0</v>
      </c>
      <c r="T50" s="89">
        <v>46146</v>
      </c>
      <c r="U50" s="14"/>
      <c r="V50" s="105" t="s">
        <v>2231</v>
      </c>
      <c r="W50" s="105" t="str">
        <f>VLOOKUP(C50,'Status oficina'!$A$2:$C$208,3,FALSE)</f>
        <v>Cierre temporal</v>
      </c>
    </row>
    <row r="51" spans="1:23" ht="13.5" customHeight="1" x14ac:dyDescent="0.25">
      <c r="A51" s="53" t="s">
        <v>2442</v>
      </c>
      <c r="B51" s="14" t="s">
        <v>642</v>
      </c>
      <c r="C51" s="19">
        <v>9905</v>
      </c>
      <c r="D51" s="14" t="s">
        <v>644</v>
      </c>
      <c r="E51" s="14" t="s">
        <v>413</v>
      </c>
      <c r="F51" s="14" t="s">
        <v>1202</v>
      </c>
      <c r="G51" s="14" t="s">
        <v>130</v>
      </c>
      <c r="H51" s="55">
        <v>117508</v>
      </c>
      <c r="I51" s="55">
        <v>117508</v>
      </c>
      <c r="J51" s="55">
        <f t="shared" si="0"/>
        <v>0</v>
      </c>
      <c r="K51" s="55">
        <v>117508</v>
      </c>
      <c r="L51" s="55">
        <f t="shared" si="1"/>
        <v>0</v>
      </c>
      <c r="M51" s="55">
        <f>VLOOKUP(G51,'[1]01-09 al 30-09'!$G:$AI,29,FALSE)</f>
        <v>117508</v>
      </c>
      <c r="N51" s="55">
        <f t="shared" si="2"/>
        <v>0</v>
      </c>
      <c r="O51" s="55">
        <f>VLOOKUP(G51,'[1]01-09 al 30-09'!$G:$AS,39,FALSE)</f>
        <v>117508</v>
      </c>
      <c r="P51" s="55">
        <f t="shared" si="3"/>
        <v>0</v>
      </c>
      <c r="Q51" s="55"/>
      <c r="R51" s="55"/>
      <c r="S51" s="90">
        <f t="shared" si="4"/>
        <v>0</v>
      </c>
      <c r="T51" s="89">
        <v>46146</v>
      </c>
      <c r="U51" s="14" t="s">
        <v>2470</v>
      </c>
      <c r="V51" s="105" t="s">
        <v>2238</v>
      </c>
      <c r="W51" s="105" t="s">
        <v>2238</v>
      </c>
    </row>
    <row r="52" spans="1:23" ht="13.5" customHeight="1" x14ac:dyDescent="0.25">
      <c r="A52" s="14" t="s">
        <v>2443</v>
      </c>
      <c r="B52" s="15" t="s">
        <v>790</v>
      </c>
      <c r="C52" s="19">
        <v>9270</v>
      </c>
      <c r="D52" s="14" t="s">
        <v>792</v>
      </c>
      <c r="E52" s="15" t="s">
        <v>413</v>
      </c>
      <c r="F52" s="14" t="s">
        <v>1290</v>
      </c>
      <c r="G52" s="14"/>
      <c r="H52" s="55">
        <v>215794</v>
      </c>
      <c r="I52" s="55">
        <v>215794</v>
      </c>
      <c r="J52" s="55">
        <f t="shared" si="0"/>
        <v>0</v>
      </c>
      <c r="K52" s="55">
        <v>215794</v>
      </c>
      <c r="L52" s="55">
        <f t="shared" si="1"/>
        <v>0</v>
      </c>
      <c r="M52" s="55">
        <v>215794</v>
      </c>
      <c r="N52" s="55">
        <f t="shared" si="2"/>
        <v>0</v>
      </c>
      <c r="O52" s="55">
        <v>215794</v>
      </c>
      <c r="P52" s="55">
        <f t="shared" si="3"/>
        <v>0</v>
      </c>
      <c r="Q52" s="55"/>
      <c r="R52" s="55"/>
      <c r="S52" s="90">
        <f t="shared" si="4"/>
        <v>0</v>
      </c>
      <c r="T52" s="89">
        <v>46146</v>
      </c>
      <c r="U52" s="14" t="s">
        <v>2428</v>
      </c>
      <c r="V52" s="105" t="s">
        <v>2374</v>
      </c>
      <c r="W52" s="105" t="s">
        <v>2228</v>
      </c>
    </row>
    <row r="53" spans="1:23" ht="13.5" customHeight="1" x14ac:dyDescent="0.25">
      <c r="A53" s="53" t="s">
        <v>2443</v>
      </c>
      <c r="B53" s="15" t="s">
        <v>790</v>
      </c>
      <c r="C53" s="19">
        <v>9270</v>
      </c>
      <c r="D53" s="14" t="s">
        <v>791</v>
      </c>
      <c r="E53" s="15" t="s">
        <v>413</v>
      </c>
      <c r="F53" s="14" t="s">
        <v>1996</v>
      </c>
      <c r="G53" s="15" t="s">
        <v>343</v>
      </c>
      <c r="H53" s="55">
        <v>228374</v>
      </c>
      <c r="I53" s="55">
        <v>229257</v>
      </c>
      <c r="J53" s="55">
        <f t="shared" si="0"/>
        <v>883</v>
      </c>
      <c r="K53" s="55">
        <v>229864</v>
      </c>
      <c r="L53" s="55">
        <f t="shared" si="1"/>
        <v>607</v>
      </c>
      <c r="M53" s="55">
        <f>VLOOKUP(G53,'[1]01-09 al 30-09'!$G:$AI,29,FALSE)</f>
        <v>230287</v>
      </c>
      <c r="N53" s="55">
        <f t="shared" si="2"/>
        <v>423</v>
      </c>
      <c r="O53" s="55">
        <f>VLOOKUP(G53,'[1]01-09 al 30-09'!$G:$AS,39,FALSE)</f>
        <v>230949</v>
      </c>
      <c r="P53" s="55">
        <f t="shared" si="3"/>
        <v>662</v>
      </c>
      <c r="Q53" s="55"/>
      <c r="R53" s="55"/>
      <c r="S53" s="90">
        <f t="shared" si="4"/>
        <v>2575</v>
      </c>
      <c r="T53" s="89">
        <v>46146</v>
      </c>
      <c r="U53" s="14" t="s">
        <v>2441</v>
      </c>
      <c r="V53" s="105" t="s">
        <v>2375</v>
      </c>
      <c r="W53" s="105" t="s">
        <v>2228</v>
      </c>
    </row>
    <row r="54" spans="1:23" ht="13.5" customHeight="1" x14ac:dyDescent="0.25">
      <c r="A54" s="14" t="s">
        <v>2082</v>
      </c>
      <c r="B54" s="14" t="s">
        <v>628</v>
      </c>
      <c r="C54" s="22">
        <v>9446</v>
      </c>
      <c r="D54" s="14" t="s">
        <v>630</v>
      </c>
      <c r="E54" s="15" t="s">
        <v>413</v>
      </c>
      <c r="F54" s="14" t="s">
        <v>1192</v>
      </c>
      <c r="G54" s="15" t="s">
        <v>357</v>
      </c>
      <c r="H54" s="55">
        <v>127910</v>
      </c>
      <c r="I54" s="55">
        <v>127910</v>
      </c>
      <c r="J54" s="55">
        <f t="shared" si="0"/>
        <v>0</v>
      </c>
      <c r="K54" s="55">
        <v>127910</v>
      </c>
      <c r="L54" s="55">
        <f t="shared" si="1"/>
        <v>0</v>
      </c>
      <c r="M54" s="55">
        <f>VLOOKUP(G54,'[1]01-09 al 30-09'!$G:$AI,29,FALSE)</f>
        <v>127910</v>
      </c>
      <c r="N54" s="55">
        <f t="shared" si="2"/>
        <v>0</v>
      </c>
      <c r="O54" s="55">
        <f>VLOOKUP(G54,'[1]01-09 al 30-09'!$G:$AS,39,FALSE)</f>
        <v>127910</v>
      </c>
      <c r="P54" s="55">
        <f t="shared" si="3"/>
        <v>0</v>
      </c>
      <c r="Q54" s="55"/>
      <c r="R54" s="55"/>
      <c r="S54" s="90">
        <f t="shared" si="4"/>
        <v>0</v>
      </c>
      <c r="T54" s="89">
        <v>46146</v>
      </c>
      <c r="U54" s="14"/>
      <c r="V54" s="105" t="s">
        <v>2375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939</v>
      </c>
      <c r="B55" s="14" t="s">
        <v>966</v>
      </c>
      <c r="C55" s="19">
        <v>9630</v>
      </c>
      <c r="D55" s="14" t="s">
        <v>968</v>
      </c>
      <c r="E55" s="14" t="s">
        <v>413</v>
      </c>
      <c r="F55" s="14" t="s">
        <v>1396</v>
      </c>
      <c r="G55" s="14" t="s">
        <v>127</v>
      </c>
      <c r="H55" s="55">
        <v>137199</v>
      </c>
      <c r="I55" s="55">
        <v>137390</v>
      </c>
      <c r="J55" s="55">
        <f t="shared" si="0"/>
        <v>191</v>
      </c>
      <c r="K55" s="55">
        <v>137727</v>
      </c>
      <c r="L55" s="55">
        <f t="shared" si="1"/>
        <v>337</v>
      </c>
      <c r="M55" s="55">
        <f>VLOOKUP(G55,'[1]01-09 al 30-09'!$G:$AI,29,FALSE)</f>
        <v>137992</v>
      </c>
      <c r="N55" s="55">
        <f t="shared" si="2"/>
        <v>265</v>
      </c>
      <c r="O55" s="55">
        <f>VLOOKUP(G55,'[1]01-09 al 30-09'!$G:$AS,39,FALSE)</f>
        <v>138190</v>
      </c>
      <c r="P55" s="55">
        <f t="shared" si="3"/>
        <v>198</v>
      </c>
      <c r="Q55" s="55"/>
      <c r="R55" s="55"/>
      <c r="S55" s="90">
        <f t="shared" si="4"/>
        <v>991</v>
      </c>
      <c r="T55" s="89">
        <v>46146</v>
      </c>
      <c r="U55" s="14"/>
      <c r="V55" s="105" t="s">
        <v>2375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2442</v>
      </c>
      <c r="B56" s="14" t="s">
        <v>645</v>
      </c>
      <c r="C56" s="19">
        <v>9272</v>
      </c>
      <c r="D56" s="14" t="s">
        <v>646</v>
      </c>
      <c r="E56" s="14" t="s">
        <v>413</v>
      </c>
      <c r="F56" s="14" t="s">
        <v>1203</v>
      </c>
      <c r="G56" s="14" t="s">
        <v>139</v>
      </c>
      <c r="H56" s="55">
        <v>289553</v>
      </c>
      <c r="I56" s="55">
        <v>289553</v>
      </c>
      <c r="J56" s="55">
        <f t="shared" si="0"/>
        <v>0</v>
      </c>
      <c r="K56" s="55">
        <v>289553</v>
      </c>
      <c r="L56" s="55">
        <f t="shared" si="1"/>
        <v>0</v>
      </c>
      <c r="M56" s="55">
        <f>VLOOKUP(G56,'[1]01-09 al 30-09'!$G:$AI,29,FALSE)</f>
        <v>289553</v>
      </c>
      <c r="N56" s="55">
        <f t="shared" si="2"/>
        <v>0</v>
      </c>
      <c r="O56" s="55">
        <f>VLOOKUP(G56,'[1]01-09 al 30-09'!$G:$AS,39,FALSE)</f>
        <v>289553</v>
      </c>
      <c r="P56" s="55">
        <f t="shared" si="3"/>
        <v>0</v>
      </c>
      <c r="Q56" s="55"/>
      <c r="R56" s="55"/>
      <c r="S56" s="90">
        <f t="shared" si="4"/>
        <v>0</v>
      </c>
      <c r="T56" s="89">
        <v>46146</v>
      </c>
      <c r="U56" s="14" t="s">
        <v>2389</v>
      </c>
      <c r="V56" s="105" t="s">
        <v>2374</v>
      </c>
      <c r="W56" s="105" t="str">
        <f>VLOOKUP(C56,'Status oficina'!$A$2:$C$208,3,FALSE)</f>
        <v>Activa</v>
      </c>
    </row>
    <row r="57" spans="1:23" ht="13.5" customHeight="1" x14ac:dyDescent="0.25">
      <c r="A57" s="14" t="s">
        <v>939</v>
      </c>
      <c r="B57" s="14" t="s">
        <v>992</v>
      </c>
      <c r="C57" s="120">
        <v>9610</v>
      </c>
      <c r="D57" s="14" t="s">
        <v>994</v>
      </c>
      <c r="E57" s="14" t="s">
        <v>413</v>
      </c>
      <c r="F57" s="14" t="s">
        <v>1427</v>
      </c>
      <c r="G57" s="14" t="s">
        <v>226</v>
      </c>
      <c r="H57" s="55">
        <v>329718</v>
      </c>
      <c r="I57" s="55">
        <v>330777</v>
      </c>
      <c r="J57" s="55">
        <f t="shared" si="0"/>
        <v>1059</v>
      </c>
      <c r="K57" s="55">
        <v>331691</v>
      </c>
      <c r="L57" s="55">
        <f t="shared" si="1"/>
        <v>914</v>
      </c>
      <c r="M57" s="55">
        <f>VLOOKUP(G57,'[1]01-09 al 30-09'!$G:$AI,29,FALSE)</f>
        <v>332718</v>
      </c>
      <c r="N57" s="55">
        <f t="shared" si="2"/>
        <v>1027</v>
      </c>
      <c r="O57" s="55">
        <f>VLOOKUP(G57,'[1]01-09 al 30-09'!$G:$AS,39,FALSE)</f>
        <v>333635</v>
      </c>
      <c r="P57" s="55">
        <f t="shared" si="3"/>
        <v>917</v>
      </c>
      <c r="Q57" s="55"/>
      <c r="R57" s="55"/>
      <c r="S57" s="90">
        <f t="shared" si="4"/>
        <v>3917</v>
      </c>
      <c r="T57" s="89">
        <v>46146</v>
      </c>
      <c r="U57" s="14"/>
      <c r="V57" s="105" t="s">
        <v>2375</v>
      </c>
      <c r="W57" s="105" t="str">
        <f>VLOOKUP(C57,'Status oficina'!$A$2:$C$208,3,FALSE)</f>
        <v>Activa</v>
      </c>
    </row>
    <row r="58" spans="1:23" ht="13.5" customHeight="1" x14ac:dyDescent="0.25">
      <c r="A58" s="53" t="s">
        <v>2442</v>
      </c>
      <c r="B58" s="14" t="s">
        <v>752</v>
      </c>
      <c r="C58" s="120">
        <v>9299</v>
      </c>
      <c r="D58" s="14" t="s">
        <v>2433</v>
      </c>
      <c r="E58" s="14" t="s">
        <v>413</v>
      </c>
      <c r="F58" s="14" t="s">
        <v>754</v>
      </c>
      <c r="G58" s="14"/>
      <c r="H58" s="55">
        <v>121368</v>
      </c>
      <c r="I58" s="55">
        <v>121368</v>
      </c>
      <c r="J58" s="55">
        <f t="shared" si="0"/>
        <v>0</v>
      </c>
      <c r="K58" s="55">
        <v>121368</v>
      </c>
      <c r="L58" s="55">
        <f t="shared" si="1"/>
        <v>0</v>
      </c>
      <c r="M58" s="55">
        <v>121368</v>
      </c>
      <c r="N58" s="55">
        <f t="shared" si="2"/>
        <v>0</v>
      </c>
      <c r="O58" s="55">
        <v>121368</v>
      </c>
      <c r="P58" s="55">
        <f t="shared" si="3"/>
        <v>0</v>
      </c>
      <c r="Q58" s="55"/>
      <c r="R58" s="55"/>
      <c r="S58" s="90">
        <f t="shared" si="4"/>
        <v>0</v>
      </c>
      <c r="T58" s="89">
        <v>46146</v>
      </c>
      <c r="U58" s="14" t="s">
        <v>2487</v>
      </c>
      <c r="V58" s="105" t="s">
        <v>2374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2443</v>
      </c>
      <c r="B59" s="14" t="s">
        <v>780</v>
      </c>
      <c r="C59" s="19">
        <v>9282</v>
      </c>
      <c r="D59" s="14" t="s">
        <v>783</v>
      </c>
      <c r="E59" s="14" t="s">
        <v>413</v>
      </c>
      <c r="F59" s="14" t="s">
        <v>1284</v>
      </c>
      <c r="G59" s="14" t="s">
        <v>316</v>
      </c>
      <c r="H59" s="55">
        <v>256868</v>
      </c>
      <c r="I59" s="55">
        <v>256868</v>
      </c>
      <c r="J59" s="55">
        <f t="shared" si="0"/>
        <v>0</v>
      </c>
      <c r="K59" s="55">
        <v>256868</v>
      </c>
      <c r="L59" s="55">
        <f t="shared" si="1"/>
        <v>0</v>
      </c>
      <c r="M59" s="55">
        <f>VLOOKUP(G59,'[1]01-09 al 30-09'!$G:$AI,29,FALSE)</f>
        <v>256868</v>
      </c>
      <c r="N59" s="55">
        <f t="shared" si="2"/>
        <v>0</v>
      </c>
      <c r="O59" s="55">
        <f>VLOOKUP(G59,'[1]01-09 al 30-09'!$G:$AS,39,FALSE)</f>
        <v>256868</v>
      </c>
      <c r="P59" s="55">
        <f t="shared" si="3"/>
        <v>0</v>
      </c>
      <c r="Q59" s="55"/>
      <c r="R59" s="55"/>
      <c r="S59" s="90">
        <f t="shared" si="4"/>
        <v>0</v>
      </c>
      <c r="T59" s="89">
        <v>46146</v>
      </c>
      <c r="U59" s="14" t="s">
        <v>2125</v>
      </c>
      <c r="V59" s="105" t="s">
        <v>2374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939</v>
      </c>
      <c r="B60" s="14" t="s">
        <v>980</v>
      </c>
      <c r="C60" s="120">
        <v>9655</v>
      </c>
      <c r="D60" s="54" t="s">
        <v>989</v>
      </c>
      <c r="E60" s="54" t="s">
        <v>413</v>
      </c>
      <c r="F60" s="54" t="s">
        <v>1422</v>
      </c>
      <c r="G60" s="54" t="s">
        <v>393</v>
      </c>
      <c r="H60" s="55">
        <v>405746</v>
      </c>
      <c r="I60" s="55">
        <v>406502</v>
      </c>
      <c r="J60" s="55">
        <f t="shared" si="0"/>
        <v>756</v>
      </c>
      <c r="K60" s="55">
        <v>407109</v>
      </c>
      <c r="L60" s="55">
        <f t="shared" si="1"/>
        <v>607</v>
      </c>
      <c r="M60" s="55">
        <f>VLOOKUP(G60,'[1]01-09 al 30-09'!$G:$AI,29,FALSE)</f>
        <v>407516</v>
      </c>
      <c r="N60" s="55">
        <f t="shared" si="2"/>
        <v>407</v>
      </c>
      <c r="O60" s="55">
        <f>VLOOKUP(G60,'[1]01-09 al 30-09'!$G:$AS,39,FALSE)</f>
        <v>408337</v>
      </c>
      <c r="P60" s="55">
        <f t="shared" si="3"/>
        <v>821</v>
      </c>
      <c r="Q60" s="55"/>
      <c r="R60" s="55"/>
      <c r="S60" s="90">
        <f t="shared" si="4"/>
        <v>2591</v>
      </c>
      <c r="T60" s="89">
        <v>46146</v>
      </c>
      <c r="U60" s="14"/>
      <c r="V60" s="108" t="s">
        <v>2375</v>
      </c>
      <c r="W60" s="105" t="str">
        <f>VLOOKUP(C60,'Status oficina'!$A$2:$C$208,3,FALSE)</f>
        <v>Activa</v>
      </c>
    </row>
    <row r="61" spans="1:23" ht="13.5" customHeight="1" x14ac:dyDescent="0.25">
      <c r="A61" s="14" t="s">
        <v>2443</v>
      </c>
      <c r="B61" s="14" t="s">
        <v>780</v>
      </c>
      <c r="C61" s="19">
        <v>9282</v>
      </c>
      <c r="D61" s="14" t="s">
        <v>782</v>
      </c>
      <c r="E61" s="14" t="s">
        <v>417</v>
      </c>
      <c r="F61" s="14" t="s">
        <v>1283</v>
      </c>
      <c r="G61" s="14"/>
      <c r="H61" s="55">
        <v>483177</v>
      </c>
      <c r="I61" s="55">
        <v>483177</v>
      </c>
      <c r="J61" s="55">
        <f t="shared" si="0"/>
        <v>0</v>
      </c>
      <c r="K61" s="55">
        <v>483177</v>
      </c>
      <c r="L61" s="55">
        <f t="shared" si="1"/>
        <v>0</v>
      </c>
      <c r="M61" s="55">
        <v>483177</v>
      </c>
      <c r="N61" s="55">
        <f t="shared" si="2"/>
        <v>0</v>
      </c>
      <c r="O61" s="55">
        <v>483177</v>
      </c>
      <c r="P61" s="55">
        <f t="shared" si="3"/>
        <v>0</v>
      </c>
      <c r="Q61" s="55"/>
      <c r="R61" s="55"/>
      <c r="S61" s="90">
        <f t="shared" si="4"/>
        <v>0</v>
      </c>
      <c r="T61" s="89">
        <v>46146</v>
      </c>
      <c r="U61" s="14" t="s">
        <v>2103</v>
      </c>
      <c r="V61" s="105" t="s">
        <v>2374</v>
      </c>
      <c r="W61" s="105" t="str">
        <f>VLOOKUP(C61,'Status oficina'!$A$2:$C$208,3,FALSE)</f>
        <v>Activa</v>
      </c>
    </row>
    <row r="62" spans="1:23" ht="13.5" customHeight="1" x14ac:dyDescent="0.25">
      <c r="A62" s="53" t="s">
        <v>2442</v>
      </c>
      <c r="B62" s="14" t="s">
        <v>765</v>
      </c>
      <c r="C62" s="120">
        <v>9929</v>
      </c>
      <c r="D62" s="14" t="s">
        <v>766</v>
      </c>
      <c r="E62" s="14" t="s">
        <v>413</v>
      </c>
      <c r="F62" s="14" t="s">
        <v>1273</v>
      </c>
      <c r="G62" s="14" t="s">
        <v>323</v>
      </c>
      <c r="H62" s="55">
        <v>299230</v>
      </c>
      <c r="I62" s="55">
        <v>299525</v>
      </c>
      <c r="J62" s="55">
        <f t="shared" si="0"/>
        <v>295</v>
      </c>
      <c r="K62" s="55">
        <v>299869</v>
      </c>
      <c r="L62" s="55">
        <f t="shared" si="1"/>
        <v>344</v>
      </c>
      <c r="M62" s="55">
        <f>VLOOKUP(G62,'[1]01-09 al 30-09'!$G:$AI,29,FALSE)</f>
        <v>300344</v>
      </c>
      <c r="N62" s="55">
        <f t="shared" si="2"/>
        <v>475</v>
      </c>
      <c r="O62" s="55">
        <f>VLOOKUP(G62,'[1]01-09 al 30-09'!$G:$AS,39,FALSE)</f>
        <v>300917</v>
      </c>
      <c r="P62" s="55">
        <f t="shared" si="3"/>
        <v>573</v>
      </c>
      <c r="Q62" s="55"/>
      <c r="R62" s="55"/>
      <c r="S62" s="90">
        <f t="shared" si="4"/>
        <v>1687</v>
      </c>
      <c r="T62" s="89">
        <v>46146</v>
      </c>
      <c r="U62" s="14"/>
      <c r="V62" s="105" t="s">
        <v>2375</v>
      </c>
      <c r="W62" s="105" t="str">
        <f>VLOOKUP(C62,'Status oficina'!$A$2:$C$208,3,FALSE)</f>
        <v>Activa</v>
      </c>
    </row>
    <row r="63" spans="1:23" ht="13.5" customHeight="1" x14ac:dyDescent="0.25">
      <c r="A63" s="14" t="s">
        <v>2443</v>
      </c>
      <c r="B63" s="14" t="s">
        <v>845</v>
      </c>
      <c r="C63" s="120">
        <v>9283</v>
      </c>
      <c r="D63" s="14" t="s">
        <v>846</v>
      </c>
      <c r="E63" s="14" t="s">
        <v>417</v>
      </c>
      <c r="F63" s="14" t="s">
        <v>1325</v>
      </c>
      <c r="G63" s="14" t="s">
        <v>234</v>
      </c>
      <c r="H63" s="55">
        <v>450762</v>
      </c>
      <c r="I63" s="55">
        <v>450762</v>
      </c>
      <c r="J63" s="55">
        <f t="shared" si="0"/>
        <v>0</v>
      </c>
      <c r="K63" s="55">
        <v>450762</v>
      </c>
      <c r="L63" s="55">
        <f t="shared" si="1"/>
        <v>0</v>
      </c>
      <c r="M63" s="55">
        <f>VLOOKUP(G63,'[1]01-09 al 30-09'!$G:$AI,29,FALSE)</f>
        <v>450762</v>
      </c>
      <c r="N63" s="55">
        <f t="shared" si="2"/>
        <v>0</v>
      </c>
      <c r="O63" s="55">
        <f>VLOOKUP(G63,'[1]01-09 al 30-09'!$G:$AS,39,FALSE)</f>
        <v>450762</v>
      </c>
      <c r="P63" s="55">
        <f t="shared" si="3"/>
        <v>0</v>
      </c>
      <c r="Q63" s="55"/>
      <c r="R63" s="55"/>
      <c r="S63" s="90">
        <f t="shared" si="4"/>
        <v>0</v>
      </c>
      <c r="T63" s="89">
        <v>46146</v>
      </c>
      <c r="U63" s="14"/>
      <c r="V63" s="105" t="s">
        <v>2231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2443</v>
      </c>
      <c r="B64" s="14" t="s">
        <v>845</v>
      </c>
      <c r="C64" s="120">
        <v>9283</v>
      </c>
      <c r="D64" s="14" t="s">
        <v>847</v>
      </c>
      <c r="E64" s="14" t="s">
        <v>413</v>
      </c>
      <c r="F64" s="14" t="s">
        <v>1326</v>
      </c>
      <c r="G64" s="14" t="s">
        <v>383</v>
      </c>
      <c r="H64" s="55">
        <v>95129</v>
      </c>
      <c r="I64" s="55">
        <v>95129</v>
      </c>
      <c r="J64" s="55">
        <f t="shared" si="0"/>
        <v>0</v>
      </c>
      <c r="K64" s="55">
        <v>95129</v>
      </c>
      <c r="L64" s="55">
        <f t="shared" si="1"/>
        <v>0</v>
      </c>
      <c r="M64" s="55">
        <f>VLOOKUP(G64,'[1]01-09 al 30-09'!$G:$AI,29,FALSE)</f>
        <v>95129</v>
      </c>
      <c r="N64" s="55">
        <f t="shared" si="2"/>
        <v>0</v>
      </c>
      <c r="O64" s="55">
        <f>VLOOKUP(G64,'[1]01-09 al 30-09'!$G:$AS,39,FALSE)</f>
        <v>95129</v>
      </c>
      <c r="P64" s="55">
        <f t="shared" si="3"/>
        <v>0</v>
      </c>
      <c r="Q64" s="55"/>
      <c r="R64" s="55"/>
      <c r="S64" s="90">
        <f t="shared" si="4"/>
        <v>0</v>
      </c>
      <c r="T64" s="89">
        <v>46146</v>
      </c>
      <c r="U64" s="14"/>
      <c r="V64" s="105" t="s">
        <v>2231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2443</v>
      </c>
      <c r="B65" s="14" t="s">
        <v>832</v>
      </c>
      <c r="C65" s="120">
        <v>9284</v>
      </c>
      <c r="D65" s="14" t="s">
        <v>833</v>
      </c>
      <c r="E65" s="14" t="s">
        <v>413</v>
      </c>
      <c r="F65" s="14" t="s">
        <v>1314</v>
      </c>
      <c r="G65" s="14"/>
      <c r="H65" s="55">
        <v>159175</v>
      </c>
      <c r="I65" s="55">
        <v>159175</v>
      </c>
      <c r="J65" s="55">
        <f t="shared" si="0"/>
        <v>0</v>
      </c>
      <c r="K65" s="55">
        <v>159175</v>
      </c>
      <c r="L65" s="55">
        <f t="shared" si="1"/>
        <v>0</v>
      </c>
      <c r="M65" s="55">
        <v>159175</v>
      </c>
      <c r="N65" s="55">
        <f t="shared" si="2"/>
        <v>0</v>
      </c>
      <c r="O65" s="55">
        <v>159175</v>
      </c>
      <c r="P65" s="55">
        <f t="shared" si="3"/>
        <v>0</v>
      </c>
      <c r="Q65" s="55"/>
      <c r="R65" s="55"/>
      <c r="S65" s="90">
        <f t="shared" si="4"/>
        <v>0</v>
      </c>
      <c r="T65" s="89">
        <v>46146</v>
      </c>
      <c r="U65" s="8" t="s">
        <v>2381</v>
      </c>
      <c r="V65" s="105" t="s">
        <v>2374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2443</v>
      </c>
      <c r="B66" s="14" t="s">
        <v>832</v>
      </c>
      <c r="C66" s="120">
        <v>9284</v>
      </c>
      <c r="D66" s="14" t="s">
        <v>833</v>
      </c>
      <c r="E66" s="14" t="s">
        <v>417</v>
      </c>
      <c r="F66" s="14" t="s">
        <v>834</v>
      </c>
      <c r="G66" s="14"/>
      <c r="H66" s="55">
        <v>158235</v>
      </c>
      <c r="I66" s="55">
        <v>158235</v>
      </c>
      <c r="J66" s="55">
        <f t="shared" si="0"/>
        <v>0</v>
      </c>
      <c r="K66" s="55">
        <v>158235</v>
      </c>
      <c r="L66" s="55">
        <f t="shared" si="1"/>
        <v>0</v>
      </c>
      <c r="M66" s="55">
        <v>158235</v>
      </c>
      <c r="N66" s="55">
        <f t="shared" si="2"/>
        <v>0</v>
      </c>
      <c r="O66" s="55">
        <v>158235</v>
      </c>
      <c r="P66" s="55">
        <f t="shared" si="3"/>
        <v>0</v>
      </c>
      <c r="Q66" s="55"/>
      <c r="R66" s="55"/>
      <c r="S66" s="90">
        <f t="shared" si="4"/>
        <v>0</v>
      </c>
      <c r="T66" s="89">
        <v>46146</v>
      </c>
      <c r="U66" s="14" t="s">
        <v>2391</v>
      </c>
      <c r="V66" s="105" t="s">
        <v>2374</v>
      </c>
      <c r="W66" s="105" t="str">
        <f>VLOOKUP(C66,'Status oficina'!$A$2:$C$208,3,FALSE)</f>
        <v>Cierre temporal</v>
      </c>
    </row>
    <row r="67" spans="1:23" ht="13.5" customHeight="1" x14ac:dyDescent="0.25">
      <c r="A67" s="14" t="s">
        <v>939</v>
      </c>
      <c r="B67" s="14" t="s">
        <v>962</v>
      </c>
      <c r="C67" s="19">
        <v>9570</v>
      </c>
      <c r="D67" s="14" t="s">
        <v>2434</v>
      </c>
      <c r="E67" s="14" t="s">
        <v>413</v>
      </c>
      <c r="F67" s="14" t="s">
        <v>1404</v>
      </c>
      <c r="G67" s="14" t="s">
        <v>176</v>
      </c>
      <c r="H67" s="55">
        <v>164270</v>
      </c>
      <c r="I67" s="55">
        <v>164459</v>
      </c>
      <c r="J67" s="55">
        <f t="shared" ref="J67:J130" si="5">I67-H67</f>
        <v>189</v>
      </c>
      <c r="K67" s="55">
        <v>164559</v>
      </c>
      <c r="L67" s="55">
        <f t="shared" ref="L67:L130" si="6">K67-I67</f>
        <v>100</v>
      </c>
      <c r="M67" s="55">
        <f>VLOOKUP(G67,'[1]01-09 al 30-09'!$G:$AI,29,FALSE)</f>
        <v>164643</v>
      </c>
      <c r="N67" s="55">
        <f t="shared" ref="N67:N130" si="7">M67-K67</f>
        <v>84</v>
      </c>
      <c r="O67" s="55">
        <f>VLOOKUP(G67,'[1]01-09 al 30-09'!$G:$AS,39,FALSE)</f>
        <v>164886</v>
      </c>
      <c r="P67" s="55">
        <f t="shared" ref="P67:P130" si="8">O67-M67</f>
        <v>243</v>
      </c>
      <c r="Q67" s="55"/>
      <c r="R67" s="55"/>
      <c r="S67" s="90">
        <f t="shared" ref="S67:S130" si="9">R67+P67+N67+L67+J67</f>
        <v>616</v>
      </c>
      <c r="T67" s="89">
        <v>46146</v>
      </c>
      <c r="U67" s="14"/>
      <c r="V67" s="105" t="s">
        <v>2375</v>
      </c>
      <c r="W67" s="105" t="str">
        <f>VLOOKUP(C67,'Status oficina'!$A$2:$C$208,3,FALSE)</f>
        <v>Activa</v>
      </c>
    </row>
    <row r="68" spans="1:23" ht="13.5" customHeight="1" x14ac:dyDescent="0.25">
      <c r="A68" s="14" t="s">
        <v>2443</v>
      </c>
      <c r="B68" s="14" t="s">
        <v>830</v>
      </c>
      <c r="C68" s="120">
        <v>9228</v>
      </c>
      <c r="D68" s="13" t="s">
        <v>2190</v>
      </c>
      <c r="E68" s="14" t="s">
        <v>413</v>
      </c>
      <c r="F68" s="14" t="s">
        <v>1318</v>
      </c>
      <c r="G68" s="14" t="s">
        <v>283</v>
      </c>
      <c r="H68" s="55">
        <v>201451</v>
      </c>
      <c r="I68" s="55">
        <v>201730</v>
      </c>
      <c r="J68" s="55">
        <f t="shared" si="5"/>
        <v>279</v>
      </c>
      <c r="K68" s="55">
        <v>201925</v>
      </c>
      <c r="L68" s="55">
        <f t="shared" si="6"/>
        <v>195</v>
      </c>
      <c r="M68" s="55">
        <f>VLOOKUP(G68,'[1]01-09 al 30-09'!$G:$AI,29,FALSE)</f>
        <v>202112</v>
      </c>
      <c r="N68" s="55">
        <f t="shared" si="7"/>
        <v>187</v>
      </c>
      <c r="O68" s="55">
        <f>VLOOKUP(G68,'[1]01-09 al 30-09'!$G:$AS,39,FALSE)</f>
        <v>202496</v>
      </c>
      <c r="P68" s="55">
        <f t="shared" si="8"/>
        <v>384</v>
      </c>
      <c r="Q68" s="55"/>
      <c r="R68" s="55"/>
      <c r="S68" s="90">
        <f t="shared" si="9"/>
        <v>1045</v>
      </c>
      <c r="T68" s="89">
        <v>46146</v>
      </c>
      <c r="U68" s="57"/>
      <c r="V68" s="105" t="s">
        <v>2375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2442</v>
      </c>
      <c r="B69" s="14" t="s">
        <v>657</v>
      </c>
      <c r="C69" s="19">
        <v>9914</v>
      </c>
      <c r="D69" s="14" t="s">
        <v>658</v>
      </c>
      <c r="E69" s="14" t="s">
        <v>413</v>
      </c>
      <c r="F69" s="14" t="s">
        <v>1260</v>
      </c>
      <c r="G69" s="14" t="s">
        <v>253</v>
      </c>
      <c r="H69" s="55">
        <v>108438</v>
      </c>
      <c r="I69" s="55">
        <v>108793</v>
      </c>
      <c r="J69" s="55">
        <f t="shared" si="5"/>
        <v>355</v>
      </c>
      <c r="K69" s="55">
        <v>109202</v>
      </c>
      <c r="L69" s="55">
        <f t="shared" si="6"/>
        <v>409</v>
      </c>
      <c r="M69" s="55">
        <f>VLOOKUP(G69,'[1]01-09 al 30-09'!$G:$AI,29,FALSE)</f>
        <v>109488</v>
      </c>
      <c r="N69" s="55">
        <f t="shared" si="7"/>
        <v>286</v>
      </c>
      <c r="O69" s="55">
        <f>VLOOKUP(G69,'[1]01-09 al 30-09'!$G:$AS,39,FALSE)</f>
        <v>109906</v>
      </c>
      <c r="P69" s="55">
        <f t="shared" si="8"/>
        <v>418</v>
      </c>
      <c r="Q69" s="55"/>
      <c r="R69" s="55"/>
      <c r="S69" s="90">
        <f t="shared" si="9"/>
        <v>1468</v>
      </c>
      <c r="T69" s="89">
        <v>46146</v>
      </c>
      <c r="U69" s="14"/>
      <c r="V69" s="105" t="s">
        <v>2375</v>
      </c>
      <c r="W69" s="105" t="str">
        <f>VLOOKUP(C69,'Status oficina'!$A$2:$C$208,3,FALSE)</f>
        <v>Activa</v>
      </c>
    </row>
    <row r="70" spans="1:23" ht="13.5" customHeight="1" x14ac:dyDescent="0.25">
      <c r="A70" s="53" t="s">
        <v>2442</v>
      </c>
      <c r="B70" s="14" t="s">
        <v>714</v>
      </c>
      <c r="C70" s="19">
        <v>9226</v>
      </c>
      <c r="D70" s="14" t="s">
        <v>716</v>
      </c>
      <c r="E70" s="14" t="s">
        <v>413</v>
      </c>
      <c r="F70" s="14" t="s">
        <v>1242</v>
      </c>
      <c r="G70" s="14" t="s">
        <v>290</v>
      </c>
      <c r="H70" s="55">
        <v>127408</v>
      </c>
      <c r="I70" s="55">
        <v>127587</v>
      </c>
      <c r="J70" s="55">
        <f t="shared" si="5"/>
        <v>179</v>
      </c>
      <c r="K70" s="55">
        <v>127727</v>
      </c>
      <c r="L70" s="55">
        <f t="shared" si="6"/>
        <v>140</v>
      </c>
      <c r="M70" s="55">
        <f>VLOOKUP(G70,'[1]01-09 al 30-09'!$G:$AI,29,FALSE)</f>
        <v>127831</v>
      </c>
      <c r="N70" s="55">
        <f t="shared" si="7"/>
        <v>104</v>
      </c>
      <c r="O70" s="55">
        <f>VLOOKUP(G70,'[1]01-09 al 30-09'!$G:$AS,39,FALSE)</f>
        <v>127987</v>
      </c>
      <c r="P70" s="55">
        <f t="shared" si="8"/>
        <v>156</v>
      </c>
      <c r="Q70" s="55"/>
      <c r="R70" s="55"/>
      <c r="S70" s="90">
        <f t="shared" si="9"/>
        <v>579</v>
      </c>
      <c r="T70" s="89">
        <v>46146</v>
      </c>
      <c r="U70" s="14"/>
      <c r="V70" s="105" t="s">
        <v>2375</v>
      </c>
      <c r="W70" s="105" t="str">
        <f>VLOOKUP(C70,'Status oficina'!$A$2:$C$208,3,FALSE)</f>
        <v>Activa</v>
      </c>
    </row>
    <row r="71" spans="1:23" ht="13.5" customHeight="1" x14ac:dyDescent="0.25">
      <c r="A71" s="14" t="s">
        <v>868</v>
      </c>
      <c r="B71" s="14" t="s">
        <v>876</v>
      </c>
      <c r="C71" s="19">
        <v>9818</v>
      </c>
      <c r="D71" s="14" t="s">
        <v>2412</v>
      </c>
      <c r="E71" s="14" t="s">
        <v>413</v>
      </c>
      <c r="F71" s="14" t="s">
        <v>1339</v>
      </c>
      <c r="G71" s="14" t="s">
        <v>2413</v>
      </c>
      <c r="H71" s="55">
        <v>164491</v>
      </c>
      <c r="I71" s="55">
        <v>164601</v>
      </c>
      <c r="J71" s="55">
        <f t="shared" si="5"/>
        <v>110</v>
      </c>
      <c r="K71" s="55">
        <v>164716</v>
      </c>
      <c r="L71" s="55">
        <f t="shared" si="6"/>
        <v>115</v>
      </c>
      <c r="M71" s="55">
        <f>VLOOKUP(G71,'[1]01-09 al 30-09'!$G:$AI,29,FALSE)</f>
        <v>164809</v>
      </c>
      <c r="N71" s="55">
        <f t="shared" si="7"/>
        <v>93</v>
      </c>
      <c r="O71" s="55">
        <f>VLOOKUP(G71,'[1]01-09 al 30-09'!$G:$AS,39,FALSE)</f>
        <v>164941</v>
      </c>
      <c r="P71" s="55">
        <f t="shared" si="8"/>
        <v>132</v>
      </c>
      <c r="Q71" s="55"/>
      <c r="R71" s="55"/>
      <c r="S71" s="90">
        <f t="shared" si="9"/>
        <v>450</v>
      </c>
      <c r="T71" s="89">
        <v>46146</v>
      </c>
      <c r="U71" s="14"/>
      <c r="V71" s="105" t="s">
        <v>2375</v>
      </c>
      <c r="W71" s="105" t="s">
        <v>2228</v>
      </c>
    </row>
    <row r="72" spans="1:23" ht="13.5" customHeight="1" x14ac:dyDescent="0.25">
      <c r="A72" s="14" t="s">
        <v>2443</v>
      </c>
      <c r="B72" s="15" t="s">
        <v>2066</v>
      </c>
      <c r="C72" s="19">
        <v>9221</v>
      </c>
      <c r="D72" s="14" t="s">
        <v>771</v>
      </c>
      <c r="E72" s="15" t="s">
        <v>413</v>
      </c>
      <c r="F72" s="14" t="s">
        <v>1276</v>
      </c>
      <c r="G72" s="1" t="s">
        <v>2187</v>
      </c>
      <c r="H72" s="55">
        <v>88547</v>
      </c>
      <c r="I72" s="55">
        <v>88547</v>
      </c>
      <c r="J72" s="55">
        <f t="shared" si="5"/>
        <v>0</v>
      </c>
      <c r="K72" s="55">
        <v>88547</v>
      </c>
      <c r="L72" s="55">
        <f t="shared" si="6"/>
        <v>0</v>
      </c>
      <c r="M72" s="55">
        <v>88547</v>
      </c>
      <c r="N72" s="55">
        <f t="shared" si="7"/>
        <v>0</v>
      </c>
      <c r="O72" s="55">
        <v>88547</v>
      </c>
      <c r="P72" s="55">
        <f t="shared" si="8"/>
        <v>0</v>
      </c>
      <c r="Q72" s="55"/>
      <c r="R72" s="55"/>
      <c r="S72" s="90">
        <f t="shared" si="9"/>
        <v>0</v>
      </c>
      <c r="T72" s="89">
        <v>46146</v>
      </c>
      <c r="U72" s="14" t="s">
        <v>2188</v>
      </c>
      <c r="V72" s="105" t="s">
        <v>2375</v>
      </c>
      <c r="W72" s="105" t="str">
        <f>VLOOKUP(C72,'Status oficina'!$A$2:$C$208,3,FALSE)</f>
        <v>Cierre definitivo</v>
      </c>
    </row>
    <row r="73" spans="1:23" ht="13.5" customHeight="1" x14ac:dyDescent="0.25">
      <c r="A73" s="14" t="s">
        <v>2082</v>
      </c>
      <c r="B73" s="14" t="s">
        <v>547</v>
      </c>
      <c r="C73" s="120">
        <v>9311</v>
      </c>
      <c r="D73" s="54" t="s">
        <v>548</v>
      </c>
      <c r="E73" s="54" t="s">
        <v>413</v>
      </c>
      <c r="F73" s="54" t="s">
        <v>549</v>
      </c>
      <c r="G73" s="54" t="s">
        <v>340</v>
      </c>
      <c r="H73" s="55">
        <v>269503</v>
      </c>
      <c r="I73" s="55">
        <v>270007</v>
      </c>
      <c r="J73" s="55">
        <f t="shared" si="5"/>
        <v>504</v>
      </c>
      <c r="K73" s="55">
        <v>270547</v>
      </c>
      <c r="L73" s="55">
        <f t="shared" si="6"/>
        <v>540</v>
      </c>
      <c r="M73" s="55">
        <f>VLOOKUP(G73,'[1]01-09 al 30-09'!$G:$AI,29,FALSE)</f>
        <v>271020</v>
      </c>
      <c r="N73" s="55">
        <f t="shared" si="7"/>
        <v>473</v>
      </c>
      <c r="O73" s="55">
        <f>VLOOKUP(G73,'[1]01-09 al 30-09'!$G:$AS,39,FALSE)</f>
        <v>271436</v>
      </c>
      <c r="P73" s="55">
        <f t="shared" si="8"/>
        <v>416</v>
      </c>
      <c r="Q73" s="55"/>
      <c r="R73" s="55"/>
      <c r="S73" s="90">
        <f t="shared" si="9"/>
        <v>1933</v>
      </c>
      <c r="T73" s="89">
        <v>46146</v>
      </c>
      <c r="U73" s="14"/>
      <c r="V73" s="105" t="s">
        <v>2375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2443</v>
      </c>
      <c r="B74" s="14" t="s">
        <v>861</v>
      </c>
      <c r="C74" s="120">
        <v>9218</v>
      </c>
      <c r="D74" s="14" t="s">
        <v>862</v>
      </c>
      <c r="E74" s="14" t="s">
        <v>413</v>
      </c>
      <c r="F74" s="14" t="s">
        <v>1334</v>
      </c>
      <c r="G74" s="14" t="s">
        <v>191</v>
      </c>
      <c r="H74" s="55">
        <v>213278</v>
      </c>
      <c r="I74" s="55">
        <v>213597</v>
      </c>
      <c r="J74" s="55">
        <f t="shared" si="5"/>
        <v>319</v>
      </c>
      <c r="K74" s="55">
        <v>213924</v>
      </c>
      <c r="L74" s="55">
        <f t="shared" si="6"/>
        <v>327</v>
      </c>
      <c r="M74" s="55">
        <f>VLOOKUP(G74,'[1]01-09 al 30-09'!$G:$AI,29,FALSE)</f>
        <v>214323</v>
      </c>
      <c r="N74" s="55">
        <f t="shared" si="7"/>
        <v>399</v>
      </c>
      <c r="O74" s="55">
        <f>VLOOKUP(G74,'[1]01-09 al 30-09'!$G:$AS,39,FALSE)</f>
        <v>214772</v>
      </c>
      <c r="P74" s="55">
        <f t="shared" si="8"/>
        <v>449</v>
      </c>
      <c r="Q74" s="55"/>
      <c r="R74" s="55"/>
      <c r="S74" s="90">
        <f t="shared" si="9"/>
        <v>1494</v>
      </c>
      <c r="T74" s="89">
        <v>46146</v>
      </c>
      <c r="U74" s="14"/>
      <c r="V74" s="105" t="s">
        <v>2375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868</v>
      </c>
      <c r="B75" s="14" t="s">
        <v>931</v>
      </c>
      <c r="C75" s="120">
        <v>9827</v>
      </c>
      <c r="D75" s="14" t="s">
        <v>2435</v>
      </c>
      <c r="E75" s="14" t="s">
        <v>413</v>
      </c>
      <c r="F75" s="14" t="s">
        <v>1385</v>
      </c>
      <c r="G75" s="14" t="s">
        <v>28</v>
      </c>
      <c r="H75" s="55">
        <v>207152</v>
      </c>
      <c r="I75" s="55">
        <v>207229</v>
      </c>
      <c r="J75" s="55">
        <f t="shared" si="5"/>
        <v>77</v>
      </c>
      <c r="K75" s="55">
        <v>207250</v>
      </c>
      <c r="L75" s="55">
        <f t="shared" si="6"/>
        <v>21</v>
      </c>
      <c r="M75" s="55">
        <f>VLOOKUP(G75,'[1]01-09 al 30-09'!$G:$AI,29,FALSE)</f>
        <v>207259</v>
      </c>
      <c r="N75" s="55">
        <f t="shared" si="7"/>
        <v>9</v>
      </c>
      <c r="O75" s="55">
        <f>VLOOKUP(G75,'[1]01-09 al 30-09'!$G:$AS,39,FALSE)</f>
        <v>207303</v>
      </c>
      <c r="P75" s="55">
        <f t="shared" si="8"/>
        <v>44</v>
      </c>
      <c r="Q75" s="55"/>
      <c r="R75" s="55"/>
      <c r="S75" s="90">
        <f t="shared" si="9"/>
        <v>151</v>
      </c>
      <c r="T75" s="89">
        <v>46146</v>
      </c>
      <c r="U75" s="14"/>
      <c r="V75" s="105" t="s">
        <v>2375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2082</v>
      </c>
      <c r="B76" s="14" t="s">
        <v>538</v>
      </c>
      <c r="C76" s="120">
        <v>9397</v>
      </c>
      <c r="D76" s="54" t="s">
        <v>2495</v>
      </c>
      <c r="E76" s="54" t="s">
        <v>413</v>
      </c>
      <c r="F76" s="54" t="s">
        <v>1146</v>
      </c>
      <c r="G76" s="54" t="s">
        <v>266</v>
      </c>
      <c r="H76" s="55">
        <v>376025</v>
      </c>
      <c r="I76" s="55">
        <v>376052</v>
      </c>
      <c r="J76" s="55">
        <f t="shared" si="5"/>
        <v>27</v>
      </c>
      <c r="K76" s="55">
        <v>376086</v>
      </c>
      <c r="L76" s="55">
        <f t="shared" si="6"/>
        <v>34</v>
      </c>
      <c r="M76" s="55">
        <f>VLOOKUP(G76,'[1]01-09 al 30-09'!$G:$AI,29,FALSE)</f>
        <v>376112</v>
      </c>
      <c r="N76" s="55">
        <f t="shared" si="7"/>
        <v>26</v>
      </c>
      <c r="O76" s="55">
        <f>VLOOKUP(G76,'[1]01-09 al 30-09'!$G:$AS,39,FALSE)</f>
        <v>376149</v>
      </c>
      <c r="P76" s="55">
        <f t="shared" si="8"/>
        <v>37</v>
      </c>
      <c r="Q76" s="55"/>
      <c r="R76" s="55"/>
      <c r="S76" s="90">
        <f t="shared" si="9"/>
        <v>124</v>
      </c>
      <c r="T76" s="89">
        <v>46146</v>
      </c>
      <c r="U76" s="14"/>
      <c r="V76" s="105" t="s">
        <v>2375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2443</v>
      </c>
      <c r="B77" s="14" t="s">
        <v>842</v>
      </c>
      <c r="C77" s="120">
        <v>9238</v>
      </c>
      <c r="D77" s="14" t="s">
        <v>2218</v>
      </c>
      <c r="E77" s="14" t="s">
        <v>413</v>
      </c>
      <c r="F77" s="14" t="s">
        <v>1324</v>
      </c>
      <c r="G77" s="14" t="s">
        <v>72</v>
      </c>
      <c r="H77" s="55">
        <v>260014</v>
      </c>
      <c r="I77" s="55">
        <v>260669</v>
      </c>
      <c r="J77" s="55">
        <f t="shared" si="5"/>
        <v>655</v>
      </c>
      <c r="K77" s="55">
        <v>261389</v>
      </c>
      <c r="L77" s="55">
        <f t="shared" si="6"/>
        <v>720</v>
      </c>
      <c r="M77" s="55">
        <f>VLOOKUP(G77,'[1]01-09 al 30-09'!$G:$AI,29,FALSE)</f>
        <v>262277</v>
      </c>
      <c r="N77" s="55">
        <f t="shared" si="7"/>
        <v>888</v>
      </c>
      <c r="O77" s="55">
        <f>VLOOKUP(G77,'[1]01-09 al 30-09'!$G:$AS,39,FALSE)</f>
        <v>262787</v>
      </c>
      <c r="P77" s="55">
        <f t="shared" si="8"/>
        <v>510</v>
      </c>
      <c r="Q77" s="55"/>
      <c r="R77" s="55"/>
      <c r="S77" s="90">
        <f t="shared" si="9"/>
        <v>2773</v>
      </c>
      <c r="T77" s="89">
        <v>46146</v>
      </c>
      <c r="U77" s="14"/>
      <c r="V77" s="105" t="s">
        <v>2375</v>
      </c>
      <c r="W77" s="105" t="str">
        <f>VLOOKUP(C77,'Status oficina'!$A$2:$C$208,3,FALSE)</f>
        <v>Activa</v>
      </c>
    </row>
    <row r="78" spans="1:23" ht="13.5" customHeight="1" x14ac:dyDescent="0.25">
      <c r="A78" s="14" t="s">
        <v>2443</v>
      </c>
      <c r="B78" s="14" t="s">
        <v>772</v>
      </c>
      <c r="C78" s="19">
        <v>9295</v>
      </c>
      <c r="D78" s="14" t="s">
        <v>773</v>
      </c>
      <c r="E78" s="14" t="s">
        <v>417</v>
      </c>
      <c r="F78" s="14" t="s">
        <v>1277</v>
      </c>
      <c r="G78" s="14" t="s">
        <v>232</v>
      </c>
      <c r="H78" s="55">
        <v>360557</v>
      </c>
      <c r="I78" s="55">
        <v>360557</v>
      </c>
      <c r="J78" s="55">
        <f t="shared" si="5"/>
        <v>0</v>
      </c>
      <c r="K78" s="55">
        <v>360557</v>
      </c>
      <c r="L78" s="55">
        <f t="shared" si="6"/>
        <v>0</v>
      </c>
      <c r="M78" s="55">
        <f>VLOOKUP(G78,'[1]01-09 al 30-09'!$G:$AI,29,FALSE)</f>
        <v>360557</v>
      </c>
      <c r="N78" s="55">
        <f t="shared" si="7"/>
        <v>0</v>
      </c>
      <c r="O78" s="55">
        <f>VLOOKUP(G78,'[1]01-09 al 30-09'!$G:$AS,39,FALSE)</f>
        <v>360557</v>
      </c>
      <c r="P78" s="55">
        <f t="shared" si="8"/>
        <v>0</v>
      </c>
      <c r="Q78" s="55"/>
      <c r="R78" s="55"/>
      <c r="S78" s="90">
        <f t="shared" si="9"/>
        <v>0</v>
      </c>
      <c r="T78" s="89">
        <v>46146</v>
      </c>
      <c r="U78" s="14" t="s">
        <v>2151</v>
      </c>
      <c r="V78" s="105" t="s">
        <v>2238</v>
      </c>
      <c r="W78" s="105" t="str">
        <f>VLOOKUP(C78,'Status oficina'!$A$2:$C$208,3,FALSE)</f>
        <v>Cierre definitivo</v>
      </c>
    </row>
    <row r="79" spans="1:23" ht="13.5" customHeight="1" x14ac:dyDescent="0.25">
      <c r="A79" s="14" t="s">
        <v>2443</v>
      </c>
      <c r="B79" s="53" t="s">
        <v>772</v>
      </c>
      <c r="C79" s="19">
        <v>9295</v>
      </c>
      <c r="D79" s="53" t="s">
        <v>774</v>
      </c>
      <c r="E79" s="53" t="s">
        <v>413</v>
      </c>
      <c r="F79" s="53" t="s">
        <v>1278</v>
      </c>
      <c r="G79" s="53" t="s">
        <v>322</v>
      </c>
      <c r="H79" s="55">
        <v>79875</v>
      </c>
      <c r="I79" s="55">
        <v>79875</v>
      </c>
      <c r="J79" s="55">
        <f t="shared" si="5"/>
        <v>0</v>
      </c>
      <c r="K79" s="55">
        <v>79875</v>
      </c>
      <c r="L79" s="55">
        <f t="shared" si="6"/>
        <v>0</v>
      </c>
      <c r="M79" s="55">
        <f>VLOOKUP(G79,'[1]01-09 al 30-09'!$G:$AI,29,FALSE)</f>
        <v>79875</v>
      </c>
      <c r="N79" s="55">
        <f t="shared" si="7"/>
        <v>0</v>
      </c>
      <c r="O79" s="55">
        <f>VLOOKUP(G79,'[1]01-09 al 30-09'!$G:$AS,39,FALSE)</f>
        <v>79875</v>
      </c>
      <c r="P79" s="55">
        <f t="shared" si="8"/>
        <v>0</v>
      </c>
      <c r="Q79" s="55"/>
      <c r="R79" s="55"/>
      <c r="S79" s="90">
        <f t="shared" si="9"/>
        <v>0</v>
      </c>
      <c r="T79" s="89">
        <v>46146</v>
      </c>
      <c r="U79" s="53" t="s">
        <v>2150</v>
      </c>
      <c r="V79" s="105" t="s">
        <v>2238</v>
      </c>
      <c r="W79" s="105" t="str">
        <f>VLOOKUP(C79,'Status oficina'!$A$2:$C$208,3,FALSE)</f>
        <v>Cierre definitivo</v>
      </c>
    </row>
    <row r="80" spans="1:23" ht="13.5" customHeight="1" x14ac:dyDescent="0.25">
      <c r="A80" s="53" t="s">
        <v>2442</v>
      </c>
      <c r="B80" s="14" t="s">
        <v>733</v>
      </c>
      <c r="C80" s="120">
        <v>9297</v>
      </c>
      <c r="D80" s="14" t="s">
        <v>734</v>
      </c>
      <c r="E80" s="14" t="s">
        <v>417</v>
      </c>
      <c r="F80" s="14" t="s">
        <v>1254</v>
      </c>
      <c r="G80" s="14" t="s">
        <v>182</v>
      </c>
      <c r="H80" s="55">
        <v>425089</v>
      </c>
      <c r="I80" s="55">
        <v>425089</v>
      </c>
      <c r="J80" s="55">
        <f t="shared" si="5"/>
        <v>0</v>
      </c>
      <c r="K80" s="55">
        <v>425089</v>
      </c>
      <c r="L80" s="55">
        <f t="shared" si="6"/>
        <v>0</v>
      </c>
      <c r="M80" s="55">
        <f>VLOOKUP(G80,'[1]01-09 al 30-09'!$G:$AI,29,FALSE)</f>
        <v>425089</v>
      </c>
      <c r="N80" s="55">
        <f t="shared" si="7"/>
        <v>0</v>
      </c>
      <c r="O80" s="55">
        <f>VLOOKUP(G80,'[1]01-09 al 30-09'!$G:$AS,39,FALSE)</f>
        <v>425089</v>
      </c>
      <c r="P80" s="55">
        <f t="shared" si="8"/>
        <v>0</v>
      </c>
      <c r="Q80" s="55"/>
      <c r="R80" s="55"/>
      <c r="S80" s="90">
        <f t="shared" si="9"/>
        <v>0</v>
      </c>
      <c r="T80" s="89">
        <v>46146</v>
      </c>
      <c r="U80" s="14" t="s">
        <v>2209</v>
      </c>
      <c r="V80" s="105" t="s">
        <v>2231</v>
      </c>
      <c r="W80" s="105" t="str">
        <f>VLOOKUP(C80,'Status oficina'!$A$2:$C$208,3,FALSE)</f>
        <v>Cierre temporal</v>
      </c>
    </row>
    <row r="81" spans="1:23" ht="13.5" customHeight="1" x14ac:dyDescent="0.25">
      <c r="A81" s="14" t="s">
        <v>2082</v>
      </c>
      <c r="B81" s="14" t="s">
        <v>635</v>
      </c>
      <c r="C81" s="120">
        <v>9858</v>
      </c>
      <c r="D81" s="14" t="s">
        <v>637</v>
      </c>
      <c r="E81" s="14" t="s">
        <v>413</v>
      </c>
      <c r="F81" s="14" t="s">
        <v>1197</v>
      </c>
      <c r="G81" s="14" t="s">
        <v>297</v>
      </c>
      <c r="H81" s="55">
        <v>241571</v>
      </c>
      <c r="I81" s="55">
        <v>242101</v>
      </c>
      <c r="J81" s="55">
        <f t="shared" si="5"/>
        <v>530</v>
      </c>
      <c r="K81" s="55">
        <v>242544</v>
      </c>
      <c r="L81" s="55">
        <f t="shared" si="6"/>
        <v>443</v>
      </c>
      <c r="M81" s="55">
        <f>VLOOKUP(G81,'[1]01-09 al 30-09'!$G:$AI,29,FALSE)</f>
        <v>242958</v>
      </c>
      <c r="N81" s="55">
        <f t="shared" si="7"/>
        <v>414</v>
      </c>
      <c r="O81" s="55">
        <f>VLOOKUP(G81,'[1]01-09 al 30-09'!$G:$AS,39,FALSE)</f>
        <v>243538</v>
      </c>
      <c r="P81" s="55">
        <f t="shared" si="8"/>
        <v>580</v>
      </c>
      <c r="Q81" s="55"/>
      <c r="R81" s="55"/>
      <c r="S81" s="90">
        <f t="shared" si="9"/>
        <v>1967</v>
      </c>
      <c r="T81" s="89">
        <v>46146</v>
      </c>
      <c r="U81" s="14"/>
      <c r="V81" s="105" t="s">
        <v>2375</v>
      </c>
      <c r="W81" s="105" t="str">
        <f>VLOOKUP(C81,'Status oficina'!$A$2:$C$208,3,FALSE)</f>
        <v>Activa</v>
      </c>
    </row>
    <row r="82" spans="1:23" ht="13.5" customHeight="1" x14ac:dyDescent="0.25">
      <c r="A82" s="54" t="s">
        <v>2082</v>
      </c>
      <c r="B82" s="14" t="s">
        <v>543</v>
      </c>
      <c r="C82" s="120">
        <v>9312</v>
      </c>
      <c r="D82" s="54" t="s">
        <v>545</v>
      </c>
      <c r="E82" s="54" t="s">
        <v>413</v>
      </c>
      <c r="F82" s="54" t="s">
        <v>1151</v>
      </c>
      <c r="G82" s="54" t="s">
        <v>305</v>
      </c>
      <c r="H82" s="55">
        <v>379089</v>
      </c>
      <c r="I82" s="55">
        <v>379147</v>
      </c>
      <c r="J82" s="55">
        <f t="shared" si="5"/>
        <v>58</v>
      </c>
      <c r="K82" s="55">
        <v>379234</v>
      </c>
      <c r="L82" s="55">
        <f t="shared" si="6"/>
        <v>87</v>
      </c>
      <c r="M82" s="55">
        <f>VLOOKUP(G82,'[1]01-09 al 30-09'!$G:$AI,29,FALSE)</f>
        <v>379348</v>
      </c>
      <c r="N82" s="55">
        <f t="shared" si="7"/>
        <v>114</v>
      </c>
      <c r="O82" s="55">
        <f>VLOOKUP(G82,'[1]01-09 al 30-09'!$G:$AS,39,FALSE)</f>
        <v>379565</v>
      </c>
      <c r="P82" s="55">
        <f t="shared" si="8"/>
        <v>217</v>
      </c>
      <c r="Q82" s="55"/>
      <c r="R82" s="55"/>
      <c r="S82" s="90">
        <f t="shared" si="9"/>
        <v>476</v>
      </c>
      <c r="T82" s="89">
        <v>46146</v>
      </c>
      <c r="U82" s="14"/>
      <c r="V82" s="105" t="s">
        <v>2375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2082</v>
      </c>
      <c r="B83" s="14" t="s">
        <v>560</v>
      </c>
      <c r="C83" s="22">
        <v>9360</v>
      </c>
      <c r="D83" s="14" t="s">
        <v>575</v>
      </c>
      <c r="E83" s="15" t="s">
        <v>413</v>
      </c>
      <c r="F83" s="14" t="s">
        <v>1170</v>
      </c>
      <c r="G83" s="15" t="s">
        <v>362</v>
      </c>
      <c r="H83" s="55">
        <v>171616</v>
      </c>
      <c r="I83" s="55">
        <v>171835</v>
      </c>
      <c r="J83" s="55">
        <f t="shared" si="5"/>
        <v>219</v>
      </c>
      <c r="K83" s="55">
        <v>172117</v>
      </c>
      <c r="L83" s="55">
        <f t="shared" si="6"/>
        <v>282</v>
      </c>
      <c r="M83" s="55">
        <f>VLOOKUP(G83,'[1]01-09 al 30-09'!$G:$AI,29,FALSE)</f>
        <v>172384</v>
      </c>
      <c r="N83" s="55">
        <f t="shared" si="7"/>
        <v>267</v>
      </c>
      <c r="O83" s="55">
        <f>VLOOKUP(G83,'[1]01-09 al 30-09'!$G:$AS,39,FALSE)</f>
        <v>172678</v>
      </c>
      <c r="P83" s="55">
        <f t="shared" si="8"/>
        <v>294</v>
      </c>
      <c r="Q83" s="55"/>
      <c r="R83" s="55"/>
      <c r="S83" s="90">
        <f t="shared" si="9"/>
        <v>1062</v>
      </c>
      <c r="T83" s="89">
        <v>46146</v>
      </c>
      <c r="U83" s="14"/>
      <c r="V83" s="105" t="s">
        <v>2375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2082</v>
      </c>
      <c r="B84" s="14" t="s">
        <v>583</v>
      </c>
      <c r="C84" s="19">
        <v>9834</v>
      </c>
      <c r="D84" s="14" t="s">
        <v>585</v>
      </c>
      <c r="E84" s="14" t="s">
        <v>413</v>
      </c>
      <c r="F84" s="14" t="s">
        <v>1174</v>
      </c>
      <c r="G84" s="14" t="s">
        <v>338</v>
      </c>
      <c r="H84" s="55">
        <v>407701</v>
      </c>
      <c r="I84" s="55">
        <v>407768</v>
      </c>
      <c r="J84" s="55">
        <f t="shared" si="5"/>
        <v>67</v>
      </c>
      <c r="K84" s="55">
        <v>407840</v>
      </c>
      <c r="L84" s="55">
        <f t="shared" si="6"/>
        <v>72</v>
      </c>
      <c r="M84" s="55">
        <f>VLOOKUP(G84,'[1]01-09 al 30-09'!$G:$AI,29,FALSE)</f>
        <v>407858</v>
      </c>
      <c r="N84" s="55">
        <f t="shared" si="7"/>
        <v>18</v>
      </c>
      <c r="O84" s="55">
        <f>VLOOKUP(G84,'[1]01-09 al 30-09'!$G:$AS,39,FALSE)</f>
        <v>407887</v>
      </c>
      <c r="P84" s="55">
        <f t="shared" si="8"/>
        <v>29</v>
      </c>
      <c r="Q84" s="55"/>
      <c r="R84" s="55"/>
      <c r="S84" s="90">
        <f t="shared" si="9"/>
        <v>186</v>
      </c>
      <c r="T84" s="89">
        <v>46146</v>
      </c>
      <c r="U84" s="14" t="s">
        <v>2392</v>
      </c>
      <c r="V84" s="105" t="s">
        <v>2375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2082</v>
      </c>
      <c r="B85" s="14" t="s">
        <v>540</v>
      </c>
      <c r="C85" s="120">
        <v>9330</v>
      </c>
      <c r="D85" s="54" t="s">
        <v>542</v>
      </c>
      <c r="E85" s="54" t="s">
        <v>413</v>
      </c>
      <c r="F85" s="54" t="s">
        <v>1148</v>
      </c>
      <c r="G85" s="54" t="s">
        <v>259</v>
      </c>
      <c r="H85" s="55">
        <v>292235</v>
      </c>
      <c r="I85" s="55">
        <v>292235</v>
      </c>
      <c r="J85" s="55">
        <f t="shared" si="5"/>
        <v>0</v>
      </c>
      <c r="K85" s="55">
        <v>292235</v>
      </c>
      <c r="L85" s="55">
        <f t="shared" si="6"/>
        <v>0</v>
      </c>
      <c r="M85" s="55">
        <f>VLOOKUP(G85,'[1]01-09 al 30-09'!$G:$AI,29,FALSE)</f>
        <v>292235</v>
      </c>
      <c r="N85" s="55">
        <f t="shared" si="7"/>
        <v>0</v>
      </c>
      <c r="O85" s="55">
        <f>VLOOKUP(G85,'[1]01-09 al 30-09'!$G:$AS,39,FALSE)</f>
        <v>292235</v>
      </c>
      <c r="P85" s="55">
        <f t="shared" si="8"/>
        <v>0</v>
      </c>
      <c r="Q85" s="55"/>
      <c r="R85" s="55"/>
      <c r="S85" s="90">
        <f t="shared" si="9"/>
        <v>0</v>
      </c>
      <c r="T85" s="89">
        <v>46146</v>
      </c>
      <c r="U85" s="14" t="s">
        <v>2456</v>
      </c>
      <c r="V85" s="105" t="s">
        <v>2375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2082</v>
      </c>
      <c r="B86" s="14" t="s">
        <v>543</v>
      </c>
      <c r="C86" s="120">
        <v>9312</v>
      </c>
      <c r="D86" s="14" t="s">
        <v>546</v>
      </c>
      <c r="E86" s="14" t="s">
        <v>413</v>
      </c>
      <c r="F86" s="14" t="s">
        <v>1152</v>
      </c>
      <c r="G86" s="14" t="s">
        <v>315</v>
      </c>
      <c r="H86" s="55">
        <v>92791</v>
      </c>
      <c r="I86" s="55">
        <v>92791</v>
      </c>
      <c r="J86" s="55">
        <f t="shared" si="5"/>
        <v>0</v>
      </c>
      <c r="K86" s="55">
        <v>92791</v>
      </c>
      <c r="L86" s="55">
        <f t="shared" si="6"/>
        <v>0</v>
      </c>
      <c r="M86" s="55">
        <f>VLOOKUP(G86,'[1]01-09 al 30-09'!$G:$AI,29,FALSE)</f>
        <v>92791</v>
      </c>
      <c r="N86" s="55">
        <f t="shared" si="7"/>
        <v>0</v>
      </c>
      <c r="O86" s="55">
        <f>VLOOKUP(G86,'[1]01-09 al 30-09'!$G:$AS,39,FALSE)</f>
        <v>92791</v>
      </c>
      <c r="P86" s="55">
        <f t="shared" si="8"/>
        <v>0</v>
      </c>
      <c r="Q86" s="55"/>
      <c r="R86" s="55"/>
      <c r="S86" s="90">
        <f t="shared" si="9"/>
        <v>0</v>
      </c>
      <c r="T86" s="89">
        <v>46146</v>
      </c>
      <c r="U86" s="14" t="s">
        <v>2132</v>
      </c>
      <c r="V86" s="105" t="s">
        <v>2374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868</v>
      </c>
      <c r="B87" s="14" t="s">
        <v>911</v>
      </c>
      <c r="C87" s="120">
        <v>9813</v>
      </c>
      <c r="D87" s="14" t="s">
        <v>2110</v>
      </c>
      <c r="E87" s="14" t="s">
        <v>413</v>
      </c>
      <c r="F87" s="14" t="s">
        <v>1345</v>
      </c>
      <c r="G87" s="14"/>
      <c r="H87" s="55">
        <v>129189</v>
      </c>
      <c r="I87" s="55">
        <v>129189</v>
      </c>
      <c r="J87" s="55">
        <f t="shared" si="5"/>
        <v>0</v>
      </c>
      <c r="K87" s="55">
        <v>129189</v>
      </c>
      <c r="L87" s="55">
        <f t="shared" si="6"/>
        <v>0</v>
      </c>
      <c r="M87" s="55">
        <v>129189</v>
      </c>
      <c r="N87" s="55">
        <f t="shared" si="7"/>
        <v>0</v>
      </c>
      <c r="O87" s="55">
        <v>129189</v>
      </c>
      <c r="P87" s="55">
        <f t="shared" si="8"/>
        <v>0</v>
      </c>
      <c r="Q87" s="55"/>
      <c r="R87" s="55"/>
      <c r="S87" s="90">
        <f t="shared" si="9"/>
        <v>0</v>
      </c>
      <c r="T87" s="89">
        <v>46146</v>
      </c>
      <c r="U87" s="14" t="s">
        <v>2409</v>
      </c>
      <c r="V87" s="105" t="s">
        <v>2374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2443</v>
      </c>
      <c r="B88" s="14" t="s">
        <v>811</v>
      </c>
      <c r="C88" s="19">
        <v>9260</v>
      </c>
      <c r="D88" s="14" t="s">
        <v>812</v>
      </c>
      <c r="E88" s="14" t="s">
        <v>413</v>
      </c>
      <c r="F88" s="14" t="s">
        <v>1304</v>
      </c>
      <c r="G88" s="14" t="s">
        <v>312</v>
      </c>
      <c r="H88" s="55">
        <v>58029</v>
      </c>
      <c r="I88" s="55">
        <v>58045</v>
      </c>
      <c r="J88" s="55">
        <f t="shared" si="5"/>
        <v>16</v>
      </c>
      <c r="K88" s="55">
        <v>58079</v>
      </c>
      <c r="L88" s="55">
        <f t="shared" si="6"/>
        <v>34</v>
      </c>
      <c r="M88" s="55">
        <f>VLOOKUP(G88,'[1]01-09 al 30-09'!$G:$AI,29,FALSE)</f>
        <v>58111</v>
      </c>
      <c r="N88" s="55">
        <f t="shared" si="7"/>
        <v>32</v>
      </c>
      <c r="O88" s="55">
        <f>VLOOKUP(G88,'[1]01-09 al 30-09'!$G:$AS,39,FALSE)</f>
        <v>58131</v>
      </c>
      <c r="P88" s="55">
        <f t="shared" si="8"/>
        <v>20</v>
      </c>
      <c r="Q88" s="55"/>
      <c r="R88" s="55"/>
      <c r="S88" s="90">
        <f t="shared" si="9"/>
        <v>102</v>
      </c>
      <c r="T88" s="89">
        <v>46146</v>
      </c>
      <c r="U88" s="14"/>
      <c r="V88" s="105" t="s">
        <v>2375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939</v>
      </c>
      <c r="B89" s="14" t="s">
        <v>960</v>
      </c>
      <c r="C89" s="19">
        <v>9555</v>
      </c>
      <c r="D89" s="14" t="s">
        <v>2465</v>
      </c>
      <c r="E89" s="14" t="s">
        <v>413</v>
      </c>
      <c r="F89" s="14" t="s">
        <v>1391</v>
      </c>
      <c r="G89" s="14" t="s">
        <v>2467</v>
      </c>
      <c r="H89" s="55">
        <v>120920</v>
      </c>
      <c r="I89" s="55">
        <v>121159</v>
      </c>
      <c r="J89" s="55">
        <f t="shared" si="5"/>
        <v>239</v>
      </c>
      <c r="K89" s="55">
        <v>121435</v>
      </c>
      <c r="L89" s="55">
        <f t="shared" si="6"/>
        <v>276</v>
      </c>
      <c r="M89" s="55">
        <f>VLOOKUP(G89,'[1]01-09 al 30-09'!$G:$AI,29,FALSE)</f>
        <v>121580</v>
      </c>
      <c r="N89" s="55">
        <f t="shared" si="7"/>
        <v>145</v>
      </c>
      <c r="O89" s="55">
        <f>VLOOKUP(G89,'[1]01-09 al 30-09'!$G:$AS,39,FALSE)</f>
        <v>121735</v>
      </c>
      <c r="P89" s="55">
        <f t="shared" si="8"/>
        <v>155</v>
      </c>
      <c r="Q89" s="55"/>
      <c r="R89" s="55"/>
      <c r="S89" s="90">
        <f t="shared" si="9"/>
        <v>815</v>
      </c>
      <c r="T89" s="89">
        <v>46146</v>
      </c>
      <c r="U89" s="14" t="s">
        <v>2466</v>
      </c>
      <c r="V89" s="108" t="s">
        <v>2375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2443</v>
      </c>
      <c r="B90" s="14" t="s">
        <v>817</v>
      </c>
      <c r="C90" s="120">
        <v>9291</v>
      </c>
      <c r="D90" s="54" t="s">
        <v>819</v>
      </c>
      <c r="E90" s="14" t="s">
        <v>413</v>
      </c>
      <c r="F90" s="14" t="s">
        <v>820</v>
      </c>
      <c r="G90" s="14" t="s">
        <v>402</v>
      </c>
      <c r="H90" s="55">
        <v>179274</v>
      </c>
      <c r="I90" s="55">
        <v>179409</v>
      </c>
      <c r="J90" s="55">
        <f t="shared" si="5"/>
        <v>135</v>
      </c>
      <c r="K90" s="55">
        <v>179618</v>
      </c>
      <c r="L90" s="55">
        <f t="shared" si="6"/>
        <v>209</v>
      </c>
      <c r="M90" s="55">
        <f>VLOOKUP(G90,'[1]01-09 al 30-09'!$G:$AI,29,FALSE)</f>
        <v>179777</v>
      </c>
      <c r="N90" s="55">
        <f t="shared" si="7"/>
        <v>159</v>
      </c>
      <c r="O90" s="55">
        <f>VLOOKUP(G90,'[1]01-09 al 30-09'!$G:$AS,39,FALSE)</f>
        <v>179954</v>
      </c>
      <c r="P90" s="55">
        <f t="shared" si="8"/>
        <v>177</v>
      </c>
      <c r="Q90" s="55"/>
      <c r="R90" s="55"/>
      <c r="S90" s="90">
        <f t="shared" si="9"/>
        <v>680</v>
      </c>
      <c r="T90" s="89">
        <v>46146</v>
      </c>
      <c r="U90" s="14"/>
      <c r="V90" s="105" t="s">
        <v>2375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2443</v>
      </c>
      <c r="B91" s="14" t="s">
        <v>793</v>
      </c>
      <c r="C91" s="19">
        <v>9294</v>
      </c>
      <c r="D91" s="14" t="s">
        <v>795</v>
      </c>
      <c r="E91" s="14" t="s">
        <v>413</v>
      </c>
      <c r="F91" s="14" t="s">
        <v>1991</v>
      </c>
      <c r="G91" s="14" t="s">
        <v>318</v>
      </c>
      <c r="H91" s="55">
        <v>156690</v>
      </c>
      <c r="I91" s="55">
        <v>156833</v>
      </c>
      <c r="J91" s="55">
        <f t="shared" si="5"/>
        <v>143</v>
      </c>
      <c r="K91" s="55">
        <v>156977</v>
      </c>
      <c r="L91" s="55">
        <f t="shared" si="6"/>
        <v>144</v>
      </c>
      <c r="M91" s="55">
        <f>VLOOKUP(G91,'[1]01-09 al 30-09'!$G:$AI,29,FALSE)</f>
        <v>157299</v>
      </c>
      <c r="N91" s="55">
        <f t="shared" si="7"/>
        <v>322</v>
      </c>
      <c r="O91" s="55">
        <f>VLOOKUP(G91,'[1]01-09 al 30-09'!$G:$AS,39,FALSE)</f>
        <v>157673</v>
      </c>
      <c r="P91" s="55">
        <f t="shared" si="8"/>
        <v>374</v>
      </c>
      <c r="Q91" s="55"/>
      <c r="R91" s="55"/>
      <c r="S91" s="90">
        <f t="shared" si="9"/>
        <v>983</v>
      </c>
      <c r="T91" s="89">
        <v>46146</v>
      </c>
      <c r="U91" s="14"/>
      <c r="V91" s="105" t="s">
        <v>2375</v>
      </c>
      <c r="W91" s="105" t="str">
        <f>VLOOKUP(C91,'Status oficina'!$A$2:$C$208,3,FALSE)</f>
        <v>Activa</v>
      </c>
    </row>
    <row r="92" spans="1:23" ht="13.5" customHeight="1" x14ac:dyDescent="0.25">
      <c r="A92" s="14" t="s">
        <v>2082</v>
      </c>
      <c r="B92" s="14" t="s">
        <v>531</v>
      </c>
      <c r="C92" s="19">
        <v>9336</v>
      </c>
      <c r="D92" s="54" t="s">
        <v>532</v>
      </c>
      <c r="E92" s="54" t="s">
        <v>413</v>
      </c>
      <c r="F92" s="54" t="s">
        <v>1143</v>
      </c>
      <c r="G92" s="54" t="s">
        <v>178</v>
      </c>
      <c r="H92" s="55">
        <v>192932</v>
      </c>
      <c r="I92" s="55">
        <v>192932</v>
      </c>
      <c r="J92" s="55">
        <f t="shared" si="5"/>
        <v>0</v>
      </c>
      <c r="K92" s="55">
        <v>192932</v>
      </c>
      <c r="L92" s="55">
        <f t="shared" si="6"/>
        <v>0</v>
      </c>
      <c r="M92" s="55">
        <f>VLOOKUP(G92,'[1]01-09 al 30-09'!$G:$AI,29,FALSE)</f>
        <v>192932</v>
      </c>
      <c r="N92" s="55">
        <f t="shared" si="7"/>
        <v>0</v>
      </c>
      <c r="O92" s="55">
        <f>VLOOKUP(G92,'[1]01-09 al 30-09'!$G:$AS,39,FALSE)</f>
        <v>192932</v>
      </c>
      <c r="P92" s="55">
        <f t="shared" si="8"/>
        <v>0</v>
      </c>
      <c r="Q92" s="55"/>
      <c r="R92" s="55"/>
      <c r="S92" s="90">
        <f t="shared" si="9"/>
        <v>0</v>
      </c>
      <c r="T92" s="89">
        <v>46146</v>
      </c>
      <c r="U92" s="14"/>
      <c r="V92" s="105" t="s">
        <v>2231</v>
      </c>
      <c r="W92" s="105" t="str">
        <f>VLOOKUP(C92,'Status oficina'!$A$2:$C$208,3,FALSE)</f>
        <v>Cierre temporal</v>
      </c>
    </row>
    <row r="93" spans="1:23" ht="13.5" customHeight="1" x14ac:dyDescent="0.25">
      <c r="A93" s="14" t="s">
        <v>2443</v>
      </c>
      <c r="B93" s="14" t="s">
        <v>824</v>
      </c>
      <c r="C93" s="120">
        <v>9290</v>
      </c>
      <c r="D93" s="14" t="s">
        <v>826</v>
      </c>
      <c r="E93" s="14" t="s">
        <v>413</v>
      </c>
      <c r="F93" s="14" t="s">
        <v>1313</v>
      </c>
      <c r="G93" s="14" t="s">
        <v>282</v>
      </c>
      <c r="H93" s="55">
        <v>51523</v>
      </c>
      <c r="I93" s="55">
        <v>51649</v>
      </c>
      <c r="J93" s="55">
        <f t="shared" si="5"/>
        <v>126</v>
      </c>
      <c r="K93" s="55">
        <v>51731</v>
      </c>
      <c r="L93" s="55">
        <f t="shared" si="6"/>
        <v>82</v>
      </c>
      <c r="M93" s="55">
        <f>VLOOKUP(G93,'[1]01-09 al 30-09'!$G:$AI,29,FALSE)</f>
        <v>51773</v>
      </c>
      <c r="N93" s="55">
        <f t="shared" si="7"/>
        <v>42</v>
      </c>
      <c r="O93" s="55">
        <f>VLOOKUP(G93,'[1]01-09 al 30-09'!$G:$AS,39,FALSE)</f>
        <v>51874</v>
      </c>
      <c r="P93" s="55">
        <f t="shared" si="8"/>
        <v>101</v>
      </c>
      <c r="Q93" s="55"/>
      <c r="R93" s="55"/>
      <c r="S93" s="90">
        <f t="shared" si="9"/>
        <v>351</v>
      </c>
      <c r="T93" s="89">
        <v>46146</v>
      </c>
      <c r="U93" s="14"/>
      <c r="V93" s="105" t="s">
        <v>2375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2443</v>
      </c>
      <c r="B94" s="15" t="s">
        <v>787</v>
      </c>
      <c r="C94" s="19">
        <v>9441</v>
      </c>
      <c r="D94" s="14" t="s">
        <v>789</v>
      </c>
      <c r="E94" s="14" t="s">
        <v>413</v>
      </c>
      <c r="F94" s="14" t="s">
        <v>1288</v>
      </c>
      <c r="G94" s="14" t="s">
        <v>308</v>
      </c>
      <c r="H94" s="55">
        <v>173123</v>
      </c>
      <c r="I94" s="55">
        <v>173417</v>
      </c>
      <c r="J94" s="55">
        <f t="shared" si="5"/>
        <v>294</v>
      </c>
      <c r="K94" s="55">
        <v>173709</v>
      </c>
      <c r="L94" s="55">
        <f t="shared" si="6"/>
        <v>292</v>
      </c>
      <c r="M94" s="55">
        <f>VLOOKUP(G94,'[1]01-09 al 30-09'!$G:$AI,29,FALSE)</f>
        <v>173994</v>
      </c>
      <c r="N94" s="55">
        <f t="shared" si="7"/>
        <v>285</v>
      </c>
      <c r="O94" s="55">
        <f>VLOOKUP(G94,'[1]01-09 al 30-09'!$G:$AS,39,FALSE)</f>
        <v>174208</v>
      </c>
      <c r="P94" s="55">
        <f t="shared" si="8"/>
        <v>214</v>
      </c>
      <c r="Q94" s="55"/>
      <c r="R94" s="55"/>
      <c r="S94" s="90">
        <f t="shared" si="9"/>
        <v>1085</v>
      </c>
      <c r="T94" s="89">
        <v>46146</v>
      </c>
      <c r="U94" s="14"/>
      <c r="V94" s="105" t="s">
        <v>2375</v>
      </c>
      <c r="W94" s="105" t="str">
        <f>VLOOKUP(C94,'Status oficina'!$A$2:$C$208,3,FALSE)</f>
        <v>Activa</v>
      </c>
    </row>
    <row r="95" spans="1:23" ht="13.5" customHeight="1" x14ac:dyDescent="0.25">
      <c r="A95" s="53" t="s">
        <v>2442</v>
      </c>
      <c r="B95" s="14" t="s">
        <v>717</v>
      </c>
      <c r="C95" s="19">
        <v>9250</v>
      </c>
      <c r="D95" s="14" t="s">
        <v>2436</v>
      </c>
      <c r="E95" s="14" t="s">
        <v>413</v>
      </c>
      <c r="F95" s="14" t="s">
        <v>1244</v>
      </c>
      <c r="G95" s="14" t="s">
        <v>326</v>
      </c>
      <c r="H95" s="55">
        <v>208233</v>
      </c>
      <c r="I95" s="55">
        <v>208360</v>
      </c>
      <c r="J95" s="55">
        <f t="shared" si="5"/>
        <v>127</v>
      </c>
      <c r="K95" s="55">
        <v>208436</v>
      </c>
      <c r="L95" s="55">
        <f t="shared" si="6"/>
        <v>76</v>
      </c>
      <c r="M95" s="55">
        <f>VLOOKUP(G95,'[1]01-09 al 30-09'!$G:$AI,29,FALSE)</f>
        <v>208594</v>
      </c>
      <c r="N95" s="55">
        <f t="shared" si="7"/>
        <v>158</v>
      </c>
      <c r="O95" s="55">
        <f>VLOOKUP(G95,'[1]01-09 al 30-09'!$G:$AS,39,FALSE)</f>
        <v>208808</v>
      </c>
      <c r="P95" s="55">
        <f t="shared" si="8"/>
        <v>214</v>
      </c>
      <c r="Q95" s="55"/>
      <c r="R95" s="55"/>
      <c r="S95" s="90">
        <f t="shared" si="9"/>
        <v>575</v>
      </c>
      <c r="T95" s="89">
        <v>46146</v>
      </c>
      <c r="U95" s="14"/>
      <c r="V95" s="105" t="s">
        <v>2375</v>
      </c>
      <c r="W95" s="105" t="str">
        <f>VLOOKUP(C95,'Status oficina'!$A$2:$C$208,3,FALSE)</f>
        <v>Activa</v>
      </c>
    </row>
    <row r="96" spans="1:23" ht="13.5" customHeight="1" x14ac:dyDescent="0.25">
      <c r="A96" s="14" t="s">
        <v>2082</v>
      </c>
      <c r="B96" s="14" t="s">
        <v>565</v>
      </c>
      <c r="C96" s="22">
        <v>9350</v>
      </c>
      <c r="D96" s="54" t="s">
        <v>567</v>
      </c>
      <c r="E96" s="54" t="s">
        <v>417</v>
      </c>
      <c r="F96" s="54" t="s">
        <v>1165</v>
      </c>
      <c r="G96" s="54" t="s">
        <v>260</v>
      </c>
      <c r="H96" s="55">
        <v>282366</v>
      </c>
      <c r="I96" s="55">
        <v>282366</v>
      </c>
      <c r="J96" s="55">
        <f t="shared" si="5"/>
        <v>0</v>
      </c>
      <c r="K96" s="55">
        <v>282366</v>
      </c>
      <c r="L96" s="55">
        <f t="shared" si="6"/>
        <v>0</v>
      </c>
      <c r="M96" s="55">
        <f>VLOOKUP(G96,'[1]01-09 al 30-09'!$G:$AI,29,FALSE)</f>
        <v>282366</v>
      </c>
      <c r="N96" s="55">
        <f t="shared" si="7"/>
        <v>0</v>
      </c>
      <c r="O96" s="55">
        <f>VLOOKUP(G96,'[1]01-09 al 30-09'!$G:$AS,39,FALSE)</f>
        <v>282366</v>
      </c>
      <c r="P96" s="55">
        <f t="shared" si="8"/>
        <v>0</v>
      </c>
      <c r="Q96" s="55"/>
      <c r="R96" s="55"/>
      <c r="S96" s="90">
        <f t="shared" si="9"/>
        <v>0</v>
      </c>
      <c r="T96" s="89">
        <v>46146</v>
      </c>
      <c r="U96" s="14"/>
      <c r="V96" s="105" t="s">
        <v>2231</v>
      </c>
      <c r="W96" s="105" t="str">
        <f>VLOOKUP(C96,'Status oficina'!$A$2:$C$208,3,FALSE)</f>
        <v>Cierre temporal</v>
      </c>
    </row>
    <row r="97" spans="1:23" ht="13.5" customHeight="1" x14ac:dyDescent="0.25">
      <c r="A97" s="14" t="s">
        <v>2082</v>
      </c>
      <c r="B97" s="14" t="s">
        <v>565</v>
      </c>
      <c r="C97" s="22">
        <v>9350</v>
      </c>
      <c r="D97" s="54" t="s">
        <v>566</v>
      </c>
      <c r="E97" s="54" t="s">
        <v>413</v>
      </c>
      <c r="F97" s="54" t="s">
        <v>1164</v>
      </c>
      <c r="G97" s="54" t="s">
        <v>298</v>
      </c>
      <c r="H97" s="55">
        <v>94841</v>
      </c>
      <c r="I97" s="55">
        <v>94841</v>
      </c>
      <c r="J97" s="55">
        <f t="shared" si="5"/>
        <v>0</v>
      </c>
      <c r="K97" s="55">
        <v>94841</v>
      </c>
      <c r="L97" s="55">
        <f t="shared" si="6"/>
        <v>0</v>
      </c>
      <c r="M97" s="55">
        <f>VLOOKUP(G97,'[1]01-09 al 30-09'!$G:$AI,29,FALSE)</f>
        <v>94841</v>
      </c>
      <c r="N97" s="55">
        <f t="shared" si="7"/>
        <v>0</v>
      </c>
      <c r="O97" s="55">
        <f>VLOOKUP(G97,'[1]01-09 al 30-09'!$G:$AS,39,FALSE)</f>
        <v>94841</v>
      </c>
      <c r="P97" s="55">
        <f t="shared" si="8"/>
        <v>0</v>
      </c>
      <c r="Q97" s="55"/>
      <c r="R97" s="55"/>
      <c r="S97" s="90">
        <f t="shared" si="9"/>
        <v>0</v>
      </c>
      <c r="T97" s="89">
        <v>46146</v>
      </c>
      <c r="U97" s="14"/>
      <c r="V97" s="105" t="s">
        <v>2231</v>
      </c>
      <c r="W97" s="105" t="str">
        <f>VLOOKUP(C97,'Status oficina'!$A$2:$C$208,3,FALSE)</f>
        <v>Cierre temporal</v>
      </c>
    </row>
    <row r="98" spans="1:23" ht="13.5" customHeight="1" x14ac:dyDescent="0.25">
      <c r="A98" s="53" t="s">
        <v>2442</v>
      </c>
      <c r="B98" s="53" t="s">
        <v>2376</v>
      </c>
      <c r="C98" s="19">
        <v>9219</v>
      </c>
      <c r="D98" s="14" t="s">
        <v>2379</v>
      </c>
      <c r="E98" s="14" t="s">
        <v>413</v>
      </c>
      <c r="F98" s="14" t="s">
        <v>2069</v>
      </c>
      <c r="G98" s="14" t="s">
        <v>2380</v>
      </c>
      <c r="H98" s="55">
        <v>58154</v>
      </c>
      <c r="I98" s="55">
        <v>58346</v>
      </c>
      <c r="J98" s="55">
        <f t="shared" si="5"/>
        <v>192</v>
      </c>
      <c r="K98" s="55">
        <v>58507</v>
      </c>
      <c r="L98" s="55">
        <f t="shared" si="6"/>
        <v>161</v>
      </c>
      <c r="M98" s="55">
        <f>VLOOKUP(G98,'[1]01-09 al 30-09'!$G:$AI,29,FALSE)</f>
        <v>58630</v>
      </c>
      <c r="N98" s="55">
        <f t="shared" si="7"/>
        <v>123</v>
      </c>
      <c r="O98" s="55">
        <f>VLOOKUP(G98,'[1]01-09 al 30-09'!$G:$AS,39,FALSE)</f>
        <v>58801</v>
      </c>
      <c r="P98" s="55">
        <f t="shared" si="8"/>
        <v>171</v>
      </c>
      <c r="Q98" s="55"/>
      <c r="R98" s="55"/>
      <c r="S98" s="90">
        <f t="shared" si="9"/>
        <v>647</v>
      </c>
      <c r="T98" s="89">
        <v>46146</v>
      </c>
      <c r="U98" s="14"/>
      <c r="V98" s="108" t="s">
        <v>2375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2443</v>
      </c>
      <c r="B99" s="14" t="s">
        <v>797</v>
      </c>
      <c r="C99" s="19">
        <v>9271</v>
      </c>
      <c r="D99" s="14" t="s">
        <v>801</v>
      </c>
      <c r="E99" s="14" t="s">
        <v>413</v>
      </c>
      <c r="F99" s="14" t="s">
        <v>1298</v>
      </c>
      <c r="G99" s="14" t="s">
        <v>333</v>
      </c>
      <c r="H99" s="55">
        <v>304172</v>
      </c>
      <c r="I99" s="55">
        <v>305089</v>
      </c>
      <c r="J99" s="55">
        <f t="shared" si="5"/>
        <v>917</v>
      </c>
      <c r="K99" s="55">
        <v>305731</v>
      </c>
      <c r="L99" s="55">
        <f t="shared" si="6"/>
        <v>642</v>
      </c>
      <c r="M99" s="55">
        <f>VLOOKUP(G99,'[1]01-09 al 30-09'!$G:$AI,29,FALSE)</f>
        <v>306549</v>
      </c>
      <c r="N99" s="55">
        <f t="shared" si="7"/>
        <v>818</v>
      </c>
      <c r="O99" s="55">
        <f>VLOOKUP(G99,'[1]01-09 al 30-09'!$G:$AS,39,FALSE)</f>
        <v>307452</v>
      </c>
      <c r="P99" s="55">
        <f t="shared" si="8"/>
        <v>903</v>
      </c>
      <c r="Q99" s="55"/>
      <c r="R99" s="55"/>
      <c r="S99" s="90">
        <f t="shared" si="9"/>
        <v>3280</v>
      </c>
      <c r="T99" s="89">
        <v>46146</v>
      </c>
      <c r="U99" s="14"/>
      <c r="V99" s="105" t="s">
        <v>2375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2082</v>
      </c>
      <c r="B100" s="14" t="s">
        <v>526</v>
      </c>
      <c r="C100" s="19">
        <v>9392</v>
      </c>
      <c r="D100" s="54" t="s">
        <v>528</v>
      </c>
      <c r="E100" s="54" t="s">
        <v>413</v>
      </c>
      <c r="F100" s="54" t="s">
        <v>1141</v>
      </c>
      <c r="G100" s="54" t="s">
        <v>311</v>
      </c>
      <c r="H100" s="55">
        <v>111577</v>
      </c>
      <c r="I100" s="55">
        <v>111577</v>
      </c>
      <c r="J100" s="55">
        <f t="shared" si="5"/>
        <v>0</v>
      </c>
      <c r="K100" s="55">
        <v>111577</v>
      </c>
      <c r="L100" s="55">
        <f t="shared" si="6"/>
        <v>0</v>
      </c>
      <c r="M100" s="55">
        <f>VLOOKUP(G100,'[1]01-09 al 30-09'!$G:$AI,29,FALSE)</f>
        <v>111577</v>
      </c>
      <c r="N100" s="55">
        <f t="shared" si="7"/>
        <v>0</v>
      </c>
      <c r="O100" s="55">
        <f>VLOOKUP(G100,'[1]01-09 al 30-09'!$G:$AS,39,FALSE)</f>
        <v>111577</v>
      </c>
      <c r="P100" s="55">
        <f t="shared" si="8"/>
        <v>0</v>
      </c>
      <c r="Q100" s="55"/>
      <c r="R100" s="55"/>
      <c r="S100" s="90">
        <f t="shared" si="9"/>
        <v>0</v>
      </c>
      <c r="T100" s="89">
        <v>46146</v>
      </c>
      <c r="U100" s="14" t="s">
        <v>2404</v>
      </c>
      <c r="V100" s="105" t="s">
        <v>2374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2082</v>
      </c>
      <c r="B101" s="14" t="s">
        <v>631</v>
      </c>
      <c r="C101" s="120">
        <v>9835</v>
      </c>
      <c r="D101" s="14" t="s">
        <v>2496</v>
      </c>
      <c r="E101" s="14" t="s">
        <v>413</v>
      </c>
      <c r="F101" s="14" t="s">
        <v>1194</v>
      </c>
      <c r="G101" s="14" t="s">
        <v>289</v>
      </c>
      <c r="H101" s="55">
        <v>136006</v>
      </c>
      <c r="I101" s="55">
        <v>136006</v>
      </c>
      <c r="J101" s="55">
        <f t="shared" si="5"/>
        <v>0</v>
      </c>
      <c r="K101" s="55">
        <v>136006</v>
      </c>
      <c r="L101" s="55">
        <f t="shared" si="6"/>
        <v>0</v>
      </c>
      <c r="M101" s="55">
        <f>VLOOKUP(G101,'[1]01-09 al 30-09'!$G:$AI,29,FALSE)</f>
        <v>136006</v>
      </c>
      <c r="N101" s="55">
        <f t="shared" si="7"/>
        <v>0</v>
      </c>
      <c r="O101" s="55">
        <f>VLOOKUP(G101,'[1]01-09 al 30-09'!$G:$AS,39,FALSE)</f>
        <v>136006</v>
      </c>
      <c r="P101" s="55">
        <f t="shared" si="8"/>
        <v>0</v>
      </c>
      <c r="Q101" s="55"/>
      <c r="R101" s="55"/>
      <c r="S101" s="90">
        <f t="shared" si="9"/>
        <v>0</v>
      </c>
      <c r="T101" s="89">
        <v>46146</v>
      </c>
      <c r="U101" s="14" t="s">
        <v>2479</v>
      </c>
      <c r="V101" s="105" t="s">
        <v>2375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2082</v>
      </c>
      <c r="B102" s="14" t="s">
        <v>633</v>
      </c>
      <c r="C102" s="120">
        <v>9444</v>
      </c>
      <c r="D102" s="14" t="s">
        <v>2439</v>
      </c>
      <c r="E102" s="15" t="s">
        <v>413</v>
      </c>
      <c r="F102" s="14" t="s">
        <v>1185</v>
      </c>
      <c r="G102" s="14" t="s">
        <v>380</v>
      </c>
      <c r="H102" s="55">
        <v>84935</v>
      </c>
      <c r="I102" s="55">
        <v>85030</v>
      </c>
      <c r="J102" s="55">
        <f t="shared" si="5"/>
        <v>95</v>
      </c>
      <c r="K102" s="55">
        <v>85128</v>
      </c>
      <c r="L102" s="55">
        <f t="shared" si="6"/>
        <v>98</v>
      </c>
      <c r="M102" s="55">
        <f>VLOOKUP(G102,'[1]01-09 al 30-09'!$G:$AI,29,FALSE)</f>
        <v>85327</v>
      </c>
      <c r="N102" s="55">
        <f t="shared" si="7"/>
        <v>199</v>
      </c>
      <c r="O102" s="55">
        <f>VLOOKUP(G102,'[1]01-09 al 30-09'!$G:$AS,39,FALSE)</f>
        <v>85438</v>
      </c>
      <c r="P102" s="55">
        <f t="shared" si="8"/>
        <v>111</v>
      </c>
      <c r="Q102" s="55"/>
      <c r="R102" s="55"/>
      <c r="S102" s="90">
        <f t="shared" si="9"/>
        <v>503</v>
      </c>
      <c r="T102" s="89">
        <v>46146</v>
      </c>
      <c r="U102" s="14"/>
      <c r="V102" s="105" t="s">
        <v>2375</v>
      </c>
      <c r="W102" s="105" t="str">
        <f>VLOOKUP(C102,'Status oficina'!$A$2:$C$208,3,FALSE)</f>
        <v>Activa</v>
      </c>
    </row>
    <row r="103" spans="1:23" ht="13.5" customHeight="1" x14ac:dyDescent="0.25">
      <c r="A103" s="16" t="s">
        <v>939</v>
      </c>
      <c r="B103" s="15" t="s">
        <v>969</v>
      </c>
      <c r="C103" s="120">
        <v>9540</v>
      </c>
      <c r="D103" s="54" t="s">
        <v>2462</v>
      </c>
      <c r="E103" s="16" t="s">
        <v>413</v>
      </c>
      <c r="F103" s="54" t="s">
        <v>1409</v>
      </c>
      <c r="G103" s="17" t="s">
        <v>354</v>
      </c>
      <c r="H103" s="55">
        <v>285144</v>
      </c>
      <c r="I103" s="55">
        <v>285660</v>
      </c>
      <c r="J103" s="55">
        <f t="shared" si="5"/>
        <v>516</v>
      </c>
      <c r="K103" s="55">
        <v>286325</v>
      </c>
      <c r="L103" s="55">
        <f t="shared" si="6"/>
        <v>665</v>
      </c>
      <c r="M103" s="55">
        <f>VLOOKUP(G103,'[1]01-09 al 30-09'!$G:$AI,29,FALSE)</f>
        <v>287290</v>
      </c>
      <c r="N103" s="55">
        <f t="shared" si="7"/>
        <v>965</v>
      </c>
      <c r="O103" s="55">
        <f>VLOOKUP(G103,'[1]01-09 al 30-09'!$G:$AS,39,FALSE)</f>
        <v>288343</v>
      </c>
      <c r="P103" s="55">
        <f t="shared" si="8"/>
        <v>1053</v>
      </c>
      <c r="Q103" s="55"/>
      <c r="R103" s="55"/>
      <c r="S103" s="90">
        <f t="shared" si="9"/>
        <v>3199</v>
      </c>
      <c r="T103" s="89">
        <v>46146</v>
      </c>
      <c r="U103" s="14"/>
      <c r="V103" s="105" t="s">
        <v>2375</v>
      </c>
      <c r="W103" s="105" t="str">
        <f>VLOOKUP(C103,'Status oficina'!$A$2:$C$208,3,FALSE)</f>
        <v>Activa</v>
      </c>
    </row>
    <row r="104" spans="1:23" ht="13.5" customHeight="1" x14ac:dyDescent="0.25">
      <c r="A104" s="14" t="s">
        <v>2082</v>
      </c>
      <c r="B104" s="14" t="s">
        <v>559</v>
      </c>
      <c r="C104" s="120">
        <v>9370</v>
      </c>
      <c r="D104" s="54" t="s">
        <v>2492</v>
      </c>
      <c r="E104" s="54" t="s">
        <v>413</v>
      </c>
      <c r="F104" s="54" t="s">
        <v>1160</v>
      </c>
      <c r="G104" s="54" t="s">
        <v>293</v>
      </c>
      <c r="H104" s="55">
        <v>113822</v>
      </c>
      <c r="I104" s="55">
        <v>113987</v>
      </c>
      <c r="J104" s="55">
        <f t="shared" si="5"/>
        <v>165</v>
      </c>
      <c r="K104" s="55">
        <v>114101</v>
      </c>
      <c r="L104" s="55">
        <f t="shared" si="6"/>
        <v>114</v>
      </c>
      <c r="M104" s="55">
        <f>VLOOKUP(G104,'[1]01-09 al 30-09'!$G:$AI,29,FALSE)</f>
        <v>114155</v>
      </c>
      <c r="N104" s="55">
        <f t="shared" si="7"/>
        <v>54</v>
      </c>
      <c r="O104" s="55">
        <f>VLOOKUP(G104,'[1]01-09 al 30-09'!$G:$AS,39,FALSE)</f>
        <v>114208</v>
      </c>
      <c r="P104" s="55">
        <f t="shared" si="8"/>
        <v>53</v>
      </c>
      <c r="Q104" s="55"/>
      <c r="R104" s="55"/>
      <c r="S104" s="90">
        <f t="shared" si="9"/>
        <v>386</v>
      </c>
      <c r="T104" s="89">
        <v>46146</v>
      </c>
      <c r="U104" s="14" t="s">
        <v>2478</v>
      </c>
      <c r="V104" s="105" t="s">
        <v>2375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2442</v>
      </c>
      <c r="B105" s="14" t="s">
        <v>712</v>
      </c>
      <c r="C105" s="19">
        <v>9263</v>
      </c>
      <c r="D105" s="14" t="s">
        <v>713</v>
      </c>
      <c r="E105" s="14" t="s">
        <v>413</v>
      </c>
      <c r="F105" s="14" t="s">
        <v>1240</v>
      </c>
      <c r="G105" s="14" t="s">
        <v>301</v>
      </c>
      <c r="H105" s="55">
        <v>314250</v>
      </c>
      <c r="I105" s="55">
        <v>314807</v>
      </c>
      <c r="J105" s="55">
        <f t="shared" si="5"/>
        <v>557</v>
      </c>
      <c r="K105" s="55">
        <v>315277</v>
      </c>
      <c r="L105" s="55">
        <f t="shared" si="6"/>
        <v>470</v>
      </c>
      <c r="M105" s="55">
        <f>VLOOKUP(G105,'[1]01-09 al 30-09'!$G:$AI,29,FALSE)</f>
        <v>315821</v>
      </c>
      <c r="N105" s="55">
        <f t="shared" si="7"/>
        <v>544</v>
      </c>
      <c r="O105" s="55">
        <f>VLOOKUP(G105,'[1]01-09 al 30-09'!$G:$AS,39,FALSE)</f>
        <v>316374</v>
      </c>
      <c r="P105" s="55">
        <f t="shared" si="8"/>
        <v>553</v>
      </c>
      <c r="Q105" s="55"/>
      <c r="R105" s="55"/>
      <c r="S105" s="90">
        <f t="shared" si="9"/>
        <v>2124</v>
      </c>
      <c r="T105" s="89">
        <v>46146</v>
      </c>
      <c r="U105" s="14"/>
      <c r="V105" s="105" t="s">
        <v>2375</v>
      </c>
      <c r="W105" s="105" t="str">
        <f>VLOOKUP(C105,'Status oficina'!$A$2:$C$208,3,FALSE)</f>
        <v>Activa</v>
      </c>
    </row>
    <row r="106" spans="1:23" ht="13.5" customHeight="1" x14ac:dyDescent="0.25">
      <c r="A106" s="53" t="s">
        <v>2442</v>
      </c>
      <c r="B106" s="14" t="s">
        <v>707</v>
      </c>
      <c r="C106" s="19">
        <v>9907</v>
      </c>
      <c r="D106" s="14" t="s">
        <v>2437</v>
      </c>
      <c r="E106" s="14" t="s">
        <v>413</v>
      </c>
      <c r="F106" s="14" t="s">
        <v>1239</v>
      </c>
      <c r="G106" s="14" t="s">
        <v>303</v>
      </c>
      <c r="H106" s="55">
        <v>130637</v>
      </c>
      <c r="I106" s="55">
        <v>130759</v>
      </c>
      <c r="J106" s="55">
        <f t="shared" si="5"/>
        <v>122</v>
      </c>
      <c r="K106" s="55">
        <v>130828</v>
      </c>
      <c r="L106" s="55">
        <f t="shared" si="6"/>
        <v>69</v>
      </c>
      <c r="M106" s="55">
        <f>VLOOKUP(G106,'[1]01-09 al 30-09'!$G:$AI,29,FALSE)</f>
        <v>130887</v>
      </c>
      <c r="N106" s="55">
        <f t="shared" si="7"/>
        <v>59</v>
      </c>
      <c r="O106" s="55">
        <f>VLOOKUP(G106,'[1]01-09 al 30-09'!$G:$AS,39,FALSE)</f>
        <v>131009</v>
      </c>
      <c r="P106" s="55">
        <f t="shared" si="8"/>
        <v>122</v>
      </c>
      <c r="Q106" s="55"/>
      <c r="R106" s="55"/>
      <c r="S106" s="90">
        <f t="shared" si="9"/>
        <v>372</v>
      </c>
      <c r="T106" s="89">
        <v>46146</v>
      </c>
      <c r="U106" s="14"/>
      <c r="V106" s="105" t="s">
        <v>2375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868</v>
      </c>
      <c r="B107" s="14" t="s">
        <v>881</v>
      </c>
      <c r="C107" s="19">
        <v>9815</v>
      </c>
      <c r="D107" s="14" t="s">
        <v>882</v>
      </c>
      <c r="E107" s="14" t="s">
        <v>413</v>
      </c>
      <c r="F107" s="14" t="s">
        <v>1346</v>
      </c>
      <c r="G107" s="14" t="s">
        <v>65</v>
      </c>
      <c r="H107" s="55">
        <v>160617</v>
      </c>
      <c r="I107" s="55">
        <v>160765</v>
      </c>
      <c r="J107" s="55">
        <f t="shared" si="5"/>
        <v>148</v>
      </c>
      <c r="K107" s="55">
        <v>160808</v>
      </c>
      <c r="L107" s="55">
        <f t="shared" si="6"/>
        <v>43</v>
      </c>
      <c r="M107" s="55">
        <f>VLOOKUP(G107,'[1]01-09 al 30-09'!$G:$AI,29,FALSE)</f>
        <v>160851</v>
      </c>
      <c r="N107" s="55">
        <f t="shared" si="7"/>
        <v>43</v>
      </c>
      <c r="O107" s="55">
        <f>VLOOKUP(G107,'[1]01-09 al 30-09'!$G:$AS,39,FALSE)</f>
        <v>160994</v>
      </c>
      <c r="P107" s="55">
        <f t="shared" si="8"/>
        <v>143</v>
      </c>
      <c r="Q107" s="55"/>
      <c r="R107" s="55"/>
      <c r="S107" s="90">
        <f t="shared" si="9"/>
        <v>377</v>
      </c>
      <c r="T107" s="89">
        <v>46146</v>
      </c>
      <c r="U107" s="14"/>
      <c r="V107" s="105" t="s">
        <v>2375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2082</v>
      </c>
      <c r="B108" s="14" t="s">
        <v>475</v>
      </c>
      <c r="C108" s="19">
        <v>9425</v>
      </c>
      <c r="D108" s="54" t="s">
        <v>1878</v>
      </c>
      <c r="E108" s="14" t="s">
        <v>413</v>
      </c>
      <c r="F108" s="14" t="s">
        <v>479</v>
      </c>
      <c r="G108" s="14" t="s">
        <v>244</v>
      </c>
      <c r="H108" s="55">
        <v>171228</v>
      </c>
      <c r="I108" s="55">
        <v>171768</v>
      </c>
      <c r="J108" s="55">
        <f t="shared" si="5"/>
        <v>540</v>
      </c>
      <c r="K108" s="55">
        <v>171786</v>
      </c>
      <c r="L108" s="55">
        <f t="shared" si="6"/>
        <v>18</v>
      </c>
      <c r="M108" s="55">
        <f>VLOOKUP(G108,'[1]01-09 al 30-09'!$G:$AI,29,FALSE)</f>
        <v>171939</v>
      </c>
      <c r="N108" s="55">
        <f t="shared" si="7"/>
        <v>153</v>
      </c>
      <c r="O108" s="55">
        <f>VLOOKUP(G108,'[1]01-09 al 30-09'!$G:$AS,39,FALSE)</f>
        <v>172278</v>
      </c>
      <c r="P108" s="55">
        <f t="shared" si="8"/>
        <v>339</v>
      </c>
      <c r="Q108" s="55"/>
      <c r="R108" s="55"/>
      <c r="S108" s="90">
        <f t="shared" si="9"/>
        <v>1050</v>
      </c>
      <c r="T108" s="89">
        <v>46146</v>
      </c>
      <c r="U108" s="54"/>
      <c r="V108" s="105" t="s">
        <v>2375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939</v>
      </c>
      <c r="B109" s="14" t="s">
        <v>943</v>
      </c>
      <c r="C109" s="19">
        <v>9580</v>
      </c>
      <c r="D109" s="14" t="s">
        <v>944</v>
      </c>
      <c r="E109" s="14" t="s">
        <v>413</v>
      </c>
      <c r="F109" s="14" t="s">
        <v>1393</v>
      </c>
      <c r="G109" s="14" t="s">
        <v>67</v>
      </c>
      <c r="H109" s="55">
        <v>300977</v>
      </c>
      <c r="I109" s="55">
        <v>300977</v>
      </c>
      <c r="J109" s="55">
        <f t="shared" si="5"/>
        <v>0</v>
      </c>
      <c r="K109" s="55">
        <v>300977</v>
      </c>
      <c r="L109" s="55">
        <f t="shared" si="6"/>
        <v>0</v>
      </c>
      <c r="M109" s="55">
        <f>VLOOKUP(G109,'[1]01-09 al 30-09'!$G:$AI,29,FALSE)</f>
        <v>300977</v>
      </c>
      <c r="N109" s="55">
        <f t="shared" si="7"/>
        <v>0</v>
      </c>
      <c r="O109" s="55">
        <f>VLOOKUP(G109,'[1]01-09 al 30-09'!$G:$AS,39,FALSE)</f>
        <v>300977</v>
      </c>
      <c r="P109" s="55">
        <f t="shared" si="8"/>
        <v>0</v>
      </c>
      <c r="Q109" s="55"/>
      <c r="R109" s="55"/>
      <c r="S109" s="90">
        <f t="shared" si="9"/>
        <v>0</v>
      </c>
      <c r="T109" s="89">
        <v>46146</v>
      </c>
      <c r="U109" s="14"/>
      <c r="V109" s="105" t="s">
        <v>2375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939</v>
      </c>
      <c r="B110" s="14" t="s">
        <v>949</v>
      </c>
      <c r="C110" s="19">
        <v>9560</v>
      </c>
      <c r="D110" s="14" t="s">
        <v>952</v>
      </c>
      <c r="E110" s="14" t="s">
        <v>413</v>
      </c>
      <c r="F110" s="14" t="s">
        <v>1397</v>
      </c>
      <c r="G110" s="14" t="s">
        <v>87</v>
      </c>
      <c r="H110" s="55">
        <v>228976</v>
      </c>
      <c r="I110" s="55">
        <v>229453</v>
      </c>
      <c r="J110" s="55">
        <f t="shared" si="5"/>
        <v>477</v>
      </c>
      <c r="K110" s="55">
        <v>230009</v>
      </c>
      <c r="L110" s="55">
        <f t="shared" si="6"/>
        <v>556</v>
      </c>
      <c r="M110" s="55">
        <f>VLOOKUP(G110,'[1]01-09 al 30-09'!$G:$AI,29,FALSE)</f>
        <v>230219</v>
      </c>
      <c r="N110" s="55">
        <f t="shared" si="7"/>
        <v>210</v>
      </c>
      <c r="O110" s="55">
        <f>VLOOKUP(G110,'[1]01-09 al 30-09'!$G:$AS,39,FALSE)</f>
        <v>230544</v>
      </c>
      <c r="P110" s="55">
        <f t="shared" si="8"/>
        <v>325</v>
      </c>
      <c r="Q110" s="55"/>
      <c r="R110" s="55"/>
      <c r="S110" s="90">
        <f t="shared" si="9"/>
        <v>1568</v>
      </c>
      <c r="T110" s="89">
        <v>46146</v>
      </c>
      <c r="U110" s="14"/>
      <c r="V110" s="105" t="s">
        <v>2375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2082</v>
      </c>
      <c r="B111" s="14" t="s">
        <v>462</v>
      </c>
      <c r="C111" s="19">
        <v>9471</v>
      </c>
      <c r="D111" s="14" t="s">
        <v>2116</v>
      </c>
      <c r="E111" s="14" t="s">
        <v>413</v>
      </c>
      <c r="F111" s="14" t="s">
        <v>1094</v>
      </c>
      <c r="G111" s="14" t="s">
        <v>256</v>
      </c>
      <c r="H111" s="55">
        <v>126775</v>
      </c>
      <c r="I111" s="55">
        <v>126775</v>
      </c>
      <c r="J111" s="55">
        <f t="shared" si="5"/>
        <v>0</v>
      </c>
      <c r="K111" s="55">
        <v>126775</v>
      </c>
      <c r="L111" s="55">
        <f t="shared" si="6"/>
        <v>0</v>
      </c>
      <c r="M111" s="55">
        <f>VLOOKUP(G111,'[1]01-09 al 30-09'!$G:$AI,29,FALSE)</f>
        <v>126775</v>
      </c>
      <c r="N111" s="55">
        <f t="shared" si="7"/>
        <v>0</v>
      </c>
      <c r="O111" s="55">
        <f>VLOOKUP(G111,'[1]01-09 al 30-09'!$G:$AS,39,FALSE)</f>
        <v>126775</v>
      </c>
      <c r="P111" s="55">
        <f t="shared" si="8"/>
        <v>0</v>
      </c>
      <c r="Q111" s="55"/>
      <c r="R111" s="55"/>
      <c r="S111" s="90">
        <f t="shared" si="9"/>
        <v>0</v>
      </c>
      <c r="T111" s="89">
        <v>46146</v>
      </c>
      <c r="U111" s="14" t="s">
        <v>2457</v>
      </c>
      <c r="V111" s="108" t="s">
        <v>2375</v>
      </c>
      <c r="W111" s="105" t="str">
        <f>VLOOKUP(C111,'Status oficina'!$A$2:$C$208,3,FALSE)</f>
        <v>Cierre temporal</v>
      </c>
    </row>
    <row r="112" spans="1:23" ht="13.5" customHeight="1" x14ac:dyDescent="0.25">
      <c r="A112" s="14" t="s">
        <v>2443</v>
      </c>
      <c r="B112" s="14" t="s">
        <v>852</v>
      </c>
      <c r="C112" s="120">
        <v>9289</v>
      </c>
      <c r="D112" s="14" t="s">
        <v>854</v>
      </c>
      <c r="E112" s="14" t="s">
        <v>413</v>
      </c>
      <c r="F112" s="14" t="s">
        <v>2007</v>
      </c>
      <c r="G112" s="14" t="s">
        <v>252</v>
      </c>
      <c r="H112" s="55">
        <v>107660</v>
      </c>
      <c r="I112" s="55">
        <v>107735</v>
      </c>
      <c r="J112" s="55">
        <f t="shared" si="5"/>
        <v>75</v>
      </c>
      <c r="K112" s="55">
        <v>107792</v>
      </c>
      <c r="L112" s="55">
        <f t="shared" si="6"/>
        <v>57</v>
      </c>
      <c r="M112" s="55">
        <f>VLOOKUP(G112,'[1]01-09 al 30-09'!$G:$AI,29,FALSE)</f>
        <v>107901</v>
      </c>
      <c r="N112" s="55">
        <f t="shared" si="7"/>
        <v>109</v>
      </c>
      <c r="O112" s="55">
        <f>VLOOKUP(G112,'[1]01-09 al 30-09'!$G:$AS,39,FALSE)</f>
        <v>107921</v>
      </c>
      <c r="P112" s="55">
        <f t="shared" si="8"/>
        <v>20</v>
      </c>
      <c r="Q112" s="55"/>
      <c r="R112" s="55"/>
      <c r="S112" s="90">
        <f t="shared" si="9"/>
        <v>261</v>
      </c>
      <c r="T112" s="89">
        <v>46146</v>
      </c>
      <c r="U112" s="14"/>
      <c r="V112" s="105" t="s">
        <v>2375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2082</v>
      </c>
      <c r="B113" s="14" t="s">
        <v>600</v>
      </c>
      <c r="C113" s="19">
        <v>9833</v>
      </c>
      <c r="D113" s="49" t="s">
        <v>603</v>
      </c>
      <c r="E113" s="132" t="s">
        <v>417</v>
      </c>
      <c r="F113" s="49" t="s">
        <v>1183</v>
      </c>
      <c r="H113" s="55">
        <v>572116</v>
      </c>
      <c r="I113" s="55">
        <v>572116</v>
      </c>
      <c r="J113" s="55">
        <f t="shared" si="5"/>
        <v>0</v>
      </c>
      <c r="K113" s="55">
        <v>572116</v>
      </c>
      <c r="L113" s="55">
        <f t="shared" si="6"/>
        <v>0</v>
      </c>
      <c r="M113" s="55">
        <v>572116</v>
      </c>
      <c r="N113" s="55">
        <f t="shared" si="7"/>
        <v>0</v>
      </c>
      <c r="O113" s="55">
        <v>572116</v>
      </c>
      <c r="P113" s="55">
        <f t="shared" si="8"/>
        <v>0</v>
      </c>
      <c r="Q113" s="55"/>
      <c r="R113" s="55"/>
      <c r="S113" s="90">
        <f t="shared" si="9"/>
        <v>0</v>
      </c>
      <c r="T113" s="89">
        <v>46146</v>
      </c>
      <c r="U113" s="14" t="s">
        <v>2499</v>
      </c>
      <c r="V113" s="105" t="s">
        <v>2375</v>
      </c>
      <c r="W113" s="105" t="str">
        <f>VLOOKUP(C113,'Status oficina'!$A$2:$C$208,3,FALSE)</f>
        <v>Activa</v>
      </c>
    </row>
    <row r="114" spans="1:23" ht="13.5" customHeight="1" x14ac:dyDescent="0.25">
      <c r="A114" s="14" t="s">
        <v>939</v>
      </c>
      <c r="B114" s="14" t="s">
        <v>1031</v>
      </c>
      <c r="C114" s="120">
        <v>9612</v>
      </c>
      <c r="D114" s="14" t="s">
        <v>1033</v>
      </c>
      <c r="E114" s="14" t="s">
        <v>413</v>
      </c>
      <c r="F114" s="14" t="s">
        <v>1434</v>
      </c>
      <c r="G114" s="14"/>
      <c r="H114" s="55">
        <v>324296</v>
      </c>
      <c r="I114" s="55">
        <v>324296</v>
      </c>
      <c r="J114" s="55">
        <f t="shared" si="5"/>
        <v>0</v>
      </c>
      <c r="K114" s="55">
        <v>324296</v>
      </c>
      <c r="L114" s="55">
        <f t="shared" si="6"/>
        <v>0</v>
      </c>
      <c r="M114" s="55">
        <v>324296</v>
      </c>
      <c r="N114" s="55">
        <f t="shared" si="7"/>
        <v>0</v>
      </c>
      <c r="O114" s="55">
        <v>324296</v>
      </c>
      <c r="P114" s="55">
        <f t="shared" si="8"/>
        <v>0</v>
      </c>
      <c r="Q114" s="55"/>
      <c r="R114" s="55"/>
      <c r="S114" s="90">
        <f t="shared" si="9"/>
        <v>0</v>
      </c>
      <c r="T114" s="89">
        <v>46146</v>
      </c>
      <c r="U114" s="14" t="s">
        <v>2463</v>
      </c>
      <c r="V114" s="105" t="s">
        <v>2374</v>
      </c>
      <c r="W114" s="105" t="s">
        <v>2228</v>
      </c>
    </row>
    <row r="115" spans="1:23" ht="13.5" customHeight="1" x14ac:dyDescent="0.25">
      <c r="A115" s="53" t="s">
        <v>2442</v>
      </c>
      <c r="B115" s="14" t="s">
        <v>2394</v>
      </c>
      <c r="C115" s="120">
        <v>9217</v>
      </c>
      <c r="D115" s="14" t="s">
        <v>2167</v>
      </c>
      <c r="E115" s="14" t="s">
        <v>413</v>
      </c>
      <c r="F115" s="14" t="s">
        <v>2119</v>
      </c>
      <c r="G115" s="14" t="s">
        <v>1490</v>
      </c>
      <c r="H115" s="55">
        <v>103866</v>
      </c>
      <c r="I115" s="55">
        <v>103940</v>
      </c>
      <c r="J115" s="55">
        <f t="shared" si="5"/>
        <v>74</v>
      </c>
      <c r="K115" s="55">
        <v>104004</v>
      </c>
      <c r="L115" s="55">
        <f t="shared" si="6"/>
        <v>64</v>
      </c>
      <c r="M115" s="55">
        <f>VLOOKUP(G115,'[1]01-09 al 30-09'!$G:$AI,29,FALSE)</f>
        <v>104078</v>
      </c>
      <c r="N115" s="55">
        <f t="shared" si="7"/>
        <v>74</v>
      </c>
      <c r="O115" s="55">
        <f>VLOOKUP(G115,'[1]01-09 al 30-09'!$G:$AS,39,FALSE)</f>
        <v>104172</v>
      </c>
      <c r="P115" s="55">
        <f t="shared" si="8"/>
        <v>94</v>
      </c>
      <c r="Q115" s="55"/>
      <c r="R115" s="55"/>
      <c r="S115" s="90">
        <f t="shared" si="9"/>
        <v>306</v>
      </c>
      <c r="T115" s="89">
        <v>46146</v>
      </c>
      <c r="U115" s="14"/>
      <c r="V115" s="105" t="s">
        <v>2375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2442</v>
      </c>
      <c r="B116" s="14" t="s">
        <v>705</v>
      </c>
      <c r="C116" s="19">
        <v>9261</v>
      </c>
      <c r="D116" s="14" t="s">
        <v>2189</v>
      </c>
      <c r="E116" s="14" t="s">
        <v>413</v>
      </c>
      <c r="F116" s="14" t="s">
        <v>1063</v>
      </c>
      <c r="G116" s="14" t="s">
        <v>302</v>
      </c>
      <c r="H116" s="55">
        <v>103669</v>
      </c>
      <c r="I116" s="55">
        <v>104042</v>
      </c>
      <c r="J116" s="55">
        <f t="shared" si="5"/>
        <v>373</v>
      </c>
      <c r="K116" s="55">
        <v>104119</v>
      </c>
      <c r="L116" s="55">
        <f t="shared" si="6"/>
        <v>77</v>
      </c>
      <c r="M116" s="55">
        <f>VLOOKUP(G116,'[1]01-09 al 30-09'!$G:$AI,29,FALSE)</f>
        <v>104172</v>
      </c>
      <c r="N116" s="55">
        <f t="shared" si="7"/>
        <v>53</v>
      </c>
      <c r="O116" s="55">
        <f>VLOOKUP(G116,'[1]01-09 al 30-09'!$G:$AS,39,FALSE)</f>
        <v>104251</v>
      </c>
      <c r="P116" s="55">
        <f t="shared" si="8"/>
        <v>79</v>
      </c>
      <c r="Q116" s="55"/>
      <c r="R116" s="55"/>
      <c r="S116" s="90">
        <f t="shared" si="9"/>
        <v>582</v>
      </c>
      <c r="T116" s="89">
        <v>46146</v>
      </c>
      <c r="U116" s="14"/>
      <c r="V116" s="105" t="s">
        <v>2375</v>
      </c>
      <c r="W116" s="105" t="str">
        <f>VLOOKUP(C116,'Status oficina'!$A$2:$C$208,3,FALSE)</f>
        <v>Activa</v>
      </c>
    </row>
    <row r="117" spans="1:23" ht="13.5" customHeight="1" x14ac:dyDescent="0.25">
      <c r="A117" s="15" t="s">
        <v>939</v>
      </c>
      <c r="B117" s="15" t="s">
        <v>949</v>
      </c>
      <c r="C117" s="19">
        <v>9560</v>
      </c>
      <c r="D117" s="14" t="s">
        <v>953</v>
      </c>
      <c r="E117" s="15" t="s">
        <v>413</v>
      </c>
      <c r="F117" s="14" t="s">
        <v>1425</v>
      </c>
      <c r="G117" s="1"/>
      <c r="H117" s="55">
        <v>227885</v>
      </c>
      <c r="I117" s="55">
        <v>227885</v>
      </c>
      <c r="J117" s="55">
        <f t="shared" si="5"/>
        <v>0</v>
      </c>
      <c r="K117" s="55">
        <v>227885</v>
      </c>
      <c r="L117" s="55">
        <f t="shared" si="6"/>
        <v>0</v>
      </c>
      <c r="M117" s="55">
        <v>227885</v>
      </c>
      <c r="N117" s="55">
        <f t="shared" si="7"/>
        <v>0</v>
      </c>
      <c r="O117" s="55">
        <v>227885</v>
      </c>
      <c r="P117" s="55">
        <f t="shared" si="8"/>
        <v>0</v>
      </c>
      <c r="Q117" s="55"/>
      <c r="R117" s="55"/>
      <c r="S117" s="90">
        <f t="shared" si="9"/>
        <v>0</v>
      </c>
      <c r="T117" s="89">
        <v>46146</v>
      </c>
      <c r="U117" s="118" t="s">
        <v>2421</v>
      </c>
      <c r="V117" s="105" t="s">
        <v>2374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2443</v>
      </c>
      <c r="B118" s="14" t="s">
        <v>784</v>
      </c>
      <c r="C118" s="19">
        <v>9911</v>
      </c>
      <c r="D118" s="14" t="s">
        <v>786</v>
      </c>
      <c r="E118" s="14" t="s">
        <v>413</v>
      </c>
      <c r="F118" s="14" t="s">
        <v>1286</v>
      </c>
      <c r="G118" s="14" t="s">
        <v>321</v>
      </c>
      <c r="H118" s="55">
        <v>287736</v>
      </c>
      <c r="I118" s="55">
        <v>287736</v>
      </c>
      <c r="J118" s="55">
        <f t="shared" si="5"/>
        <v>0</v>
      </c>
      <c r="K118" s="55">
        <v>287736</v>
      </c>
      <c r="L118" s="55">
        <f t="shared" si="6"/>
        <v>0</v>
      </c>
      <c r="M118" s="55">
        <f>VLOOKUP(G118,'[1]01-09 al 30-09'!$G:$AI,29,FALSE)</f>
        <v>287736</v>
      </c>
      <c r="N118" s="55">
        <f t="shared" si="7"/>
        <v>0</v>
      </c>
      <c r="O118" s="55">
        <f>VLOOKUP(G118,'[1]01-09 al 30-09'!$G:$AS,39,FALSE)</f>
        <v>287736</v>
      </c>
      <c r="P118" s="55">
        <f t="shared" si="8"/>
        <v>0</v>
      </c>
      <c r="Q118" s="55"/>
      <c r="R118" s="55"/>
      <c r="S118" s="90">
        <f t="shared" si="9"/>
        <v>0</v>
      </c>
      <c r="T118" s="89">
        <v>46146</v>
      </c>
      <c r="U118" s="14" t="s">
        <v>2395</v>
      </c>
      <c r="V118" s="105" t="s">
        <v>2374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2082</v>
      </c>
      <c r="B119" s="14" t="s">
        <v>501</v>
      </c>
      <c r="C119" s="120">
        <v>9461</v>
      </c>
      <c r="D119" s="14" t="s">
        <v>503</v>
      </c>
      <c r="E119" s="14" t="s">
        <v>413</v>
      </c>
      <c r="F119" s="14" t="s">
        <v>1123</v>
      </c>
      <c r="G119" s="14" t="s">
        <v>258</v>
      </c>
      <c r="H119" s="55">
        <v>67809</v>
      </c>
      <c r="I119" s="55">
        <v>67988</v>
      </c>
      <c r="J119" s="55">
        <f t="shared" si="5"/>
        <v>179</v>
      </c>
      <c r="K119" s="55">
        <v>68167</v>
      </c>
      <c r="L119" s="55">
        <f t="shared" si="6"/>
        <v>179</v>
      </c>
      <c r="M119" s="55">
        <f>VLOOKUP(G119,'[1]01-09 al 30-09'!$G:$AI,29,FALSE)</f>
        <v>68404</v>
      </c>
      <c r="N119" s="55">
        <f t="shared" si="7"/>
        <v>237</v>
      </c>
      <c r="O119" s="55">
        <f>VLOOKUP(G119,'[1]01-09 al 30-09'!$G:$AS,39,FALSE)</f>
        <v>68600</v>
      </c>
      <c r="P119" s="55">
        <f t="shared" si="8"/>
        <v>196</v>
      </c>
      <c r="Q119" s="55"/>
      <c r="R119" s="55"/>
      <c r="S119" s="90">
        <f t="shared" si="9"/>
        <v>791</v>
      </c>
      <c r="T119" s="89">
        <v>46146</v>
      </c>
      <c r="U119" s="14"/>
      <c r="V119" s="105" t="s">
        <v>2375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939</v>
      </c>
      <c r="B120" s="14" t="s">
        <v>1022</v>
      </c>
      <c r="C120" s="120">
        <v>9615</v>
      </c>
      <c r="D120" s="14" t="s">
        <v>2120</v>
      </c>
      <c r="E120" s="14" t="s">
        <v>413</v>
      </c>
      <c r="F120" s="14" t="s">
        <v>1443</v>
      </c>
      <c r="G120" s="14" t="s">
        <v>270</v>
      </c>
      <c r="H120" s="55">
        <v>139962</v>
      </c>
      <c r="I120" s="55">
        <v>140003</v>
      </c>
      <c r="J120" s="55">
        <f t="shared" si="5"/>
        <v>41</v>
      </c>
      <c r="K120" s="55">
        <v>140119</v>
      </c>
      <c r="L120" s="55">
        <f t="shared" si="6"/>
        <v>116</v>
      </c>
      <c r="M120" s="55">
        <f>VLOOKUP(G120,'[1]01-09 al 30-09'!$G:$AI,29,FALSE)</f>
        <v>140318</v>
      </c>
      <c r="N120" s="55">
        <f t="shared" si="7"/>
        <v>199</v>
      </c>
      <c r="O120" s="55">
        <f>VLOOKUP(G120,'[1]01-09 al 30-09'!$G:$AS,39,FALSE)</f>
        <v>140485</v>
      </c>
      <c r="P120" s="55">
        <f t="shared" si="8"/>
        <v>167</v>
      </c>
      <c r="Q120" s="55"/>
      <c r="R120" s="55"/>
      <c r="S120" s="90">
        <f t="shared" si="9"/>
        <v>523</v>
      </c>
      <c r="T120" s="89">
        <v>46146</v>
      </c>
      <c r="U120" s="14"/>
      <c r="V120" s="105" t="s">
        <v>2375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939</v>
      </c>
      <c r="B121" s="14" t="s">
        <v>980</v>
      </c>
      <c r="C121" s="120">
        <v>9655</v>
      </c>
      <c r="D121" s="14" t="s">
        <v>983</v>
      </c>
      <c r="E121" s="14" t="s">
        <v>413</v>
      </c>
      <c r="F121" s="14" t="s">
        <v>1420</v>
      </c>
      <c r="G121" s="14" t="s">
        <v>2447</v>
      </c>
      <c r="H121" s="55">
        <v>252087</v>
      </c>
      <c r="I121" s="55">
        <v>252491</v>
      </c>
      <c r="J121" s="55">
        <f t="shared" si="5"/>
        <v>404</v>
      </c>
      <c r="K121" s="55">
        <v>252915</v>
      </c>
      <c r="L121" s="55">
        <f t="shared" si="6"/>
        <v>424</v>
      </c>
      <c r="M121" s="55">
        <f>VLOOKUP(G121,'[1]01-09 al 30-09'!$G:$AI,29,FALSE)</f>
        <v>253354</v>
      </c>
      <c r="N121" s="55">
        <f t="shared" si="7"/>
        <v>439</v>
      </c>
      <c r="O121" s="55">
        <f>VLOOKUP(G121,'[1]01-09 al 30-09'!$G:$AS,39,FALSE)</f>
        <v>253903</v>
      </c>
      <c r="P121" s="55">
        <f t="shared" si="8"/>
        <v>549</v>
      </c>
      <c r="Q121" s="55"/>
      <c r="R121" s="55"/>
      <c r="S121" s="90">
        <f t="shared" si="9"/>
        <v>1816</v>
      </c>
      <c r="T121" s="89">
        <v>46146</v>
      </c>
      <c r="U121" s="14" t="s">
        <v>2448</v>
      </c>
      <c r="V121" s="108" t="s">
        <v>2375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2082</v>
      </c>
      <c r="B122" s="14" t="s">
        <v>475</v>
      </c>
      <c r="C122" s="19">
        <v>9425</v>
      </c>
      <c r="D122" s="14" t="s">
        <v>478</v>
      </c>
      <c r="E122" s="14" t="s">
        <v>413</v>
      </c>
      <c r="F122" s="14" t="s">
        <v>1105</v>
      </c>
      <c r="G122" s="14"/>
      <c r="H122" s="55">
        <v>373057</v>
      </c>
      <c r="I122" s="55">
        <v>373057</v>
      </c>
      <c r="J122" s="55">
        <f t="shared" si="5"/>
        <v>0</v>
      </c>
      <c r="K122" s="55">
        <v>373057</v>
      </c>
      <c r="L122" s="55">
        <f t="shared" si="6"/>
        <v>0</v>
      </c>
      <c r="M122" s="55">
        <v>373057</v>
      </c>
      <c r="N122" s="55">
        <f t="shared" si="7"/>
        <v>0</v>
      </c>
      <c r="O122" s="55">
        <v>373057</v>
      </c>
      <c r="P122" s="55">
        <f t="shared" si="8"/>
        <v>0</v>
      </c>
      <c r="Q122" s="55"/>
      <c r="R122" s="55"/>
      <c r="S122" s="90">
        <f t="shared" si="9"/>
        <v>0</v>
      </c>
      <c r="T122" s="89">
        <v>46146</v>
      </c>
      <c r="U122" s="14" t="s">
        <v>2127</v>
      </c>
      <c r="V122" s="105" t="s">
        <v>2374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939</v>
      </c>
      <c r="B123" s="14" t="s">
        <v>1046</v>
      </c>
      <c r="C123" s="120">
        <v>9675</v>
      </c>
      <c r="D123" s="14" t="s">
        <v>1047</v>
      </c>
      <c r="E123" s="14" t="s">
        <v>413</v>
      </c>
      <c r="F123" s="14" t="s">
        <v>1459</v>
      </c>
      <c r="G123" s="14" t="s">
        <v>107</v>
      </c>
      <c r="H123" s="55">
        <v>124109</v>
      </c>
      <c r="I123" s="55">
        <v>124109</v>
      </c>
      <c r="J123" s="55">
        <f t="shared" si="5"/>
        <v>0</v>
      </c>
      <c r="K123" s="55">
        <v>124109</v>
      </c>
      <c r="L123" s="55">
        <f t="shared" si="6"/>
        <v>0</v>
      </c>
      <c r="M123" s="55">
        <f>VLOOKUP(G123,'[1]01-09 al 30-09'!$G:$AI,29,FALSE)</f>
        <v>124109</v>
      </c>
      <c r="N123" s="55">
        <f t="shared" si="7"/>
        <v>0</v>
      </c>
      <c r="O123" s="55">
        <f>VLOOKUP(G123,'[1]01-09 al 30-09'!$G:$AS,39,FALSE)</f>
        <v>124109</v>
      </c>
      <c r="P123" s="55">
        <f t="shared" si="8"/>
        <v>0</v>
      </c>
      <c r="Q123" s="55"/>
      <c r="R123" s="55"/>
      <c r="S123" s="90">
        <f t="shared" si="9"/>
        <v>0</v>
      </c>
      <c r="T123" s="89">
        <v>46146</v>
      </c>
      <c r="U123" s="14" t="s">
        <v>2397</v>
      </c>
      <c r="V123" s="108" t="s">
        <v>2374</v>
      </c>
      <c r="W123" s="105" t="str">
        <f>VLOOKUP(C123,'Status oficina'!$A$2:$C$208,3,FALSE)</f>
        <v>Activa</v>
      </c>
    </row>
    <row r="124" spans="1:23" ht="13.5" customHeight="1" x14ac:dyDescent="0.25">
      <c r="A124" s="14" t="s">
        <v>2443</v>
      </c>
      <c r="B124" s="14" t="s">
        <v>775</v>
      </c>
      <c r="C124" s="19">
        <v>9908</v>
      </c>
      <c r="D124" s="14" t="s">
        <v>776</v>
      </c>
      <c r="E124" s="14" t="s">
        <v>413</v>
      </c>
      <c r="F124" s="14" t="s">
        <v>1974</v>
      </c>
      <c r="G124" s="14" t="s">
        <v>319</v>
      </c>
      <c r="H124" s="55">
        <v>38367</v>
      </c>
      <c r="I124" s="55">
        <v>38367</v>
      </c>
      <c r="J124" s="55">
        <f t="shared" si="5"/>
        <v>0</v>
      </c>
      <c r="K124" s="55">
        <v>38367</v>
      </c>
      <c r="L124" s="55">
        <f t="shared" si="6"/>
        <v>0</v>
      </c>
      <c r="M124" s="55">
        <f>VLOOKUP(G124,'[1]01-09 al 30-09'!$G:$AI,29,FALSE)</f>
        <v>38367</v>
      </c>
      <c r="N124" s="55">
        <f t="shared" si="7"/>
        <v>0</v>
      </c>
      <c r="O124" s="55">
        <f>VLOOKUP(G124,'[1]01-09 al 30-09'!$G:$AS,39,FALSE)</f>
        <v>38367</v>
      </c>
      <c r="P124" s="55">
        <f t="shared" si="8"/>
        <v>0</v>
      </c>
      <c r="Q124" s="55"/>
      <c r="R124" s="55"/>
      <c r="S124" s="90">
        <f t="shared" si="9"/>
        <v>0</v>
      </c>
      <c r="T124" s="89">
        <v>46146</v>
      </c>
      <c r="U124" s="13"/>
      <c r="V124" s="105" t="s">
        <v>2231</v>
      </c>
      <c r="W124" s="105" t="s">
        <v>2231</v>
      </c>
    </row>
    <row r="125" spans="1:23" ht="13.5" customHeight="1" x14ac:dyDescent="0.25">
      <c r="A125" s="14" t="s">
        <v>2443</v>
      </c>
      <c r="B125" s="14" t="s">
        <v>2382</v>
      </c>
      <c r="C125" s="19">
        <v>9229</v>
      </c>
      <c r="D125" s="14" t="s">
        <v>841</v>
      </c>
      <c r="E125" s="14" t="s">
        <v>413</v>
      </c>
      <c r="F125" s="14" t="s">
        <v>1451</v>
      </c>
      <c r="G125" s="14" t="s">
        <v>1536</v>
      </c>
      <c r="H125" s="55">
        <v>221770</v>
      </c>
      <c r="I125" s="55">
        <v>222247</v>
      </c>
      <c r="J125" s="55">
        <f t="shared" si="5"/>
        <v>477</v>
      </c>
      <c r="K125" s="55">
        <v>222717</v>
      </c>
      <c r="L125" s="55">
        <f t="shared" si="6"/>
        <v>470</v>
      </c>
      <c r="M125" s="55">
        <f>VLOOKUP(G125,'[1]01-09 al 30-09'!$G:$AI,29,FALSE)</f>
        <v>223217</v>
      </c>
      <c r="N125" s="55">
        <f t="shared" si="7"/>
        <v>500</v>
      </c>
      <c r="O125" s="55">
        <f>VLOOKUP(G125,'[1]01-09 al 30-09'!$G:$AS,39,FALSE)</f>
        <v>223727</v>
      </c>
      <c r="P125" s="55">
        <f t="shared" si="8"/>
        <v>510</v>
      </c>
      <c r="Q125" s="55"/>
      <c r="R125" s="55"/>
      <c r="S125" s="90">
        <f t="shared" si="9"/>
        <v>1957</v>
      </c>
      <c r="T125" s="89">
        <v>46146</v>
      </c>
      <c r="U125" s="14"/>
      <c r="V125" s="105" t="s">
        <v>2375</v>
      </c>
      <c r="W125" s="105" t="s">
        <v>2228</v>
      </c>
    </row>
    <row r="126" spans="1:23" ht="13.5" customHeight="1" x14ac:dyDescent="0.25">
      <c r="A126" s="14" t="s">
        <v>939</v>
      </c>
      <c r="B126" s="14" t="s">
        <v>1020</v>
      </c>
      <c r="C126" s="22">
        <v>9530</v>
      </c>
      <c r="D126" s="14" t="s">
        <v>2097</v>
      </c>
      <c r="E126" s="15" t="s">
        <v>413</v>
      </c>
      <c r="F126" s="14" t="s">
        <v>1437</v>
      </c>
      <c r="G126" s="1" t="s">
        <v>350</v>
      </c>
      <c r="H126" s="55">
        <v>84030</v>
      </c>
      <c r="I126" s="55">
        <v>84516</v>
      </c>
      <c r="J126" s="55">
        <f t="shared" si="5"/>
        <v>486</v>
      </c>
      <c r="K126" s="55">
        <v>84830</v>
      </c>
      <c r="L126" s="55">
        <f t="shared" si="6"/>
        <v>314</v>
      </c>
      <c r="M126" s="55">
        <f>VLOOKUP(G126,'[1]01-09 al 30-09'!$G:$AI,29,FALSE)</f>
        <v>85297</v>
      </c>
      <c r="N126" s="55">
        <f t="shared" si="7"/>
        <v>467</v>
      </c>
      <c r="O126" s="55">
        <f>VLOOKUP(G126,'[1]01-09 al 30-09'!$G:$AS,39,FALSE)</f>
        <v>85892</v>
      </c>
      <c r="P126" s="55">
        <f t="shared" si="8"/>
        <v>595</v>
      </c>
      <c r="Q126" s="55"/>
      <c r="R126" s="55"/>
      <c r="S126" s="90">
        <f t="shared" si="9"/>
        <v>1862</v>
      </c>
      <c r="T126" s="89">
        <v>46146</v>
      </c>
      <c r="U126" s="14"/>
      <c r="V126" s="105" t="s">
        <v>2375</v>
      </c>
      <c r="W126" s="105" t="str">
        <f>VLOOKUP(C126,'Status oficina'!$A$2:$C$208,3,FALSE)</f>
        <v>Activa</v>
      </c>
    </row>
    <row r="127" spans="1:23" ht="13.5" customHeight="1" x14ac:dyDescent="0.25">
      <c r="A127" s="14" t="s">
        <v>2082</v>
      </c>
      <c r="B127" s="14" t="s">
        <v>513</v>
      </c>
      <c r="C127" s="22">
        <v>9429</v>
      </c>
      <c r="D127" s="14" t="s">
        <v>514</v>
      </c>
      <c r="E127" s="14" t="s">
        <v>413</v>
      </c>
      <c r="F127" s="14" t="s">
        <v>1133</v>
      </c>
      <c r="G127" s="14" t="s">
        <v>267</v>
      </c>
      <c r="H127" s="55">
        <v>121282</v>
      </c>
      <c r="I127" s="55">
        <v>121282</v>
      </c>
      <c r="J127" s="55">
        <f t="shared" si="5"/>
        <v>0</v>
      </c>
      <c r="K127" s="55">
        <v>121282</v>
      </c>
      <c r="L127" s="55">
        <f t="shared" si="6"/>
        <v>0</v>
      </c>
      <c r="M127" s="55">
        <f>VLOOKUP(G127,'[1]01-09 al 30-09'!$G:$AI,29,FALSE)</f>
        <v>121282</v>
      </c>
      <c r="N127" s="55">
        <f t="shared" si="7"/>
        <v>0</v>
      </c>
      <c r="O127" s="55">
        <f>VLOOKUP(G127,'[1]01-09 al 30-09'!$G:$AS,39,FALSE)</f>
        <v>121282</v>
      </c>
      <c r="P127" s="55">
        <f t="shared" si="8"/>
        <v>0</v>
      </c>
      <c r="Q127" s="55"/>
      <c r="R127" s="55"/>
      <c r="S127" s="90">
        <f t="shared" si="9"/>
        <v>0</v>
      </c>
      <c r="T127" s="89">
        <v>46146</v>
      </c>
      <c r="U127" s="14" t="s">
        <v>2393</v>
      </c>
      <c r="V127" s="105" t="s">
        <v>2374</v>
      </c>
      <c r="W127" s="105" t="s">
        <v>2231</v>
      </c>
    </row>
    <row r="128" spans="1:23" ht="13.5" customHeight="1" x14ac:dyDescent="0.25">
      <c r="A128" s="14" t="s">
        <v>939</v>
      </c>
      <c r="B128" s="14" t="s">
        <v>1003</v>
      </c>
      <c r="C128" s="120">
        <v>9536</v>
      </c>
      <c r="D128" s="54" t="s">
        <v>1006</v>
      </c>
      <c r="E128" s="54" t="s">
        <v>413</v>
      </c>
      <c r="F128" s="54" t="s">
        <v>1007</v>
      </c>
      <c r="G128" s="54" t="s">
        <v>398</v>
      </c>
      <c r="H128" s="55">
        <v>74005</v>
      </c>
      <c r="I128" s="55">
        <v>74096</v>
      </c>
      <c r="J128" s="55">
        <f t="shared" si="5"/>
        <v>91</v>
      </c>
      <c r="K128" s="55">
        <v>74241</v>
      </c>
      <c r="L128" s="55">
        <f t="shared" si="6"/>
        <v>145</v>
      </c>
      <c r="M128" s="55">
        <f>VLOOKUP(G128,'[1]01-09 al 30-09'!$G:$AI,29,FALSE)</f>
        <v>74511</v>
      </c>
      <c r="N128" s="55">
        <f t="shared" si="7"/>
        <v>270</v>
      </c>
      <c r="O128" s="55">
        <f>VLOOKUP(G128,'[1]01-09 al 30-09'!$G:$AS,39,FALSE)</f>
        <v>74709</v>
      </c>
      <c r="P128" s="55">
        <f t="shared" si="8"/>
        <v>198</v>
      </c>
      <c r="Q128" s="55"/>
      <c r="R128" s="55"/>
      <c r="S128" s="90">
        <f t="shared" si="9"/>
        <v>704</v>
      </c>
      <c r="T128" s="89">
        <v>46146</v>
      </c>
      <c r="U128" s="14"/>
      <c r="V128" s="105" t="s">
        <v>2375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2442</v>
      </c>
      <c r="B129" s="14" t="s">
        <v>2394</v>
      </c>
      <c r="C129" s="120">
        <v>9217</v>
      </c>
      <c r="D129" s="14" t="s">
        <v>1805</v>
      </c>
      <c r="E129" s="14" t="s">
        <v>413</v>
      </c>
      <c r="F129" s="14" t="s">
        <v>2170</v>
      </c>
      <c r="G129" s="14" t="s">
        <v>1487</v>
      </c>
      <c r="H129" s="55">
        <v>26298</v>
      </c>
      <c r="I129" s="55">
        <v>26531</v>
      </c>
      <c r="J129" s="55">
        <f t="shared" si="5"/>
        <v>233</v>
      </c>
      <c r="K129" s="55">
        <v>26745</v>
      </c>
      <c r="L129" s="55">
        <f t="shared" si="6"/>
        <v>214</v>
      </c>
      <c r="M129" s="55">
        <f>VLOOKUP(G129,'[1]01-09 al 30-09'!$G:$AI,29,FALSE)</f>
        <v>27167</v>
      </c>
      <c r="N129" s="55">
        <f t="shared" si="7"/>
        <v>422</v>
      </c>
      <c r="O129" s="55">
        <f>VLOOKUP(G129,'[1]01-09 al 30-09'!$G:$AS,39,FALSE)</f>
        <v>27696</v>
      </c>
      <c r="P129" s="55">
        <f t="shared" si="8"/>
        <v>529</v>
      </c>
      <c r="Q129" s="55"/>
      <c r="R129" s="55"/>
      <c r="S129" s="90">
        <f t="shared" si="9"/>
        <v>1398</v>
      </c>
      <c r="T129" s="89">
        <v>46146</v>
      </c>
      <c r="U129" s="14"/>
      <c r="V129" s="105" t="s">
        <v>2375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2082</v>
      </c>
      <c r="B130" s="14" t="s">
        <v>600</v>
      </c>
      <c r="C130" s="19">
        <v>9833</v>
      </c>
      <c r="D130" s="54" t="s">
        <v>604</v>
      </c>
      <c r="E130" s="54" t="s">
        <v>417</v>
      </c>
      <c r="F130" s="54" t="s">
        <v>1060</v>
      </c>
      <c r="G130" s="54" t="s">
        <v>304</v>
      </c>
      <c r="H130" s="55">
        <v>997045</v>
      </c>
      <c r="I130" s="55">
        <v>1001974</v>
      </c>
      <c r="J130" s="55">
        <f t="shared" si="5"/>
        <v>4929</v>
      </c>
      <c r="K130" s="55">
        <v>1006246</v>
      </c>
      <c r="L130" s="55">
        <f t="shared" si="6"/>
        <v>4272</v>
      </c>
      <c r="M130" s="55">
        <f>VLOOKUP(G130,'[1]01-09 al 30-09'!$G:$AI,29,FALSE)</f>
        <v>1009325</v>
      </c>
      <c r="N130" s="55">
        <f t="shared" si="7"/>
        <v>3079</v>
      </c>
      <c r="O130" s="55">
        <f>VLOOKUP(G130,'[1]01-09 al 30-09'!$G:$AS,39,FALSE)</f>
        <v>1012135</v>
      </c>
      <c r="P130" s="55">
        <f t="shared" si="8"/>
        <v>2810</v>
      </c>
      <c r="Q130" s="55"/>
      <c r="R130" s="55"/>
      <c r="S130" s="90">
        <f t="shared" si="9"/>
        <v>15090</v>
      </c>
      <c r="T130" s="89">
        <v>46146</v>
      </c>
      <c r="U130" s="14"/>
      <c r="V130" s="105" t="s">
        <v>2375</v>
      </c>
      <c r="W130" s="105" t="str">
        <f>VLOOKUP(C130,'Status oficina'!$A$2:$C$208,3,FALSE)</f>
        <v>Activa</v>
      </c>
    </row>
    <row r="131" spans="1:23" ht="13.5" customHeight="1" x14ac:dyDescent="0.25">
      <c r="A131" s="14" t="s">
        <v>2443</v>
      </c>
      <c r="B131" s="14" t="s">
        <v>780</v>
      </c>
      <c r="C131" s="19">
        <v>9282</v>
      </c>
      <c r="D131" s="14" t="s">
        <v>782</v>
      </c>
      <c r="E131" s="14" t="s">
        <v>417</v>
      </c>
      <c r="F131" s="14" t="s">
        <v>1222</v>
      </c>
      <c r="G131" s="14" t="s">
        <v>206</v>
      </c>
      <c r="H131" s="55">
        <v>451737</v>
      </c>
      <c r="I131" s="55">
        <v>453320</v>
      </c>
      <c r="J131" s="55">
        <f t="shared" ref="J131:J194" si="10">I131-H131</f>
        <v>1583</v>
      </c>
      <c r="K131" s="55">
        <v>455333</v>
      </c>
      <c r="L131" s="55">
        <f t="shared" ref="L131:L194" si="11">K131-I131</f>
        <v>2013</v>
      </c>
      <c r="M131" s="55">
        <f>VLOOKUP(G131,'[1]01-09 al 30-09'!$G:$AI,29,FALSE)</f>
        <v>456719</v>
      </c>
      <c r="N131" s="55">
        <f t="shared" ref="N131:N194" si="12">M131-K131</f>
        <v>1386</v>
      </c>
      <c r="O131" s="55">
        <f>VLOOKUP(G131,'[1]01-09 al 30-09'!$G:$AS,39,FALSE)</f>
        <v>458476</v>
      </c>
      <c r="P131" s="55">
        <f t="shared" ref="P131:P194" si="13">O131-M131</f>
        <v>1757</v>
      </c>
      <c r="Q131" s="55"/>
      <c r="R131" s="55"/>
      <c r="S131" s="90">
        <f t="shared" ref="S131:S194" si="14">R131+P131+N131+L131+J131</f>
        <v>6739</v>
      </c>
      <c r="T131" s="89">
        <v>46146</v>
      </c>
      <c r="U131" s="14"/>
      <c r="V131" s="105" t="s">
        <v>2375</v>
      </c>
      <c r="W131" s="105" t="str">
        <f>VLOOKUP(C131,'Status oficina'!$A$2:$C$208,3,FALSE)</f>
        <v>Activa</v>
      </c>
    </row>
    <row r="132" spans="1:23" ht="13.5" customHeight="1" x14ac:dyDescent="0.25">
      <c r="A132" s="53" t="s">
        <v>2442</v>
      </c>
      <c r="B132" s="14" t="s">
        <v>691</v>
      </c>
      <c r="C132" s="120">
        <v>9213</v>
      </c>
      <c r="D132" s="14" t="s">
        <v>692</v>
      </c>
      <c r="E132" s="14" t="s">
        <v>417</v>
      </c>
      <c r="F132" s="14" t="s">
        <v>1229</v>
      </c>
      <c r="G132" s="14" t="s">
        <v>85</v>
      </c>
      <c r="H132" s="55">
        <v>698584</v>
      </c>
      <c r="I132" s="55">
        <v>700033</v>
      </c>
      <c r="J132" s="55">
        <f t="shared" si="10"/>
        <v>1449</v>
      </c>
      <c r="K132" s="55">
        <v>701215</v>
      </c>
      <c r="L132" s="55">
        <f t="shared" si="11"/>
        <v>1182</v>
      </c>
      <c r="M132" s="55">
        <f>VLOOKUP(G132,'[1]01-09 al 30-09'!$G:$AI,29,FALSE)</f>
        <v>702403</v>
      </c>
      <c r="N132" s="55">
        <f t="shared" si="12"/>
        <v>1188</v>
      </c>
      <c r="O132" s="55">
        <f>VLOOKUP(G132,'[1]01-09 al 30-09'!$G:$AS,39,FALSE)</f>
        <v>703888</v>
      </c>
      <c r="P132" s="55">
        <f t="shared" si="13"/>
        <v>1485</v>
      </c>
      <c r="Q132" s="55"/>
      <c r="R132" s="55"/>
      <c r="S132" s="90">
        <f t="shared" si="14"/>
        <v>5304</v>
      </c>
      <c r="T132" s="89">
        <v>46146</v>
      </c>
      <c r="U132" s="14"/>
      <c r="V132" s="105" t="s">
        <v>2375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2443</v>
      </c>
      <c r="B133" s="14" t="s">
        <v>661</v>
      </c>
      <c r="C133" s="19">
        <v>9234</v>
      </c>
      <c r="D133" s="14" t="s">
        <v>663</v>
      </c>
      <c r="E133" s="14" t="s">
        <v>417</v>
      </c>
      <c r="F133" s="14" t="s">
        <v>1212</v>
      </c>
      <c r="G133" s="14" t="s">
        <v>275</v>
      </c>
      <c r="H133" s="55">
        <v>653515</v>
      </c>
      <c r="I133" s="55">
        <v>653515</v>
      </c>
      <c r="J133" s="55">
        <f t="shared" si="10"/>
        <v>0</v>
      </c>
      <c r="K133" s="55">
        <v>653515</v>
      </c>
      <c r="L133" s="55">
        <f t="shared" si="11"/>
        <v>0</v>
      </c>
      <c r="M133" s="55">
        <f>VLOOKUP(G133,'[1]01-09 al 30-09'!$G:$AI,29,FALSE)</f>
        <v>653515</v>
      </c>
      <c r="N133" s="55">
        <f t="shared" si="12"/>
        <v>0</v>
      </c>
      <c r="O133" s="55">
        <f>VLOOKUP(G133,'[1]01-09 al 30-09'!$G:$AS,39,FALSE)</f>
        <v>653515</v>
      </c>
      <c r="P133" s="55">
        <f t="shared" si="13"/>
        <v>0</v>
      </c>
      <c r="Q133" s="55"/>
      <c r="R133" s="55"/>
      <c r="S133" s="90">
        <f t="shared" si="14"/>
        <v>0</v>
      </c>
      <c r="T133" s="89">
        <v>46146</v>
      </c>
      <c r="U133" s="14"/>
      <c r="V133" s="105" t="s">
        <v>2477</v>
      </c>
      <c r="W133" s="105" t="str">
        <f>VLOOKUP(C133,'Status oficina'!$A$2:$C$208,3,FALSE)</f>
        <v>Cierre temporal</v>
      </c>
    </row>
    <row r="134" spans="1:23" ht="13.5" customHeight="1" x14ac:dyDescent="0.25">
      <c r="A134" s="14" t="s">
        <v>2443</v>
      </c>
      <c r="B134" s="14" t="s">
        <v>677</v>
      </c>
      <c r="C134" s="120">
        <v>9259</v>
      </c>
      <c r="D134" s="14" t="s">
        <v>678</v>
      </c>
      <c r="E134" s="14" t="s">
        <v>417</v>
      </c>
      <c r="F134" s="14" t="s">
        <v>1221</v>
      </c>
      <c r="G134" s="14" t="s">
        <v>33</v>
      </c>
      <c r="H134" s="55">
        <v>828645</v>
      </c>
      <c r="I134" s="55">
        <v>829468</v>
      </c>
      <c r="J134" s="55">
        <f t="shared" si="10"/>
        <v>823</v>
      </c>
      <c r="K134" s="55">
        <v>830225</v>
      </c>
      <c r="L134" s="55">
        <f t="shared" si="11"/>
        <v>757</v>
      </c>
      <c r="M134" s="55">
        <f>VLOOKUP(G134,'[1]01-09 al 30-09'!$G:$AI,29,FALSE)</f>
        <v>830962</v>
      </c>
      <c r="N134" s="55">
        <f t="shared" si="12"/>
        <v>737</v>
      </c>
      <c r="O134" s="55">
        <f>VLOOKUP(G134,'[1]01-09 al 30-09'!$G:$AS,39,FALSE)</f>
        <v>831766</v>
      </c>
      <c r="P134" s="55">
        <f t="shared" si="13"/>
        <v>804</v>
      </c>
      <c r="Q134" s="55"/>
      <c r="R134" s="55"/>
      <c r="S134" s="90">
        <f t="shared" si="14"/>
        <v>3121</v>
      </c>
      <c r="T134" s="89">
        <v>46146</v>
      </c>
      <c r="U134" s="14"/>
      <c r="V134" s="105" t="s">
        <v>2375</v>
      </c>
      <c r="W134" s="105" t="str">
        <f>VLOOKUP(C134,'Status oficina'!$A$2:$C$208,3,FALSE)</f>
        <v>Activa</v>
      </c>
    </row>
    <row r="135" spans="1:23" ht="13.5" customHeight="1" x14ac:dyDescent="0.25">
      <c r="A135" s="14" t="s">
        <v>2082</v>
      </c>
      <c r="B135" s="14" t="s">
        <v>611</v>
      </c>
      <c r="C135" s="19">
        <v>9445</v>
      </c>
      <c r="D135" s="14" t="s">
        <v>612</v>
      </c>
      <c r="E135" s="14" t="s">
        <v>417</v>
      </c>
      <c r="F135" s="14" t="s">
        <v>1184</v>
      </c>
      <c r="G135" s="14" t="s">
        <v>106</v>
      </c>
      <c r="H135" s="55">
        <v>359792</v>
      </c>
      <c r="I135" s="55">
        <v>359792</v>
      </c>
      <c r="J135" s="55">
        <f t="shared" si="10"/>
        <v>0</v>
      </c>
      <c r="K135" s="55">
        <v>359792</v>
      </c>
      <c r="L135" s="55">
        <f t="shared" si="11"/>
        <v>0</v>
      </c>
      <c r="M135" s="55">
        <f>VLOOKUP(G135,'[1]01-09 al 30-09'!$G:$AI,29,FALSE)</f>
        <v>359792</v>
      </c>
      <c r="N135" s="55">
        <f t="shared" si="12"/>
        <v>0</v>
      </c>
      <c r="O135" s="55">
        <f>VLOOKUP(G135,'[1]01-09 al 30-09'!$G:$AS,39,FALSE)</f>
        <v>359792</v>
      </c>
      <c r="P135" s="55">
        <f t="shared" si="13"/>
        <v>0</v>
      </c>
      <c r="Q135" s="55"/>
      <c r="R135" s="55"/>
      <c r="S135" s="90">
        <f t="shared" si="14"/>
        <v>0</v>
      </c>
      <c r="T135" s="89">
        <v>46146</v>
      </c>
      <c r="U135" s="14"/>
      <c r="V135" s="105" t="s">
        <v>2231</v>
      </c>
      <c r="W135" s="105" t="str">
        <f>VLOOKUP(C135,'Status oficina'!$A$2:$C$208,3,FALSE)</f>
        <v>Cierre temporal</v>
      </c>
    </row>
    <row r="136" spans="1:23" ht="13.5" customHeight="1" x14ac:dyDescent="0.25">
      <c r="A136" s="53" t="s">
        <v>2442</v>
      </c>
      <c r="B136" s="14" t="s">
        <v>639</v>
      </c>
      <c r="C136" s="19">
        <v>9214</v>
      </c>
      <c r="D136" s="14" t="s">
        <v>640</v>
      </c>
      <c r="E136" s="14" t="s">
        <v>417</v>
      </c>
      <c r="F136" s="10" t="s">
        <v>1199</v>
      </c>
      <c r="G136" s="14" t="s">
        <v>41</v>
      </c>
      <c r="H136" s="55">
        <v>660404</v>
      </c>
      <c r="I136" s="55">
        <v>660404</v>
      </c>
      <c r="J136" s="55">
        <f t="shared" si="10"/>
        <v>0</v>
      </c>
      <c r="K136" s="55">
        <v>660404</v>
      </c>
      <c r="L136" s="55">
        <f t="shared" si="11"/>
        <v>0</v>
      </c>
      <c r="M136" s="55">
        <f>VLOOKUP(G136,'[1]01-09 al 30-09'!$G:$AI,29,FALSE)</f>
        <v>660404</v>
      </c>
      <c r="N136" s="55">
        <f t="shared" si="12"/>
        <v>0</v>
      </c>
      <c r="O136" s="55">
        <f>VLOOKUP(G136,'[1]01-09 al 30-09'!$G:$AS,39,FALSE)</f>
        <v>660404</v>
      </c>
      <c r="P136" s="55">
        <f t="shared" si="13"/>
        <v>0</v>
      </c>
      <c r="Q136" s="55"/>
      <c r="R136" s="55"/>
      <c r="S136" s="90">
        <f t="shared" si="14"/>
        <v>0</v>
      </c>
      <c r="T136" s="89">
        <v>46146</v>
      </c>
      <c r="U136" s="14"/>
      <c r="V136" s="105" t="s">
        <v>2231</v>
      </c>
      <c r="W136" s="105" t="s">
        <v>2231</v>
      </c>
    </row>
    <row r="137" spans="1:23" ht="13.5" customHeight="1" x14ac:dyDescent="0.25">
      <c r="A137" s="53" t="s">
        <v>868</v>
      </c>
      <c r="B137" s="53" t="s">
        <v>432</v>
      </c>
      <c r="C137" s="120">
        <v>9822</v>
      </c>
      <c r="D137" s="14" t="s">
        <v>440</v>
      </c>
      <c r="E137" s="14" t="s">
        <v>417</v>
      </c>
      <c r="F137" s="14" t="s">
        <v>1080</v>
      </c>
      <c r="G137" s="14" t="s">
        <v>384</v>
      </c>
      <c r="H137" s="55">
        <v>806016</v>
      </c>
      <c r="I137" s="55">
        <v>807542</v>
      </c>
      <c r="J137" s="55">
        <f t="shared" si="10"/>
        <v>1526</v>
      </c>
      <c r="K137" s="55">
        <v>809500</v>
      </c>
      <c r="L137" s="55">
        <f t="shared" si="11"/>
        <v>1958</v>
      </c>
      <c r="M137" s="55">
        <f>VLOOKUP(G137,'[1]01-09 al 30-09'!$G:$AI,29,FALSE)</f>
        <v>811496</v>
      </c>
      <c r="N137" s="55">
        <f t="shared" si="12"/>
        <v>1996</v>
      </c>
      <c r="O137" s="55">
        <f>VLOOKUP(G137,'[1]01-09 al 30-09'!$G:$AS,39,FALSE)</f>
        <v>813306</v>
      </c>
      <c r="P137" s="55">
        <f t="shared" si="13"/>
        <v>1810</v>
      </c>
      <c r="Q137" s="55"/>
      <c r="R137" s="55"/>
      <c r="S137" s="90">
        <f t="shared" si="14"/>
        <v>7290</v>
      </c>
      <c r="T137" s="89">
        <v>46146</v>
      </c>
      <c r="U137" s="14"/>
      <c r="V137" s="105" t="s">
        <v>2375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2442</v>
      </c>
      <c r="B138" s="14" t="s">
        <v>645</v>
      </c>
      <c r="C138" s="19">
        <v>9272</v>
      </c>
      <c r="D138" s="14" t="s">
        <v>647</v>
      </c>
      <c r="E138" s="14" t="s">
        <v>417</v>
      </c>
      <c r="F138" s="14" t="s">
        <v>1204</v>
      </c>
      <c r="G138" s="14" t="s">
        <v>200</v>
      </c>
      <c r="H138" s="55">
        <v>710116</v>
      </c>
      <c r="I138" s="55">
        <v>710742</v>
      </c>
      <c r="J138" s="55">
        <f t="shared" si="10"/>
        <v>626</v>
      </c>
      <c r="K138" s="55">
        <v>711498</v>
      </c>
      <c r="L138" s="55">
        <f t="shared" si="11"/>
        <v>756</v>
      </c>
      <c r="M138" s="55">
        <f>VLOOKUP(G138,'[1]01-09 al 30-09'!$G:$AI,29,FALSE)</f>
        <v>712040</v>
      </c>
      <c r="N138" s="55">
        <f t="shared" si="12"/>
        <v>542</v>
      </c>
      <c r="O138" s="55">
        <f>VLOOKUP(G138,'[1]01-09 al 30-09'!$G:$AS,39,FALSE)</f>
        <v>712813</v>
      </c>
      <c r="P138" s="55">
        <f t="shared" si="13"/>
        <v>773</v>
      </c>
      <c r="Q138" s="55"/>
      <c r="R138" s="55"/>
      <c r="S138" s="90">
        <f t="shared" si="14"/>
        <v>2697</v>
      </c>
      <c r="T138" s="89">
        <v>46146</v>
      </c>
      <c r="U138" s="14"/>
      <c r="V138" s="105" t="s">
        <v>2375</v>
      </c>
      <c r="W138" s="105" t="str">
        <f>VLOOKUP(C138,'Status oficina'!$A$2:$C$208,3,FALSE)</f>
        <v>Activa</v>
      </c>
    </row>
    <row r="139" spans="1:23" ht="13.5" customHeight="1" x14ac:dyDescent="0.25">
      <c r="A139" s="14" t="s">
        <v>2443</v>
      </c>
      <c r="B139" s="14" t="s">
        <v>700</v>
      </c>
      <c r="C139" s="120">
        <v>9936</v>
      </c>
      <c r="D139" s="14" t="s">
        <v>701</v>
      </c>
      <c r="E139" s="14" t="s">
        <v>417</v>
      </c>
      <c r="F139" s="14" t="s">
        <v>1235</v>
      </c>
      <c r="G139" s="14" t="s">
        <v>169</v>
      </c>
      <c r="H139" s="55">
        <v>74858</v>
      </c>
      <c r="I139" s="55">
        <v>75063</v>
      </c>
      <c r="J139" s="55">
        <f t="shared" si="10"/>
        <v>205</v>
      </c>
      <c r="K139" s="55">
        <v>75155</v>
      </c>
      <c r="L139" s="55">
        <f t="shared" si="11"/>
        <v>92</v>
      </c>
      <c r="M139" s="55">
        <f>VLOOKUP(G139,'[1]01-09 al 30-09'!$G:$AI,29,FALSE)</f>
        <v>75214</v>
      </c>
      <c r="N139" s="55">
        <f t="shared" si="12"/>
        <v>59</v>
      </c>
      <c r="O139" s="55">
        <f>VLOOKUP(G139,'[1]01-09 al 30-09'!$G:$AS,39,FALSE)</f>
        <v>75280</v>
      </c>
      <c r="P139" s="55">
        <f t="shared" si="13"/>
        <v>66</v>
      </c>
      <c r="Q139" s="55"/>
      <c r="R139" s="55"/>
      <c r="S139" s="90">
        <f t="shared" si="14"/>
        <v>422</v>
      </c>
      <c r="T139" s="89">
        <v>46146</v>
      </c>
      <c r="U139" s="14"/>
      <c r="V139" s="108" t="s">
        <v>2375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868</v>
      </c>
      <c r="B140" s="53" t="s">
        <v>426</v>
      </c>
      <c r="C140" s="120">
        <v>9836</v>
      </c>
      <c r="D140" s="14" t="s">
        <v>427</v>
      </c>
      <c r="E140" s="14" t="s">
        <v>417</v>
      </c>
      <c r="F140" s="14" t="s">
        <v>1071</v>
      </c>
      <c r="G140" s="14" t="s">
        <v>47</v>
      </c>
      <c r="H140" s="55">
        <v>854993</v>
      </c>
      <c r="I140" s="55">
        <v>856431</v>
      </c>
      <c r="J140" s="55">
        <f t="shared" si="10"/>
        <v>1438</v>
      </c>
      <c r="K140" s="55">
        <v>857603</v>
      </c>
      <c r="L140" s="55">
        <f t="shared" si="11"/>
        <v>1172</v>
      </c>
      <c r="M140" s="55">
        <f>VLOOKUP(G140,'[1]01-09 al 30-09'!$G:$AI,29,FALSE)</f>
        <v>858955</v>
      </c>
      <c r="N140" s="55">
        <f t="shared" si="12"/>
        <v>1352</v>
      </c>
      <c r="O140" s="55">
        <f>VLOOKUP(G140,'[1]01-09 al 30-09'!$G:$AS,39,FALSE)</f>
        <v>860174</v>
      </c>
      <c r="P140" s="55">
        <f t="shared" si="13"/>
        <v>1219</v>
      </c>
      <c r="Q140" s="55"/>
      <c r="R140" s="55"/>
      <c r="S140" s="90">
        <f t="shared" si="14"/>
        <v>5181</v>
      </c>
      <c r="T140" s="89">
        <v>46146</v>
      </c>
      <c r="U140" s="14"/>
      <c r="V140" s="105" t="s">
        <v>2375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2443</v>
      </c>
      <c r="B141" s="14" t="s">
        <v>667</v>
      </c>
      <c r="C141" s="19">
        <v>9224</v>
      </c>
      <c r="D141" s="14" t="s">
        <v>668</v>
      </c>
      <c r="E141" s="14" t="s">
        <v>417</v>
      </c>
      <c r="F141" s="14" t="s">
        <v>1214</v>
      </c>
      <c r="G141" s="14" t="s">
        <v>29</v>
      </c>
      <c r="H141" s="55">
        <v>519583</v>
      </c>
      <c r="I141" s="55">
        <v>519616</v>
      </c>
      <c r="J141" s="55">
        <f t="shared" si="10"/>
        <v>33</v>
      </c>
      <c r="K141" s="55">
        <v>519821</v>
      </c>
      <c r="L141" s="55">
        <f t="shared" si="11"/>
        <v>205</v>
      </c>
      <c r="M141" s="55">
        <f>VLOOKUP(G141,'[1]01-09 al 30-09'!$G:$AI,29,FALSE)</f>
        <v>519874</v>
      </c>
      <c r="N141" s="55">
        <f t="shared" si="12"/>
        <v>53</v>
      </c>
      <c r="O141" s="55">
        <f>VLOOKUP(G141,'[1]01-09 al 30-09'!$G:$AS,39,FALSE)</f>
        <v>519929</v>
      </c>
      <c r="P141" s="55">
        <f t="shared" si="13"/>
        <v>55</v>
      </c>
      <c r="Q141" s="55"/>
      <c r="R141" s="55"/>
      <c r="S141" s="90">
        <f t="shared" si="14"/>
        <v>346</v>
      </c>
      <c r="T141" s="89">
        <v>46146</v>
      </c>
      <c r="U141" s="14"/>
      <c r="V141" s="105" t="s">
        <v>2375</v>
      </c>
      <c r="W141" s="105" t="str">
        <f>VLOOKUP(C141,'Status oficina'!$A$2:$C$208,3,FALSE)</f>
        <v>Activa</v>
      </c>
    </row>
    <row r="142" spans="1:23" ht="13.5" customHeight="1" x14ac:dyDescent="0.25">
      <c r="A142" s="53" t="s">
        <v>2442</v>
      </c>
      <c r="B142" s="14" t="s">
        <v>698</v>
      </c>
      <c r="C142" s="120">
        <v>9232</v>
      </c>
      <c r="D142" s="14" t="s">
        <v>699</v>
      </c>
      <c r="E142" s="14" t="s">
        <v>417</v>
      </c>
      <c r="F142" s="14" t="s">
        <v>1233</v>
      </c>
      <c r="G142" s="14" t="s">
        <v>60</v>
      </c>
      <c r="H142" s="55">
        <v>882400</v>
      </c>
      <c r="I142" s="55">
        <v>883422</v>
      </c>
      <c r="J142" s="55">
        <f t="shared" si="10"/>
        <v>1022</v>
      </c>
      <c r="K142" s="55">
        <v>884223</v>
      </c>
      <c r="L142" s="55">
        <f t="shared" si="11"/>
        <v>801</v>
      </c>
      <c r="M142" s="55">
        <f>VLOOKUP(G142,'[1]01-09 al 30-09'!$G:$AI,29,FALSE)</f>
        <v>885145</v>
      </c>
      <c r="N142" s="55">
        <f t="shared" si="12"/>
        <v>922</v>
      </c>
      <c r="O142" s="55">
        <f>VLOOKUP(G142,'[1]01-09 al 30-09'!$G:$AS,39,FALSE)</f>
        <v>886065</v>
      </c>
      <c r="P142" s="55">
        <f t="shared" si="13"/>
        <v>920</v>
      </c>
      <c r="Q142" s="55"/>
      <c r="R142" s="55"/>
      <c r="S142" s="90">
        <f t="shared" si="14"/>
        <v>3665</v>
      </c>
      <c r="T142" s="89">
        <v>46146</v>
      </c>
      <c r="U142" s="14"/>
      <c r="V142" s="105" t="s">
        <v>2375</v>
      </c>
      <c r="W142" s="105" t="str">
        <f>VLOOKUP(C142,'Status oficina'!$A$2:$C$208,3,FALSE)</f>
        <v>Activa</v>
      </c>
    </row>
    <row r="143" spans="1:23" ht="13.5" customHeight="1" x14ac:dyDescent="0.25">
      <c r="A143" s="14" t="s">
        <v>2082</v>
      </c>
      <c r="B143" s="14" t="s">
        <v>494</v>
      </c>
      <c r="C143" s="122">
        <v>9469</v>
      </c>
      <c r="D143" s="14" t="s">
        <v>495</v>
      </c>
      <c r="E143" s="14" t="s">
        <v>417</v>
      </c>
      <c r="F143" s="14" t="s">
        <v>1117</v>
      </c>
      <c r="G143" s="14" t="s">
        <v>213</v>
      </c>
      <c r="H143" s="55">
        <v>413411</v>
      </c>
      <c r="I143" s="55">
        <v>413411</v>
      </c>
      <c r="J143" s="55">
        <f t="shared" si="10"/>
        <v>0</v>
      </c>
      <c r="K143" s="55">
        <v>413411</v>
      </c>
      <c r="L143" s="55">
        <f t="shared" si="11"/>
        <v>0</v>
      </c>
      <c r="M143" s="55">
        <f>VLOOKUP(G143,'[1]01-09 al 30-09'!$G:$AI,29,FALSE)</f>
        <v>413411</v>
      </c>
      <c r="N143" s="55">
        <f t="shared" si="12"/>
        <v>0</v>
      </c>
      <c r="O143" s="55">
        <f>VLOOKUP(G143,'[1]01-09 al 30-09'!$G:$AS,39,FALSE)</f>
        <v>413411</v>
      </c>
      <c r="P143" s="55">
        <f t="shared" si="13"/>
        <v>0</v>
      </c>
      <c r="Q143" s="55"/>
      <c r="R143" s="55"/>
      <c r="S143" s="90">
        <f t="shared" si="14"/>
        <v>0</v>
      </c>
      <c r="T143" s="89">
        <v>46146</v>
      </c>
      <c r="U143" s="14" t="s">
        <v>2446</v>
      </c>
      <c r="V143" s="105" t="s">
        <v>2450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2082</v>
      </c>
      <c r="B144" s="14" t="s">
        <v>494</v>
      </c>
      <c r="C144" s="122">
        <v>9469</v>
      </c>
      <c r="D144" s="14" t="s">
        <v>2118</v>
      </c>
      <c r="E144" s="14" t="s">
        <v>413</v>
      </c>
      <c r="F144" s="14" t="s">
        <v>1116</v>
      </c>
      <c r="G144" s="14" t="s">
        <v>133</v>
      </c>
      <c r="H144" s="55">
        <v>135454</v>
      </c>
      <c r="I144" s="55">
        <v>135454</v>
      </c>
      <c r="J144" s="55">
        <f t="shared" si="10"/>
        <v>0</v>
      </c>
      <c r="K144" s="55">
        <v>135454</v>
      </c>
      <c r="L144" s="55">
        <f t="shared" si="11"/>
        <v>0</v>
      </c>
      <c r="M144" s="55">
        <f>VLOOKUP(G144,'[1]01-09 al 30-09'!$G:$AI,29,FALSE)</f>
        <v>135454</v>
      </c>
      <c r="N144" s="55">
        <f t="shared" si="12"/>
        <v>0</v>
      </c>
      <c r="O144" s="55">
        <f>VLOOKUP(G144,'[1]01-09 al 30-09'!$G:$AS,39,FALSE)</f>
        <v>135454</v>
      </c>
      <c r="P144" s="55">
        <f t="shared" si="13"/>
        <v>0</v>
      </c>
      <c r="Q144" s="55"/>
      <c r="R144" s="55"/>
      <c r="S144" s="90">
        <f t="shared" si="14"/>
        <v>0</v>
      </c>
      <c r="T144" s="89">
        <v>46146</v>
      </c>
      <c r="U144" s="14" t="s">
        <v>2446</v>
      </c>
      <c r="V144" s="105" t="s">
        <v>2450</v>
      </c>
      <c r="W144" s="105" t="str">
        <f>VLOOKUP(C144,'Status oficina'!$A$2:$C$208,3,FALSE)</f>
        <v>Cierre definitivo</v>
      </c>
    </row>
    <row r="145" spans="1:23" ht="13.5" customHeight="1" x14ac:dyDescent="0.25">
      <c r="A145" s="14" t="s">
        <v>939</v>
      </c>
      <c r="B145" s="14" t="s">
        <v>1020</v>
      </c>
      <c r="C145" s="123">
        <v>9530</v>
      </c>
      <c r="D145" s="14" t="s">
        <v>1021</v>
      </c>
      <c r="E145" s="14" t="s">
        <v>417</v>
      </c>
      <c r="F145" s="14" t="s">
        <v>1439</v>
      </c>
      <c r="G145" s="14" t="s">
        <v>212</v>
      </c>
      <c r="H145" s="55">
        <v>896230</v>
      </c>
      <c r="I145" s="55">
        <v>898838</v>
      </c>
      <c r="J145" s="55">
        <f t="shared" si="10"/>
        <v>2608</v>
      </c>
      <c r="K145" s="55">
        <v>901070</v>
      </c>
      <c r="L145" s="55">
        <f t="shared" si="11"/>
        <v>2232</v>
      </c>
      <c r="M145" s="55">
        <f>VLOOKUP(G145,'[1]01-09 al 30-09'!$G:$AI,29,FALSE)</f>
        <v>902979</v>
      </c>
      <c r="N145" s="55">
        <f t="shared" si="12"/>
        <v>1909</v>
      </c>
      <c r="O145" s="55">
        <f>VLOOKUP(G145,'[1]01-09 al 30-09'!$G:$AS,39,FALSE)</f>
        <v>905184</v>
      </c>
      <c r="P145" s="55">
        <f t="shared" si="13"/>
        <v>2205</v>
      </c>
      <c r="Q145" s="55"/>
      <c r="R145" s="55"/>
      <c r="S145" s="90">
        <f t="shared" si="14"/>
        <v>8954</v>
      </c>
      <c r="T145" s="89">
        <v>46146</v>
      </c>
      <c r="U145" s="14"/>
      <c r="V145" s="105" t="s">
        <v>2375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2443</v>
      </c>
      <c r="B146" s="14" t="s">
        <v>661</v>
      </c>
      <c r="C146" s="19">
        <v>9234</v>
      </c>
      <c r="D146" s="14" t="s">
        <v>662</v>
      </c>
      <c r="E146" s="14" t="s">
        <v>417</v>
      </c>
      <c r="F146" s="14" t="s">
        <v>1211</v>
      </c>
      <c r="G146" s="14" t="s">
        <v>61</v>
      </c>
      <c r="H146" s="55">
        <v>294167</v>
      </c>
      <c r="I146" s="55">
        <v>294167</v>
      </c>
      <c r="J146" s="55">
        <f t="shared" si="10"/>
        <v>0</v>
      </c>
      <c r="K146" s="55">
        <v>294167</v>
      </c>
      <c r="L146" s="55">
        <f t="shared" si="11"/>
        <v>0</v>
      </c>
      <c r="M146" s="55">
        <f>VLOOKUP(G146,'[1]01-09 al 30-09'!$G:$AI,29,FALSE)</f>
        <v>294167</v>
      </c>
      <c r="N146" s="55">
        <f t="shared" si="12"/>
        <v>0</v>
      </c>
      <c r="O146" s="55">
        <f>VLOOKUP(G146,'[1]01-09 al 30-09'!$G:$AS,39,FALSE)</f>
        <v>294167</v>
      </c>
      <c r="P146" s="55">
        <f t="shared" si="13"/>
        <v>0</v>
      </c>
      <c r="Q146" s="55"/>
      <c r="R146" s="55"/>
      <c r="S146" s="90">
        <f t="shared" si="14"/>
        <v>0</v>
      </c>
      <c r="T146" s="89">
        <v>46146</v>
      </c>
      <c r="U146" s="14"/>
      <c r="V146" s="105" t="s">
        <v>2231</v>
      </c>
      <c r="W146" s="105" t="str">
        <f>VLOOKUP(C146,'Status oficina'!$A$2:$C$208,3,FALSE)</f>
        <v>Cierre temporal</v>
      </c>
    </row>
    <row r="147" spans="1:23" ht="13.5" customHeight="1" x14ac:dyDescent="0.25">
      <c r="A147" s="53" t="s">
        <v>868</v>
      </c>
      <c r="B147" s="53" t="s">
        <v>431</v>
      </c>
      <c r="C147" s="122">
        <v>9892</v>
      </c>
      <c r="D147" s="14" t="s">
        <v>438</v>
      </c>
      <c r="E147" s="14" t="s">
        <v>417</v>
      </c>
      <c r="F147" s="14" t="s">
        <v>1078</v>
      </c>
      <c r="G147" s="14" t="s">
        <v>387</v>
      </c>
      <c r="H147" s="55">
        <v>843094</v>
      </c>
      <c r="I147" s="55">
        <v>843942</v>
      </c>
      <c r="J147" s="55">
        <f t="shared" si="10"/>
        <v>848</v>
      </c>
      <c r="K147" s="55">
        <v>845030</v>
      </c>
      <c r="L147" s="55">
        <f t="shared" si="11"/>
        <v>1088</v>
      </c>
      <c r="M147" s="55">
        <f>VLOOKUP(G147,'[1]01-09 al 30-09'!$G:$AI,29,FALSE)</f>
        <v>845703</v>
      </c>
      <c r="N147" s="55">
        <f t="shared" si="12"/>
        <v>673</v>
      </c>
      <c r="O147" s="55">
        <f>VLOOKUP(G147,'[1]01-09 al 30-09'!$G:$AS,39,FALSE)</f>
        <v>846570</v>
      </c>
      <c r="P147" s="55">
        <f t="shared" si="13"/>
        <v>867</v>
      </c>
      <c r="Q147" s="55"/>
      <c r="R147" s="55"/>
      <c r="S147" s="90">
        <f t="shared" si="14"/>
        <v>3476</v>
      </c>
      <c r="T147" s="89">
        <v>46146</v>
      </c>
      <c r="U147" s="14"/>
      <c r="V147" s="105" t="s">
        <v>2375</v>
      </c>
      <c r="W147" s="105" t="str">
        <f>VLOOKUP(C147,'Status oficina'!$A$2:$C$208,3,FALSE)</f>
        <v>Activa</v>
      </c>
    </row>
    <row r="148" spans="1:23" ht="13.5" customHeight="1" x14ac:dyDescent="0.25">
      <c r="A148" s="14" t="s">
        <v>2082</v>
      </c>
      <c r="B148" s="14" t="s">
        <v>509</v>
      </c>
      <c r="C148" s="22">
        <v>9467</v>
      </c>
      <c r="D148" s="14" t="s">
        <v>2493</v>
      </c>
      <c r="E148" s="15" t="s">
        <v>417</v>
      </c>
      <c r="F148" s="14" t="s">
        <v>1129</v>
      </c>
      <c r="G148" s="1" t="s">
        <v>348</v>
      </c>
      <c r="H148" s="55">
        <v>496522</v>
      </c>
      <c r="I148" s="55">
        <v>497404</v>
      </c>
      <c r="J148" s="55">
        <f t="shared" si="10"/>
        <v>882</v>
      </c>
      <c r="K148" s="55">
        <v>498342</v>
      </c>
      <c r="L148" s="55">
        <f t="shared" si="11"/>
        <v>938</v>
      </c>
      <c r="M148" s="55">
        <f>VLOOKUP(G148,'[1]01-09 al 30-09'!$G:$AI,29,FALSE)</f>
        <v>499037</v>
      </c>
      <c r="N148" s="55">
        <f t="shared" si="12"/>
        <v>695</v>
      </c>
      <c r="O148" s="55">
        <f>VLOOKUP(G148,'[1]01-09 al 30-09'!$G:$AS,39,FALSE)</f>
        <v>499904</v>
      </c>
      <c r="P148" s="55">
        <f t="shared" si="13"/>
        <v>867</v>
      </c>
      <c r="Q148" s="55"/>
      <c r="R148" s="55"/>
      <c r="S148" s="90">
        <f t="shared" si="14"/>
        <v>3382</v>
      </c>
      <c r="T148" s="89">
        <v>46146</v>
      </c>
      <c r="U148" s="14"/>
      <c r="V148" s="105" t="s">
        <v>2375</v>
      </c>
      <c r="W148" s="105" t="str">
        <f>VLOOKUP(C148,'Status oficina'!$A$2:$C$208,3,FALSE)</f>
        <v>Activa</v>
      </c>
    </row>
    <row r="149" spans="1:23" ht="13.5" customHeight="1" x14ac:dyDescent="0.25">
      <c r="A149" s="53" t="s">
        <v>2442</v>
      </c>
      <c r="B149" s="14" t="s">
        <v>653</v>
      </c>
      <c r="C149" s="19">
        <v>9203</v>
      </c>
      <c r="D149" s="14" t="s">
        <v>654</v>
      </c>
      <c r="E149" s="14" t="s">
        <v>417</v>
      </c>
      <c r="F149" s="14" t="s">
        <v>1208</v>
      </c>
      <c r="G149" s="14" t="s">
        <v>124</v>
      </c>
      <c r="H149" s="55">
        <v>590138</v>
      </c>
      <c r="I149" s="55">
        <v>590138</v>
      </c>
      <c r="J149" s="55">
        <f t="shared" si="10"/>
        <v>0</v>
      </c>
      <c r="K149" s="55">
        <v>590138</v>
      </c>
      <c r="L149" s="55">
        <f t="shared" si="11"/>
        <v>0</v>
      </c>
      <c r="M149" s="55">
        <v>590138</v>
      </c>
      <c r="N149" s="55">
        <f t="shared" si="12"/>
        <v>0</v>
      </c>
      <c r="O149" s="55">
        <v>590138</v>
      </c>
      <c r="P149" s="55">
        <f t="shared" si="13"/>
        <v>0</v>
      </c>
      <c r="Q149" s="55"/>
      <c r="R149" s="55"/>
      <c r="S149" s="90">
        <f t="shared" si="14"/>
        <v>0</v>
      </c>
      <c r="T149" s="89">
        <v>46146</v>
      </c>
      <c r="U149" s="14" t="s">
        <v>2472</v>
      </c>
      <c r="V149" s="105" t="s">
        <v>2238</v>
      </c>
      <c r="W149" s="105" t="s">
        <v>2238</v>
      </c>
    </row>
    <row r="150" spans="1:23" ht="13.5" customHeight="1" x14ac:dyDescent="0.25">
      <c r="A150" s="14" t="s">
        <v>2082</v>
      </c>
      <c r="B150" s="14" t="s">
        <v>483</v>
      </c>
      <c r="C150" s="122">
        <v>9474</v>
      </c>
      <c r="D150" s="14" t="s">
        <v>484</v>
      </c>
      <c r="E150" s="14" t="s">
        <v>413</v>
      </c>
      <c r="F150" s="14" t="s">
        <v>1107</v>
      </c>
      <c r="G150" s="14" t="s">
        <v>211</v>
      </c>
      <c r="H150" s="55">
        <v>77105</v>
      </c>
      <c r="I150" s="55">
        <v>77105</v>
      </c>
      <c r="J150" s="55">
        <f t="shared" si="10"/>
        <v>0</v>
      </c>
      <c r="K150" s="55">
        <v>77105</v>
      </c>
      <c r="L150" s="55">
        <f t="shared" si="11"/>
        <v>0</v>
      </c>
      <c r="M150" s="55">
        <f>VLOOKUP(G150,'[1]01-09 al 30-09'!$G:$AI,29,FALSE)</f>
        <v>77105</v>
      </c>
      <c r="N150" s="55">
        <f t="shared" si="12"/>
        <v>0</v>
      </c>
      <c r="O150" s="55">
        <f>VLOOKUP(G150,'[1]01-09 al 30-09'!$G:$AS,39,FALSE)</f>
        <v>77105</v>
      </c>
      <c r="P150" s="55">
        <f t="shared" si="13"/>
        <v>0</v>
      </c>
      <c r="Q150" s="55"/>
      <c r="R150" s="55"/>
      <c r="S150" s="90">
        <f t="shared" si="14"/>
        <v>0</v>
      </c>
      <c r="T150" s="89">
        <v>46146</v>
      </c>
      <c r="U150" s="14" t="s">
        <v>2165</v>
      </c>
      <c r="V150" s="105" t="s">
        <v>2238</v>
      </c>
      <c r="W150" s="105" t="str">
        <f>VLOOKUP(C150,'Status oficina'!$A$2:$C$208,3,FALSE)</f>
        <v>Cierre definitivo</v>
      </c>
    </row>
    <row r="151" spans="1:23" ht="13.5" customHeight="1" x14ac:dyDescent="0.25">
      <c r="A151" s="54" t="s">
        <v>2082</v>
      </c>
      <c r="B151" s="14" t="s">
        <v>515</v>
      </c>
      <c r="C151" s="22">
        <v>9477</v>
      </c>
      <c r="D151" s="14" t="s">
        <v>516</v>
      </c>
      <c r="E151" s="14" t="s">
        <v>413</v>
      </c>
      <c r="F151" s="14" t="s">
        <v>1134</v>
      </c>
      <c r="G151" s="14" t="s">
        <v>171</v>
      </c>
      <c r="H151" s="55">
        <v>33396</v>
      </c>
      <c r="I151" s="55">
        <v>33396</v>
      </c>
      <c r="J151" s="55">
        <f t="shared" si="10"/>
        <v>0</v>
      </c>
      <c r="K151" s="55">
        <v>33396</v>
      </c>
      <c r="L151" s="55">
        <f t="shared" si="11"/>
        <v>0</v>
      </c>
      <c r="M151" s="55">
        <f>VLOOKUP(G151,'[1]01-09 al 30-09'!$G:$AI,29,FALSE)</f>
        <v>33396</v>
      </c>
      <c r="N151" s="55">
        <f t="shared" si="12"/>
        <v>0</v>
      </c>
      <c r="O151" s="55">
        <f>VLOOKUP(G151,'[1]01-09 al 30-09'!$G:$AS,39,FALSE)</f>
        <v>33396</v>
      </c>
      <c r="P151" s="55">
        <f t="shared" si="13"/>
        <v>0</v>
      </c>
      <c r="Q151" s="55"/>
      <c r="R151" s="55"/>
      <c r="S151" s="90">
        <f t="shared" si="14"/>
        <v>0</v>
      </c>
      <c r="T151" s="89">
        <v>46146</v>
      </c>
      <c r="U151" s="14" t="s">
        <v>2029</v>
      </c>
      <c r="V151" s="105" t="s">
        <v>2231</v>
      </c>
      <c r="W151" s="105" t="str">
        <f>VLOOKUP(C151,'Status oficina'!$A$2:$C$208,3,FALSE)</f>
        <v>Cierre temporal</v>
      </c>
    </row>
    <row r="152" spans="1:23" ht="13.5" customHeight="1" x14ac:dyDescent="0.25">
      <c r="A152" s="53" t="s">
        <v>2442</v>
      </c>
      <c r="B152" s="14" t="s">
        <v>642</v>
      </c>
      <c r="C152" s="19">
        <v>9905</v>
      </c>
      <c r="D152" s="14" t="s">
        <v>643</v>
      </c>
      <c r="E152" s="14" t="s">
        <v>417</v>
      </c>
      <c r="F152" s="14" t="s">
        <v>1201</v>
      </c>
      <c r="G152" s="14" t="s">
        <v>22</v>
      </c>
      <c r="H152" s="55">
        <v>474354</v>
      </c>
      <c r="I152" s="55">
        <v>474354</v>
      </c>
      <c r="J152" s="55">
        <f t="shared" si="10"/>
        <v>0</v>
      </c>
      <c r="K152" s="55">
        <v>474354</v>
      </c>
      <c r="L152" s="55">
        <f t="shared" si="11"/>
        <v>0</v>
      </c>
      <c r="M152" s="55">
        <f>VLOOKUP(G152,'[1]01-09 al 30-09'!$G:$AI,29,FALSE)</f>
        <v>474354</v>
      </c>
      <c r="N152" s="55">
        <f t="shared" si="12"/>
        <v>0</v>
      </c>
      <c r="O152" s="55">
        <f>VLOOKUP(G152,'[1]01-09 al 30-09'!$G:$AS,39,FALSE)</f>
        <v>474354</v>
      </c>
      <c r="P152" s="55">
        <f t="shared" si="13"/>
        <v>0</v>
      </c>
      <c r="Q152" s="55"/>
      <c r="R152" s="55"/>
      <c r="S152" s="90">
        <f t="shared" si="14"/>
        <v>0</v>
      </c>
      <c r="T152" s="89">
        <v>46146</v>
      </c>
      <c r="U152" s="14" t="s">
        <v>2470</v>
      </c>
      <c r="V152" s="105" t="s">
        <v>2238</v>
      </c>
      <c r="W152" s="105" t="s">
        <v>2238</v>
      </c>
    </row>
    <row r="153" spans="1:23" ht="13.5" customHeight="1" x14ac:dyDescent="0.25">
      <c r="A153" s="14" t="s">
        <v>2082</v>
      </c>
      <c r="B153" s="14" t="s">
        <v>475</v>
      </c>
      <c r="C153" s="19">
        <v>9425</v>
      </c>
      <c r="D153" s="14" t="s">
        <v>476</v>
      </c>
      <c r="E153" s="14" t="s">
        <v>417</v>
      </c>
      <c r="F153" s="14" t="s">
        <v>1102</v>
      </c>
      <c r="G153" s="14" t="s">
        <v>35</v>
      </c>
      <c r="H153" s="55">
        <v>1196424</v>
      </c>
      <c r="I153" s="55">
        <v>1199540</v>
      </c>
      <c r="J153" s="55">
        <f t="shared" si="10"/>
        <v>3116</v>
      </c>
      <c r="K153" s="55">
        <v>1202640</v>
      </c>
      <c r="L153" s="55">
        <f t="shared" si="11"/>
        <v>3100</v>
      </c>
      <c r="M153" s="55">
        <f>VLOOKUP(G153,'[1]01-09 al 30-09'!$G:$AI,29,FALSE)</f>
        <v>1204972</v>
      </c>
      <c r="N153" s="55">
        <f t="shared" si="12"/>
        <v>2332</v>
      </c>
      <c r="O153" s="55">
        <f>VLOOKUP(G153,'[1]01-09 al 30-09'!$G:$AS,39,FALSE)</f>
        <v>1208456</v>
      </c>
      <c r="P153" s="55">
        <f t="shared" si="13"/>
        <v>3484</v>
      </c>
      <c r="Q153" s="55"/>
      <c r="R153" s="55"/>
      <c r="S153" s="90">
        <f t="shared" si="14"/>
        <v>12032</v>
      </c>
      <c r="T153" s="89">
        <v>46146</v>
      </c>
      <c r="U153" s="14"/>
      <c r="V153" s="105" t="s">
        <v>2375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2082</v>
      </c>
      <c r="B154" s="14" t="s">
        <v>475</v>
      </c>
      <c r="C154" s="19">
        <v>9425</v>
      </c>
      <c r="D154" s="54" t="s">
        <v>478</v>
      </c>
      <c r="E154" s="14" t="s">
        <v>417</v>
      </c>
      <c r="F154" s="14" t="s">
        <v>1101</v>
      </c>
      <c r="G154" s="14" t="s">
        <v>11</v>
      </c>
      <c r="H154" s="55">
        <v>330944</v>
      </c>
      <c r="I154" s="55">
        <v>331439</v>
      </c>
      <c r="J154" s="55">
        <f t="shared" si="10"/>
        <v>495</v>
      </c>
      <c r="K154" s="55">
        <v>331920</v>
      </c>
      <c r="L154" s="55">
        <f t="shared" si="11"/>
        <v>481</v>
      </c>
      <c r="M154" s="55">
        <f>VLOOKUP(G154,'[1]01-09 al 30-09'!$G:$AI,29,FALSE)</f>
        <v>332157</v>
      </c>
      <c r="N154" s="55">
        <f t="shared" si="12"/>
        <v>237</v>
      </c>
      <c r="O154" s="55">
        <f>VLOOKUP(G154,'[1]01-09 al 30-09'!$G:$AS,39,FALSE)</f>
        <v>332564</v>
      </c>
      <c r="P154" s="55">
        <f t="shared" si="13"/>
        <v>407</v>
      </c>
      <c r="Q154" s="55"/>
      <c r="R154" s="55"/>
      <c r="S154" s="90">
        <f t="shared" si="14"/>
        <v>1620</v>
      </c>
      <c r="T154" s="89">
        <v>46146</v>
      </c>
      <c r="U154" s="14"/>
      <c r="V154" s="105" t="s">
        <v>2375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2082</v>
      </c>
      <c r="B155" s="14" t="s">
        <v>488</v>
      </c>
      <c r="C155" s="122">
        <v>9420</v>
      </c>
      <c r="D155" s="54" t="s">
        <v>489</v>
      </c>
      <c r="E155" s="14" t="s">
        <v>417</v>
      </c>
      <c r="F155" s="14" t="s">
        <v>1110</v>
      </c>
      <c r="G155" s="14" t="s">
        <v>238</v>
      </c>
      <c r="H155" s="55">
        <v>339739</v>
      </c>
      <c r="I155" s="55">
        <v>339739</v>
      </c>
      <c r="J155" s="55">
        <f t="shared" si="10"/>
        <v>0</v>
      </c>
      <c r="K155" s="55">
        <v>339739</v>
      </c>
      <c r="L155" s="55">
        <f t="shared" si="11"/>
        <v>0</v>
      </c>
      <c r="M155" s="55">
        <f>VLOOKUP(G155,'[1]01-09 al 30-09'!$G:$AI,29,FALSE)</f>
        <v>339739</v>
      </c>
      <c r="N155" s="55">
        <f t="shared" si="12"/>
        <v>0</v>
      </c>
      <c r="O155" s="55">
        <f>VLOOKUP(G155,'[1]01-09 al 30-09'!$G:$AS,39,FALSE)</f>
        <v>339739</v>
      </c>
      <c r="P155" s="55">
        <f t="shared" si="13"/>
        <v>0</v>
      </c>
      <c r="Q155" s="55"/>
      <c r="R155" s="55"/>
      <c r="S155" s="90">
        <f t="shared" si="14"/>
        <v>0</v>
      </c>
      <c r="T155" s="89">
        <v>46146</v>
      </c>
      <c r="U155" s="14"/>
      <c r="V155" s="105" t="s">
        <v>2450</v>
      </c>
      <c r="W155" s="105" t="str">
        <f>VLOOKUP(C155,'Status oficina'!$A$2:$C$208,3,FALSE)</f>
        <v>Cierre definitivo</v>
      </c>
    </row>
    <row r="156" spans="1:23" ht="13.5" customHeight="1" x14ac:dyDescent="0.25">
      <c r="A156" s="14" t="s">
        <v>2082</v>
      </c>
      <c r="B156" s="14" t="s">
        <v>492</v>
      </c>
      <c r="C156" s="122">
        <v>9410</v>
      </c>
      <c r="D156" s="14" t="s">
        <v>493</v>
      </c>
      <c r="E156" s="14" t="s">
        <v>417</v>
      </c>
      <c r="F156" s="14" t="s">
        <v>1115</v>
      </c>
      <c r="G156" s="14" t="s">
        <v>162</v>
      </c>
      <c r="H156" s="55">
        <v>723823</v>
      </c>
      <c r="I156" s="55">
        <v>725591</v>
      </c>
      <c r="J156" s="55">
        <f t="shared" si="10"/>
        <v>1768</v>
      </c>
      <c r="K156" s="55">
        <v>727564</v>
      </c>
      <c r="L156" s="55">
        <f t="shared" si="11"/>
        <v>1973</v>
      </c>
      <c r="M156" s="55">
        <f>VLOOKUP(G156,'[1]01-09 al 30-09'!$G:$AI,29,FALSE)</f>
        <v>728940</v>
      </c>
      <c r="N156" s="55">
        <f t="shared" si="12"/>
        <v>1376</v>
      </c>
      <c r="O156" s="55">
        <f>VLOOKUP(G156,'[1]01-09 al 30-09'!$G:$AS,39,FALSE)</f>
        <v>730612</v>
      </c>
      <c r="P156" s="55">
        <f t="shared" si="13"/>
        <v>1672</v>
      </c>
      <c r="Q156" s="55"/>
      <c r="R156" s="55"/>
      <c r="S156" s="90">
        <f t="shared" si="14"/>
        <v>6789</v>
      </c>
      <c r="T156" s="89">
        <v>46146</v>
      </c>
      <c r="U156" s="14"/>
      <c r="V156" s="105" t="s">
        <v>2375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2082</v>
      </c>
      <c r="B157" s="14" t="s">
        <v>462</v>
      </c>
      <c r="C157" s="19">
        <v>9471</v>
      </c>
      <c r="D157" s="14" t="s">
        <v>463</v>
      </c>
      <c r="E157" s="14" t="s">
        <v>417</v>
      </c>
      <c r="F157" s="14" t="s">
        <v>1092</v>
      </c>
      <c r="G157" s="14" t="s">
        <v>73</v>
      </c>
      <c r="H157" s="55">
        <v>566260</v>
      </c>
      <c r="I157" s="55">
        <v>566260</v>
      </c>
      <c r="J157" s="55">
        <f t="shared" si="10"/>
        <v>0</v>
      </c>
      <c r="K157" s="55">
        <v>566260</v>
      </c>
      <c r="L157" s="55">
        <f t="shared" si="11"/>
        <v>0</v>
      </c>
      <c r="M157" s="55">
        <f>VLOOKUP(G157,'[1]01-09 al 30-09'!$G:$AI,29,FALSE)</f>
        <v>566260</v>
      </c>
      <c r="N157" s="55">
        <f t="shared" si="12"/>
        <v>0</v>
      </c>
      <c r="O157" s="55">
        <f>VLOOKUP(G157,'[1]01-09 al 30-09'!$G:$AS,39,FALSE)</f>
        <v>566260</v>
      </c>
      <c r="P157" s="55">
        <f t="shared" si="13"/>
        <v>0</v>
      </c>
      <c r="Q157" s="55"/>
      <c r="R157" s="55"/>
      <c r="S157" s="90">
        <f t="shared" si="14"/>
        <v>0</v>
      </c>
      <c r="T157" s="89">
        <v>46146</v>
      </c>
      <c r="U157" s="14" t="s">
        <v>2457</v>
      </c>
      <c r="V157" s="108" t="s">
        <v>2375</v>
      </c>
      <c r="W157" s="105" t="str">
        <f>VLOOKUP(C157,'Status oficina'!$A$2:$C$208,3,FALSE)</f>
        <v>Cierre temporal</v>
      </c>
    </row>
    <row r="158" spans="1:23" ht="13.5" customHeight="1" x14ac:dyDescent="0.25">
      <c r="A158" s="14" t="s">
        <v>939</v>
      </c>
      <c r="B158" s="14" t="s">
        <v>1029</v>
      </c>
      <c r="C158" s="122">
        <v>9504</v>
      </c>
      <c r="D158" s="14" t="s">
        <v>1030</v>
      </c>
      <c r="E158" s="14" t="s">
        <v>417</v>
      </c>
      <c r="F158" s="14" t="s">
        <v>1062</v>
      </c>
      <c r="G158" s="14" t="s">
        <v>210</v>
      </c>
      <c r="H158" s="55">
        <v>591135</v>
      </c>
      <c r="I158" s="55">
        <v>591135</v>
      </c>
      <c r="J158" s="55">
        <f t="shared" si="10"/>
        <v>0</v>
      </c>
      <c r="K158" s="55">
        <v>591135</v>
      </c>
      <c r="L158" s="55">
        <f t="shared" si="11"/>
        <v>0</v>
      </c>
      <c r="M158" s="55">
        <f>VLOOKUP(G158,'[1]01-09 al 30-09'!$G:$AI,29,FALSE)</f>
        <v>591135</v>
      </c>
      <c r="N158" s="55">
        <f t="shared" si="12"/>
        <v>0</v>
      </c>
      <c r="O158" s="55">
        <f>VLOOKUP(G158,'[1]01-09 al 30-09'!$G:$AS,39,FALSE)</f>
        <v>591135</v>
      </c>
      <c r="P158" s="55">
        <f t="shared" si="13"/>
        <v>0</v>
      </c>
      <c r="Q158" s="55"/>
      <c r="R158" s="55"/>
      <c r="S158" s="90">
        <f t="shared" si="14"/>
        <v>0</v>
      </c>
      <c r="T158" s="89">
        <v>46146</v>
      </c>
      <c r="U158" s="14" t="s">
        <v>2461</v>
      </c>
      <c r="V158" s="105" t="s">
        <v>2238</v>
      </c>
      <c r="W158" s="105" t="str">
        <f>VLOOKUP(C158,'Status oficina'!$A$2:$C$208,3,FALSE)</f>
        <v>Cierre definitivo</v>
      </c>
    </row>
    <row r="159" spans="1:23" ht="13.5" customHeight="1" x14ac:dyDescent="0.25">
      <c r="A159" s="14" t="s">
        <v>2082</v>
      </c>
      <c r="B159" s="14" t="s">
        <v>465</v>
      </c>
      <c r="C159" s="19">
        <v>9440</v>
      </c>
      <c r="D159" s="14" t="s">
        <v>466</v>
      </c>
      <c r="E159" s="14" t="s">
        <v>417</v>
      </c>
      <c r="F159" s="14" t="s">
        <v>1095</v>
      </c>
      <c r="G159" s="14" t="s">
        <v>84</v>
      </c>
      <c r="H159" s="55">
        <v>743595</v>
      </c>
      <c r="I159" s="55">
        <v>744793</v>
      </c>
      <c r="J159" s="55">
        <f t="shared" si="10"/>
        <v>1198</v>
      </c>
      <c r="K159" s="55">
        <v>745671</v>
      </c>
      <c r="L159" s="55">
        <f t="shared" si="11"/>
        <v>878</v>
      </c>
      <c r="M159" s="55">
        <f>VLOOKUP(G159,'[1]01-09 al 30-09'!$G:$AI,29,FALSE)</f>
        <v>746632</v>
      </c>
      <c r="N159" s="55">
        <f t="shared" si="12"/>
        <v>961</v>
      </c>
      <c r="O159" s="55">
        <f>VLOOKUP(G159,'[1]01-09 al 30-09'!$G:$AS,39,FALSE)</f>
        <v>748394</v>
      </c>
      <c r="P159" s="55">
        <f t="shared" si="13"/>
        <v>1762</v>
      </c>
      <c r="Q159" s="55"/>
      <c r="R159" s="55"/>
      <c r="S159" s="90">
        <f t="shared" si="14"/>
        <v>4799</v>
      </c>
      <c r="T159" s="89">
        <v>46146</v>
      </c>
      <c r="U159" s="14"/>
      <c r="V159" s="105" t="s">
        <v>2375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2082</v>
      </c>
      <c r="B160" s="14" t="s">
        <v>485</v>
      </c>
      <c r="C160" s="120">
        <v>9420</v>
      </c>
      <c r="D160" s="14" t="s">
        <v>490</v>
      </c>
      <c r="E160" s="14" t="s">
        <v>417</v>
      </c>
      <c r="F160" s="14" t="s">
        <v>1111</v>
      </c>
      <c r="G160" s="14" t="s">
        <v>247</v>
      </c>
      <c r="H160" s="55">
        <v>579739</v>
      </c>
      <c r="I160" s="55">
        <v>579739</v>
      </c>
      <c r="J160" s="55">
        <f t="shared" si="10"/>
        <v>0</v>
      </c>
      <c r="K160" s="55">
        <v>579739</v>
      </c>
      <c r="L160" s="55">
        <f t="shared" si="11"/>
        <v>0</v>
      </c>
      <c r="M160" s="55">
        <f>VLOOKUP(G160,'[1]01-09 al 30-09'!$G:$AI,29,FALSE)</f>
        <v>579739</v>
      </c>
      <c r="N160" s="55">
        <f t="shared" si="12"/>
        <v>0</v>
      </c>
      <c r="O160" s="55">
        <f>VLOOKUP(G160,'[1]01-09 al 30-09'!$G:$AS,39,FALSE)</f>
        <v>579739</v>
      </c>
      <c r="P160" s="55">
        <f t="shared" si="13"/>
        <v>0</v>
      </c>
      <c r="Q160" s="55"/>
      <c r="R160" s="55"/>
      <c r="S160" s="90">
        <f t="shared" si="14"/>
        <v>0</v>
      </c>
      <c r="T160" s="89">
        <v>46146</v>
      </c>
      <c r="U160" s="14"/>
      <c r="V160" s="105" t="s">
        <v>2450</v>
      </c>
      <c r="W160" s="105" t="str">
        <f>VLOOKUP(C160,'Status oficina'!$A$2:$C$208,3,FALSE)</f>
        <v>Cierre definitivo</v>
      </c>
    </row>
    <row r="161" spans="1:23" ht="13.5" customHeight="1" x14ac:dyDescent="0.25">
      <c r="A161" s="14" t="s">
        <v>2082</v>
      </c>
      <c r="B161" s="14" t="s">
        <v>498</v>
      </c>
      <c r="C161" s="120">
        <v>9470</v>
      </c>
      <c r="D161" s="14" t="s">
        <v>500</v>
      </c>
      <c r="E161" s="14" t="s">
        <v>417</v>
      </c>
      <c r="F161" s="14" t="s">
        <v>1120</v>
      </c>
      <c r="G161" s="14" t="s">
        <v>165</v>
      </c>
      <c r="H161" s="55">
        <v>657929</v>
      </c>
      <c r="I161" s="55">
        <v>660073</v>
      </c>
      <c r="J161" s="55">
        <f t="shared" si="10"/>
        <v>2144</v>
      </c>
      <c r="K161" s="55">
        <v>661973</v>
      </c>
      <c r="L161" s="55">
        <f t="shared" si="11"/>
        <v>1900</v>
      </c>
      <c r="M161" s="55">
        <f>VLOOKUP(G161,'[1]01-09 al 30-09'!$G:$AI,29,FALSE)</f>
        <v>663729</v>
      </c>
      <c r="N161" s="55">
        <f t="shared" si="12"/>
        <v>1756</v>
      </c>
      <c r="O161" s="55">
        <f>VLOOKUP(G161,'[1]01-09 al 30-09'!$G:$AS,39,FALSE)</f>
        <v>665484</v>
      </c>
      <c r="P161" s="55">
        <f t="shared" si="13"/>
        <v>1755</v>
      </c>
      <c r="Q161" s="55"/>
      <c r="R161" s="55"/>
      <c r="S161" s="90">
        <f t="shared" si="14"/>
        <v>7555</v>
      </c>
      <c r="T161" s="89">
        <v>46146</v>
      </c>
      <c r="U161" s="14"/>
      <c r="V161" s="108" t="s">
        <v>2375</v>
      </c>
      <c r="W161" s="105" t="str">
        <f>VLOOKUP(C161,'Status oficina'!$A$2:$C$208,3,FALSE)</f>
        <v>Activa</v>
      </c>
    </row>
    <row r="162" spans="1:23" ht="13.5" customHeight="1" x14ac:dyDescent="0.25">
      <c r="A162" s="54" t="s">
        <v>2082</v>
      </c>
      <c r="B162" s="14" t="s">
        <v>506</v>
      </c>
      <c r="C162" s="120">
        <v>9472</v>
      </c>
      <c r="D162" s="14" t="s">
        <v>508</v>
      </c>
      <c r="E162" s="14" t="s">
        <v>417</v>
      </c>
      <c r="F162" s="14" t="s">
        <v>1128</v>
      </c>
      <c r="G162" s="14" t="s">
        <v>218</v>
      </c>
      <c r="H162" s="55">
        <v>748728</v>
      </c>
      <c r="I162" s="55">
        <v>749896</v>
      </c>
      <c r="J162" s="55">
        <f t="shared" si="10"/>
        <v>1168</v>
      </c>
      <c r="K162" s="55">
        <v>750879</v>
      </c>
      <c r="L162" s="55">
        <f t="shared" si="11"/>
        <v>983</v>
      </c>
      <c r="M162" s="55">
        <f>VLOOKUP(G162,'[1]01-09 al 30-09'!$G:$AI,29,FALSE)</f>
        <v>751682</v>
      </c>
      <c r="N162" s="55">
        <f t="shared" si="12"/>
        <v>803</v>
      </c>
      <c r="O162" s="55">
        <f>VLOOKUP(G162,'[1]01-09 al 30-09'!$G:$AS,39,FALSE)</f>
        <v>753052</v>
      </c>
      <c r="P162" s="55">
        <f t="shared" si="13"/>
        <v>1370</v>
      </c>
      <c r="Q162" s="55"/>
      <c r="R162" s="55"/>
      <c r="S162" s="90">
        <f t="shared" si="14"/>
        <v>4324</v>
      </c>
      <c r="T162" s="89">
        <v>46146</v>
      </c>
      <c r="U162" s="14"/>
      <c r="V162" s="108" t="s">
        <v>2375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939</v>
      </c>
      <c r="B163" s="14" t="s">
        <v>1034</v>
      </c>
      <c r="C163" s="19">
        <v>9518</v>
      </c>
      <c r="D163" s="53" t="s">
        <v>2083</v>
      </c>
      <c r="E163" s="53" t="s">
        <v>417</v>
      </c>
      <c r="F163" s="53" t="s">
        <v>1401</v>
      </c>
      <c r="G163" s="53" t="s">
        <v>2084</v>
      </c>
      <c r="H163" s="55">
        <v>110506</v>
      </c>
      <c r="I163" s="55">
        <v>110506</v>
      </c>
      <c r="J163" s="55">
        <f t="shared" si="10"/>
        <v>0</v>
      </c>
      <c r="K163" s="55">
        <v>110506</v>
      </c>
      <c r="L163" s="55">
        <f t="shared" si="11"/>
        <v>0</v>
      </c>
      <c r="M163" s="55">
        <f>VLOOKUP(G163,'[1]01-09 al 30-09'!$G:$AI,29,FALSE)</f>
        <v>110506</v>
      </c>
      <c r="N163" s="55">
        <f t="shared" si="12"/>
        <v>0</v>
      </c>
      <c r="O163" s="55">
        <f>VLOOKUP(G163,'[1]01-09 al 30-09'!$G:$AS,39,FALSE)</f>
        <v>110506</v>
      </c>
      <c r="P163" s="55">
        <f t="shared" si="13"/>
        <v>0</v>
      </c>
      <c r="Q163" s="55"/>
      <c r="R163" s="55"/>
      <c r="S163" s="90">
        <f t="shared" si="14"/>
        <v>0</v>
      </c>
      <c r="T163" s="89">
        <v>46146</v>
      </c>
      <c r="U163" s="14" t="s">
        <v>2416</v>
      </c>
      <c r="V163" s="105" t="s">
        <v>2231</v>
      </c>
      <c r="W163" s="105" t="str">
        <f>VLOOKUP(C163,'Status oficina'!$A$2:$C$208,3,FALSE)</f>
        <v>Cierre temporal</v>
      </c>
    </row>
    <row r="164" spans="1:23" ht="13.5" customHeight="1" x14ac:dyDescent="0.25">
      <c r="A164" s="14" t="s">
        <v>939</v>
      </c>
      <c r="B164" s="14" t="s">
        <v>1031</v>
      </c>
      <c r="C164" s="125">
        <v>9612</v>
      </c>
      <c r="D164" s="14" t="s">
        <v>1033</v>
      </c>
      <c r="E164" s="14" t="s">
        <v>413</v>
      </c>
      <c r="F164" s="53" t="s">
        <v>1448</v>
      </c>
      <c r="G164" s="53" t="s">
        <v>70</v>
      </c>
      <c r="H164" s="55">
        <v>149957</v>
      </c>
      <c r="I164" s="55">
        <v>150312</v>
      </c>
      <c r="J164" s="55">
        <f t="shared" si="10"/>
        <v>355</v>
      </c>
      <c r="K164" s="55">
        <v>150720</v>
      </c>
      <c r="L164" s="55">
        <f t="shared" si="11"/>
        <v>408</v>
      </c>
      <c r="M164" s="55">
        <f>VLOOKUP(G164,'[1]01-09 al 30-09'!$G:$AI,29,FALSE)</f>
        <v>150913</v>
      </c>
      <c r="N164" s="55">
        <f t="shared" si="12"/>
        <v>193</v>
      </c>
      <c r="O164" s="55">
        <f>VLOOKUP(G164,'[1]01-09 al 30-09'!$G:$AS,39,FALSE)</f>
        <v>151060</v>
      </c>
      <c r="P164" s="55">
        <f t="shared" si="13"/>
        <v>147</v>
      </c>
      <c r="Q164" s="55"/>
      <c r="R164" s="55"/>
      <c r="S164" s="90">
        <f t="shared" si="14"/>
        <v>1103</v>
      </c>
      <c r="T164" s="89">
        <v>46146</v>
      </c>
      <c r="U164" s="14" t="s">
        <v>2464</v>
      </c>
      <c r="V164" s="105" t="s">
        <v>2375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2082</v>
      </c>
      <c r="B165" s="14" t="s">
        <v>504</v>
      </c>
      <c r="C165" s="120">
        <v>9430</v>
      </c>
      <c r="D165" s="14" t="s">
        <v>505</v>
      </c>
      <c r="E165" s="14" t="s">
        <v>417</v>
      </c>
      <c r="F165" s="14" t="s">
        <v>1126</v>
      </c>
      <c r="G165" s="14" t="s">
        <v>131</v>
      </c>
      <c r="H165" s="55">
        <v>716733</v>
      </c>
      <c r="I165" s="55">
        <v>717883</v>
      </c>
      <c r="J165" s="55">
        <f t="shared" si="10"/>
        <v>1150</v>
      </c>
      <c r="K165" s="55">
        <v>719257</v>
      </c>
      <c r="L165" s="55">
        <f t="shared" si="11"/>
        <v>1374</v>
      </c>
      <c r="M165" s="55">
        <f>VLOOKUP(G165,'[1]01-09 al 30-09'!$G:$AI,29,FALSE)</f>
        <v>720362</v>
      </c>
      <c r="N165" s="55">
        <f t="shared" si="12"/>
        <v>1105</v>
      </c>
      <c r="O165" s="55">
        <f>VLOOKUP(G165,'[1]01-09 al 30-09'!$G:$AS,39,FALSE)</f>
        <v>721777</v>
      </c>
      <c r="P165" s="55">
        <f t="shared" si="13"/>
        <v>1415</v>
      </c>
      <c r="Q165" s="55"/>
      <c r="R165" s="55"/>
      <c r="S165" s="90">
        <f t="shared" si="14"/>
        <v>5044</v>
      </c>
      <c r="T165" s="89">
        <v>46146</v>
      </c>
      <c r="U165" s="14"/>
      <c r="V165" s="105" t="s">
        <v>2375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939</v>
      </c>
      <c r="B166" s="14" t="s">
        <v>1020</v>
      </c>
      <c r="C166" s="22">
        <v>9530</v>
      </c>
      <c r="D166" s="14" t="s">
        <v>2097</v>
      </c>
      <c r="E166" s="15" t="s">
        <v>413</v>
      </c>
      <c r="F166" s="14" t="s">
        <v>1440</v>
      </c>
      <c r="G166" s="1"/>
      <c r="H166" s="55">
        <v>299170</v>
      </c>
      <c r="I166" s="55">
        <v>299170</v>
      </c>
      <c r="J166" s="55">
        <f t="shared" si="10"/>
        <v>0</v>
      </c>
      <c r="K166" s="55">
        <v>299170</v>
      </c>
      <c r="L166" s="55">
        <f t="shared" si="11"/>
        <v>0</v>
      </c>
      <c r="M166" s="55">
        <v>299170</v>
      </c>
      <c r="N166" s="55">
        <f t="shared" si="12"/>
        <v>0</v>
      </c>
      <c r="O166" s="55">
        <v>299170</v>
      </c>
      <c r="P166" s="55">
        <f t="shared" si="13"/>
        <v>0</v>
      </c>
      <c r="Q166" s="55"/>
      <c r="R166" s="55"/>
      <c r="S166" s="90">
        <f t="shared" si="14"/>
        <v>0</v>
      </c>
      <c r="T166" s="89">
        <v>46146</v>
      </c>
      <c r="U166" s="14" t="s">
        <v>2098</v>
      </c>
      <c r="V166" s="105" t="s">
        <v>2374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2082</v>
      </c>
      <c r="B167" s="14" t="s">
        <v>501</v>
      </c>
      <c r="C167" s="120">
        <v>9461</v>
      </c>
      <c r="D167" s="14" t="s">
        <v>502</v>
      </c>
      <c r="E167" s="14" t="s">
        <v>417</v>
      </c>
      <c r="F167" s="14" t="s">
        <v>1122</v>
      </c>
      <c r="G167" s="14" t="s">
        <v>151</v>
      </c>
      <c r="H167" s="55">
        <v>529208</v>
      </c>
      <c r="I167" s="55">
        <v>529864</v>
      </c>
      <c r="J167" s="55">
        <f t="shared" si="10"/>
        <v>656</v>
      </c>
      <c r="K167" s="55">
        <v>530564</v>
      </c>
      <c r="L167" s="55">
        <f t="shared" si="11"/>
        <v>700</v>
      </c>
      <c r="M167" s="55">
        <f>VLOOKUP(G167,'[1]01-09 al 30-09'!$G:$AI,29,FALSE)</f>
        <v>531568</v>
      </c>
      <c r="N167" s="55">
        <f t="shared" si="12"/>
        <v>1004</v>
      </c>
      <c r="O167" s="55">
        <f>VLOOKUP(G167,'[1]01-09 al 30-09'!$G:$AS,39,FALSE)</f>
        <v>532199</v>
      </c>
      <c r="P167" s="55">
        <f t="shared" si="13"/>
        <v>631</v>
      </c>
      <c r="Q167" s="55"/>
      <c r="R167" s="55"/>
      <c r="S167" s="90">
        <f t="shared" si="14"/>
        <v>2991</v>
      </c>
      <c r="T167" s="89">
        <v>46146</v>
      </c>
      <c r="U167" s="14"/>
      <c r="V167" s="105" t="s">
        <v>2375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2082</v>
      </c>
      <c r="B168" s="14" t="s">
        <v>511</v>
      </c>
      <c r="C168" s="120">
        <v>9405</v>
      </c>
      <c r="D168" s="14" t="s">
        <v>512</v>
      </c>
      <c r="E168" s="14" t="s">
        <v>417</v>
      </c>
      <c r="F168" s="14" t="s">
        <v>1131</v>
      </c>
      <c r="G168" s="14" t="s">
        <v>381</v>
      </c>
      <c r="H168" s="55">
        <v>435827</v>
      </c>
      <c r="I168" s="55">
        <v>436163</v>
      </c>
      <c r="J168" s="55">
        <f t="shared" si="10"/>
        <v>336</v>
      </c>
      <c r="K168" s="55">
        <v>436763</v>
      </c>
      <c r="L168" s="55">
        <f t="shared" si="11"/>
        <v>600</v>
      </c>
      <c r="M168" s="55">
        <f>VLOOKUP(G168,'[1]01-09 al 30-09'!$G:$AI,29,FALSE)</f>
        <v>437083</v>
      </c>
      <c r="N168" s="55">
        <f t="shared" si="12"/>
        <v>320</v>
      </c>
      <c r="O168" s="55">
        <f>VLOOKUP(G168,'[1]01-09 al 30-09'!$G:$AS,39,FALSE)</f>
        <v>437642</v>
      </c>
      <c r="P168" s="55">
        <f t="shared" si="13"/>
        <v>559</v>
      </c>
      <c r="Q168" s="55"/>
      <c r="R168" s="55"/>
      <c r="S168" s="90">
        <f t="shared" si="14"/>
        <v>1815</v>
      </c>
      <c r="T168" s="89">
        <v>46146</v>
      </c>
      <c r="U168" s="14"/>
      <c r="V168" s="105" t="s">
        <v>2375</v>
      </c>
      <c r="W168" s="105" t="str">
        <f>VLOOKUP(C168,'Status oficina'!$A$2:$C$208,3,FALSE)</f>
        <v>Activa</v>
      </c>
    </row>
    <row r="169" spans="1:23" ht="13.5" customHeight="1" x14ac:dyDescent="0.25">
      <c r="A169" s="14" t="s">
        <v>2082</v>
      </c>
      <c r="B169" s="14" t="s">
        <v>475</v>
      </c>
      <c r="C169" s="19">
        <v>9425</v>
      </c>
      <c r="D169" s="14" t="s">
        <v>480</v>
      </c>
      <c r="E169" s="14" t="s">
        <v>417</v>
      </c>
      <c r="F169" s="14" t="s">
        <v>1104</v>
      </c>
      <c r="G169" s="14" t="s">
        <v>97</v>
      </c>
      <c r="H169" s="55">
        <v>291011</v>
      </c>
      <c r="I169" s="55">
        <v>291524</v>
      </c>
      <c r="J169" s="55">
        <f t="shared" si="10"/>
        <v>513</v>
      </c>
      <c r="K169" s="55">
        <v>291899</v>
      </c>
      <c r="L169" s="55">
        <f t="shared" si="11"/>
        <v>375</v>
      </c>
      <c r="M169" s="55">
        <f>VLOOKUP(G169,'[1]01-09 al 30-09'!$G:$AI,29,FALSE)</f>
        <v>292215</v>
      </c>
      <c r="N169" s="55">
        <f t="shared" si="12"/>
        <v>316</v>
      </c>
      <c r="O169" s="55">
        <f>VLOOKUP(G169,'[1]01-09 al 30-09'!$G:$AS,39,FALSE)</f>
        <v>293011</v>
      </c>
      <c r="P169" s="55">
        <f t="shared" si="13"/>
        <v>796</v>
      </c>
      <c r="Q169" s="55"/>
      <c r="R169" s="55"/>
      <c r="S169" s="90">
        <f t="shared" si="14"/>
        <v>2000</v>
      </c>
      <c r="T169" s="89">
        <v>46146</v>
      </c>
      <c r="U169" s="14"/>
      <c r="V169" s="105" t="s">
        <v>2375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2442</v>
      </c>
      <c r="B170" s="14" t="s">
        <v>757</v>
      </c>
      <c r="C170" s="120">
        <v>9211</v>
      </c>
      <c r="D170" s="14" t="s">
        <v>758</v>
      </c>
      <c r="E170" s="14" t="s">
        <v>417</v>
      </c>
      <c r="F170" s="14" t="s">
        <v>1269</v>
      </c>
      <c r="G170" s="14" t="s">
        <v>184</v>
      </c>
      <c r="H170" s="55">
        <v>537418</v>
      </c>
      <c r="I170" s="55">
        <v>538388</v>
      </c>
      <c r="J170" s="55">
        <f t="shared" si="10"/>
        <v>970</v>
      </c>
      <c r="K170" s="55">
        <v>539476</v>
      </c>
      <c r="L170" s="55">
        <f t="shared" si="11"/>
        <v>1088</v>
      </c>
      <c r="M170" s="55">
        <f>VLOOKUP(G170,'[1]01-09 al 30-09'!$G:$AI,29,FALSE)</f>
        <v>540422</v>
      </c>
      <c r="N170" s="55">
        <f t="shared" si="12"/>
        <v>946</v>
      </c>
      <c r="O170" s="55">
        <f>VLOOKUP(G170,'[1]01-09 al 30-09'!$G:$AS,39,FALSE)</f>
        <v>541450</v>
      </c>
      <c r="P170" s="55">
        <f t="shared" si="13"/>
        <v>1028</v>
      </c>
      <c r="Q170" s="55"/>
      <c r="R170" s="55"/>
      <c r="S170" s="90">
        <f t="shared" si="14"/>
        <v>4032</v>
      </c>
      <c r="T170" s="89">
        <v>46146</v>
      </c>
      <c r="U170" s="14"/>
      <c r="V170" s="108" t="s">
        <v>2375</v>
      </c>
      <c r="W170" s="105" t="str">
        <f>VLOOKUP(C170,'Status oficina'!$A$2:$C$208,3,FALSE)</f>
        <v>Activa</v>
      </c>
    </row>
    <row r="171" spans="1:23" ht="13.5" customHeight="1" x14ac:dyDescent="0.25">
      <c r="A171" s="53" t="s">
        <v>2442</v>
      </c>
      <c r="B171" s="14" t="s">
        <v>738</v>
      </c>
      <c r="C171" s="22">
        <v>9345</v>
      </c>
      <c r="D171" s="14" t="s">
        <v>737</v>
      </c>
      <c r="E171" s="14" t="s">
        <v>417</v>
      </c>
      <c r="F171" s="14" t="s">
        <v>1257</v>
      </c>
      <c r="G171" s="14" t="s">
        <v>373</v>
      </c>
      <c r="H171" s="55">
        <v>760723</v>
      </c>
      <c r="I171" s="55">
        <v>761873</v>
      </c>
      <c r="J171" s="55">
        <f t="shared" si="10"/>
        <v>1150</v>
      </c>
      <c r="K171" s="55">
        <v>762843</v>
      </c>
      <c r="L171" s="55">
        <f t="shared" si="11"/>
        <v>970</v>
      </c>
      <c r="M171" s="55">
        <f>VLOOKUP(G171,'[1]01-09 al 30-09'!$G:$AI,29,FALSE)</f>
        <v>763865</v>
      </c>
      <c r="N171" s="55">
        <f t="shared" si="12"/>
        <v>1022</v>
      </c>
      <c r="O171" s="55">
        <f>VLOOKUP(G171,'[1]01-09 al 30-09'!$G:$AS,39,FALSE)</f>
        <v>765305</v>
      </c>
      <c r="P171" s="55">
        <f t="shared" si="13"/>
        <v>1440</v>
      </c>
      <c r="Q171" s="55"/>
      <c r="R171" s="55"/>
      <c r="S171" s="90">
        <f t="shared" si="14"/>
        <v>4582</v>
      </c>
      <c r="T171" s="89">
        <v>46146</v>
      </c>
      <c r="U171" s="14" t="s">
        <v>2453</v>
      </c>
      <c r="V171" s="105" t="s">
        <v>2375</v>
      </c>
      <c r="W171" s="105" t="s">
        <v>2228</v>
      </c>
    </row>
    <row r="172" spans="1:23" ht="13.5" customHeight="1" x14ac:dyDescent="0.25">
      <c r="A172" s="14" t="s">
        <v>2082</v>
      </c>
      <c r="B172" s="14" t="s">
        <v>543</v>
      </c>
      <c r="C172" s="120">
        <v>9312</v>
      </c>
      <c r="D172" s="14" t="s">
        <v>544</v>
      </c>
      <c r="E172" s="14" t="s">
        <v>417</v>
      </c>
      <c r="F172" s="14" t="s">
        <v>1150</v>
      </c>
      <c r="G172" s="14" t="s">
        <v>287</v>
      </c>
      <c r="H172" s="55">
        <v>1293079</v>
      </c>
      <c r="I172" s="55">
        <v>1295082</v>
      </c>
      <c r="J172" s="55">
        <f t="shared" si="10"/>
        <v>2003</v>
      </c>
      <c r="K172" s="55">
        <v>1296906</v>
      </c>
      <c r="L172" s="55">
        <f t="shared" si="11"/>
        <v>1824</v>
      </c>
      <c r="M172" s="55">
        <f>VLOOKUP(G172,'[1]01-09 al 30-09'!$G:$AI,29,FALSE)</f>
        <v>1298636</v>
      </c>
      <c r="N172" s="55">
        <f t="shared" si="12"/>
        <v>1730</v>
      </c>
      <c r="O172" s="55">
        <f>VLOOKUP(G172,'[1]01-09 al 30-09'!$G:$AS,39,FALSE)</f>
        <v>1300924</v>
      </c>
      <c r="P172" s="55">
        <f t="shared" si="13"/>
        <v>2288</v>
      </c>
      <c r="Q172" s="55"/>
      <c r="R172" s="55"/>
      <c r="S172" s="90">
        <f t="shared" si="14"/>
        <v>7845</v>
      </c>
      <c r="T172" s="89">
        <v>46146</v>
      </c>
      <c r="U172" s="14"/>
      <c r="V172" s="105" t="s">
        <v>2375</v>
      </c>
      <c r="W172" s="105" t="str">
        <f>VLOOKUP(C172,'Status oficina'!$A$2:$C$208,3,FALSE)</f>
        <v>Activa</v>
      </c>
    </row>
    <row r="173" spans="1:23" ht="13.5" customHeight="1" x14ac:dyDescent="0.25">
      <c r="A173" s="53" t="s">
        <v>868</v>
      </c>
      <c r="B173" s="53" t="s">
        <v>414</v>
      </c>
      <c r="C173" s="19">
        <v>9963</v>
      </c>
      <c r="D173" s="14" t="s">
        <v>416</v>
      </c>
      <c r="E173" s="14" t="s">
        <v>417</v>
      </c>
      <c r="F173" s="14" t="s">
        <v>1065</v>
      </c>
      <c r="G173" s="14" t="s">
        <v>135</v>
      </c>
      <c r="H173" s="55">
        <v>690131</v>
      </c>
      <c r="I173" s="55">
        <v>690807</v>
      </c>
      <c r="J173" s="55">
        <f t="shared" si="10"/>
        <v>676</v>
      </c>
      <c r="K173" s="55">
        <v>692108</v>
      </c>
      <c r="L173" s="55">
        <f t="shared" si="11"/>
        <v>1301</v>
      </c>
      <c r="M173" s="55">
        <f>VLOOKUP(G173,'[1]01-09 al 30-09'!$G:$AI,29,FALSE)</f>
        <v>692682</v>
      </c>
      <c r="N173" s="55">
        <f t="shared" si="12"/>
        <v>574</v>
      </c>
      <c r="O173" s="55">
        <f>VLOOKUP(G173,'[1]01-09 al 30-09'!$G:$AS,39,FALSE)</f>
        <v>693335</v>
      </c>
      <c r="P173" s="55">
        <f t="shared" si="13"/>
        <v>653</v>
      </c>
      <c r="Q173" s="55"/>
      <c r="R173" s="55"/>
      <c r="S173" s="90">
        <f t="shared" si="14"/>
        <v>3204</v>
      </c>
      <c r="T173" s="89">
        <v>46146</v>
      </c>
      <c r="U173" s="14"/>
      <c r="V173" s="108" t="s">
        <v>2375</v>
      </c>
      <c r="W173" s="105" t="str">
        <f>VLOOKUP(C173,'Status oficina'!$A$2:$C$208,3,FALSE)</f>
        <v>Activa</v>
      </c>
    </row>
    <row r="174" spans="1:23" ht="13.5" customHeight="1" x14ac:dyDescent="0.25">
      <c r="A174" s="14" t="s">
        <v>939</v>
      </c>
      <c r="B174" s="14" t="s">
        <v>998</v>
      </c>
      <c r="C174" s="22">
        <v>9541</v>
      </c>
      <c r="D174" s="14" t="s">
        <v>999</v>
      </c>
      <c r="E174" s="14" t="s">
        <v>413</v>
      </c>
      <c r="F174" s="14" t="s">
        <v>1000</v>
      </c>
      <c r="G174" s="14" t="s">
        <v>91</v>
      </c>
      <c r="H174" s="55">
        <v>36582</v>
      </c>
      <c r="I174" s="55">
        <v>36582</v>
      </c>
      <c r="J174" s="55">
        <f t="shared" si="10"/>
        <v>0</v>
      </c>
      <c r="K174" s="55">
        <v>36582</v>
      </c>
      <c r="L174" s="55">
        <f t="shared" si="11"/>
        <v>0</v>
      </c>
      <c r="M174" s="55">
        <f>VLOOKUP(G174,'[1]01-09 al 30-09'!$G:$AI,29,FALSE)</f>
        <v>36582</v>
      </c>
      <c r="N174" s="55">
        <f t="shared" si="12"/>
        <v>0</v>
      </c>
      <c r="O174" s="55">
        <f>VLOOKUP(G174,'[1]01-09 al 30-09'!$G:$AS,39,FALSE)</f>
        <v>36582</v>
      </c>
      <c r="P174" s="55">
        <f t="shared" si="13"/>
        <v>0</v>
      </c>
      <c r="Q174" s="55"/>
      <c r="R174" s="55"/>
      <c r="S174" s="90">
        <f t="shared" si="14"/>
        <v>0</v>
      </c>
      <c r="T174" s="89">
        <v>46146</v>
      </c>
      <c r="U174" s="14"/>
      <c r="V174" s="105" t="s">
        <v>2231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939</v>
      </c>
      <c r="B175" s="14" t="s">
        <v>1001</v>
      </c>
      <c r="C175" s="22">
        <v>9543</v>
      </c>
      <c r="D175" s="14" t="s">
        <v>1002</v>
      </c>
      <c r="E175" s="14" t="s">
        <v>413</v>
      </c>
      <c r="F175" s="14" t="s">
        <v>1430</v>
      </c>
      <c r="G175" s="14" t="s">
        <v>261</v>
      </c>
      <c r="H175" s="55">
        <v>116664</v>
      </c>
      <c r="I175" s="55">
        <v>116664</v>
      </c>
      <c r="J175" s="55">
        <f t="shared" si="10"/>
        <v>0</v>
      </c>
      <c r="K175" s="55">
        <v>116664</v>
      </c>
      <c r="L175" s="55">
        <f t="shared" si="11"/>
        <v>0</v>
      </c>
      <c r="M175" s="55">
        <f>VLOOKUP(G175,'[1]01-09 al 30-09'!$G:$AI,29,FALSE)</f>
        <v>116664</v>
      </c>
      <c r="N175" s="55">
        <f t="shared" si="12"/>
        <v>0</v>
      </c>
      <c r="O175" s="55">
        <f>VLOOKUP(G175,'[1]01-09 al 30-09'!$G:$AS,39,FALSE)</f>
        <v>116664</v>
      </c>
      <c r="P175" s="55">
        <f t="shared" si="13"/>
        <v>0</v>
      </c>
      <c r="Q175" s="55"/>
      <c r="R175" s="55"/>
      <c r="S175" s="90">
        <f t="shared" si="14"/>
        <v>0</v>
      </c>
      <c r="T175" s="89">
        <v>46146</v>
      </c>
      <c r="U175" s="14"/>
      <c r="V175" s="105" t="s">
        <v>2231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939</v>
      </c>
      <c r="B176" s="14" t="s">
        <v>1018</v>
      </c>
      <c r="C176" s="22">
        <v>9550</v>
      </c>
      <c r="D176" s="14" t="s">
        <v>1019</v>
      </c>
      <c r="E176" s="14" t="s">
        <v>413</v>
      </c>
      <c r="F176" s="14" t="s">
        <v>1438</v>
      </c>
      <c r="G176" s="14" t="s">
        <v>181</v>
      </c>
      <c r="H176" s="55">
        <v>190533</v>
      </c>
      <c r="I176" s="55">
        <v>190533</v>
      </c>
      <c r="J176" s="55">
        <f t="shared" si="10"/>
        <v>0</v>
      </c>
      <c r="K176" s="55">
        <v>190533</v>
      </c>
      <c r="L176" s="55">
        <f t="shared" si="11"/>
        <v>0</v>
      </c>
      <c r="M176" s="55">
        <f>VLOOKUP(G176,'[1]01-09 al 30-09'!$G:$AI,29,FALSE)</f>
        <v>190533</v>
      </c>
      <c r="N176" s="55">
        <f t="shared" si="12"/>
        <v>0</v>
      </c>
      <c r="O176" s="55">
        <f>VLOOKUP(G176,'[1]01-09 al 30-09'!$G:$AS,39,FALSE)</f>
        <v>190533</v>
      </c>
      <c r="P176" s="55">
        <f t="shared" si="13"/>
        <v>0</v>
      </c>
      <c r="Q176" s="55"/>
      <c r="R176" s="55"/>
      <c r="S176" s="90">
        <f t="shared" si="14"/>
        <v>0</v>
      </c>
      <c r="T176" s="89">
        <v>46146</v>
      </c>
      <c r="U176" s="14"/>
      <c r="V176" s="105" t="s">
        <v>2231</v>
      </c>
      <c r="W176" s="105" t="str">
        <f>VLOOKUP(C176,'Status oficina'!$A$2:$C$208,3,FALSE)</f>
        <v>Cierre temporal</v>
      </c>
    </row>
    <row r="177" spans="1:23" ht="13.5" customHeight="1" x14ac:dyDescent="0.25">
      <c r="A177" s="14" t="s">
        <v>2082</v>
      </c>
      <c r="B177" s="14" t="s">
        <v>475</v>
      </c>
      <c r="C177" s="19">
        <v>9425</v>
      </c>
      <c r="D177" s="14" t="s">
        <v>2474</v>
      </c>
      <c r="E177" s="14" t="s">
        <v>417</v>
      </c>
      <c r="F177" s="14" t="s">
        <v>1132</v>
      </c>
      <c r="G177" s="14" t="s">
        <v>2475</v>
      </c>
      <c r="H177" s="55">
        <v>623303</v>
      </c>
      <c r="I177" s="55">
        <v>623465</v>
      </c>
      <c r="J177" s="55">
        <f t="shared" si="10"/>
        <v>162</v>
      </c>
      <c r="K177" s="55">
        <v>623557</v>
      </c>
      <c r="L177" s="55">
        <f t="shared" si="11"/>
        <v>92</v>
      </c>
      <c r="M177" s="55">
        <f>VLOOKUP(G177,'[1]01-09 al 30-09'!$G:$AI,29,FALSE)</f>
        <v>623650</v>
      </c>
      <c r="N177" s="55">
        <f t="shared" si="12"/>
        <v>93</v>
      </c>
      <c r="O177" s="55">
        <f>VLOOKUP(G177,'[1]01-09 al 30-09'!$G:$AS,39,FALSE)</f>
        <v>623774</v>
      </c>
      <c r="P177" s="55">
        <f t="shared" si="13"/>
        <v>124</v>
      </c>
      <c r="Q177" s="55"/>
      <c r="R177" s="55"/>
      <c r="S177" s="90">
        <f t="shared" si="14"/>
        <v>471</v>
      </c>
      <c r="T177" s="89">
        <v>46146</v>
      </c>
      <c r="U177" s="14" t="s">
        <v>2476</v>
      </c>
      <c r="V177" s="105" t="s">
        <v>2375</v>
      </c>
      <c r="W177" s="105" t="s">
        <v>2228</v>
      </c>
    </row>
    <row r="178" spans="1:23" ht="13.5" customHeight="1" x14ac:dyDescent="0.25">
      <c r="A178" s="53" t="s">
        <v>868</v>
      </c>
      <c r="B178" s="53" t="s">
        <v>423</v>
      </c>
      <c r="C178" s="19">
        <v>9855</v>
      </c>
      <c r="D178" s="14" t="s">
        <v>425</v>
      </c>
      <c r="E178" s="14" t="s">
        <v>417</v>
      </c>
      <c r="F178" s="14" t="s">
        <v>1070</v>
      </c>
      <c r="G178" s="14" t="s">
        <v>150</v>
      </c>
      <c r="H178" s="55">
        <v>663373</v>
      </c>
      <c r="I178" s="55">
        <v>665183</v>
      </c>
      <c r="J178" s="55">
        <f t="shared" si="10"/>
        <v>1810</v>
      </c>
      <c r="K178" s="55">
        <v>666598</v>
      </c>
      <c r="L178" s="55">
        <f t="shared" si="11"/>
        <v>1415</v>
      </c>
      <c r="M178" s="55">
        <f>VLOOKUP(G178,'[1]01-09 al 30-09'!$G:$AI,29,FALSE)</f>
        <v>667687</v>
      </c>
      <c r="N178" s="55">
        <f t="shared" si="12"/>
        <v>1089</v>
      </c>
      <c r="O178" s="55">
        <f>VLOOKUP(G178,'[1]01-09 al 30-09'!$G:$AS,39,FALSE)</f>
        <v>668739</v>
      </c>
      <c r="P178" s="55">
        <f t="shared" si="13"/>
        <v>1052</v>
      </c>
      <c r="Q178" s="55"/>
      <c r="R178" s="55"/>
      <c r="S178" s="90">
        <f t="shared" si="14"/>
        <v>5366</v>
      </c>
      <c r="T178" s="89">
        <v>46146</v>
      </c>
      <c r="U178" s="14"/>
      <c r="V178" s="105" t="s">
        <v>2375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2082</v>
      </c>
      <c r="B179" s="14" t="s">
        <v>583</v>
      </c>
      <c r="C179" s="19">
        <v>9834</v>
      </c>
      <c r="D179" s="14" t="s">
        <v>584</v>
      </c>
      <c r="E179" s="14" t="s">
        <v>417</v>
      </c>
      <c r="F179" s="14" t="s">
        <v>1173</v>
      </c>
      <c r="G179" s="14" t="s">
        <v>154</v>
      </c>
      <c r="H179" s="55">
        <v>846800</v>
      </c>
      <c r="I179" s="55">
        <v>849353</v>
      </c>
      <c r="J179" s="55">
        <f t="shared" si="10"/>
        <v>2553</v>
      </c>
      <c r="K179" s="55">
        <v>851989</v>
      </c>
      <c r="L179" s="55">
        <f t="shared" si="11"/>
        <v>2636</v>
      </c>
      <c r="M179" s="55">
        <f>VLOOKUP(G179,'[1]01-09 al 30-09'!$G:$AI,29,FALSE)</f>
        <v>854564</v>
      </c>
      <c r="N179" s="55">
        <f t="shared" si="12"/>
        <v>2575</v>
      </c>
      <c r="O179" s="55">
        <f>VLOOKUP(G179,'[1]01-09 al 30-09'!$G:$AS,39,FALSE)</f>
        <v>857289</v>
      </c>
      <c r="P179" s="55">
        <f t="shared" si="13"/>
        <v>2725</v>
      </c>
      <c r="Q179" s="55"/>
      <c r="R179" s="55"/>
      <c r="S179" s="90">
        <f t="shared" si="14"/>
        <v>10489</v>
      </c>
      <c r="T179" s="89">
        <v>46146</v>
      </c>
      <c r="U179" s="14"/>
      <c r="V179" s="105" t="s">
        <v>2375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939</v>
      </c>
      <c r="B180" s="14" t="s">
        <v>943</v>
      </c>
      <c r="C180" s="19">
        <v>9580</v>
      </c>
      <c r="D180" s="14" t="s">
        <v>2483</v>
      </c>
      <c r="E180" s="14" t="s">
        <v>413</v>
      </c>
      <c r="F180" s="14" t="s">
        <v>1403</v>
      </c>
      <c r="G180" s="14" t="s">
        <v>2485</v>
      </c>
      <c r="H180" s="55">
        <v>138565</v>
      </c>
      <c r="I180" s="55">
        <v>138698</v>
      </c>
      <c r="J180" s="55">
        <f t="shared" si="10"/>
        <v>133</v>
      </c>
      <c r="K180" s="55">
        <v>138945</v>
      </c>
      <c r="L180" s="55">
        <f t="shared" si="11"/>
        <v>247</v>
      </c>
      <c r="M180" s="55">
        <f>VLOOKUP(G180,'[1]01-09 al 30-09'!$G:$AI,29,FALSE)</f>
        <v>139071</v>
      </c>
      <c r="N180" s="55">
        <f t="shared" si="12"/>
        <v>126</v>
      </c>
      <c r="O180" s="55">
        <f>VLOOKUP(G180,'[1]01-09 al 30-09'!$G:$AS,39,FALSE)</f>
        <v>139145</v>
      </c>
      <c r="P180" s="55">
        <f t="shared" si="13"/>
        <v>74</v>
      </c>
      <c r="Q180" s="55"/>
      <c r="R180" s="55"/>
      <c r="S180" s="90">
        <f t="shared" si="14"/>
        <v>580</v>
      </c>
      <c r="T180" s="89">
        <v>46146</v>
      </c>
      <c r="U180" s="14" t="s">
        <v>2484</v>
      </c>
      <c r="V180" s="105" t="s">
        <v>2375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939</v>
      </c>
      <c r="B181" s="14" t="s">
        <v>1016</v>
      </c>
      <c r="C181" s="19">
        <v>9566</v>
      </c>
      <c r="D181" s="14" t="s">
        <v>1017</v>
      </c>
      <c r="E181" s="14" t="s">
        <v>413</v>
      </c>
      <c r="F181" s="14" t="s">
        <v>1436</v>
      </c>
      <c r="G181" s="14" t="s">
        <v>20</v>
      </c>
      <c r="H181" s="55">
        <v>129321</v>
      </c>
      <c r="I181" s="55">
        <v>129321</v>
      </c>
      <c r="J181" s="55">
        <f t="shared" si="10"/>
        <v>0</v>
      </c>
      <c r="K181" s="55">
        <v>129321</v>
      </c>
      <c r="L181" s="55">
        <f t="shared" si="11"/>
        <v>0</v>
      </c>
      <c r="M181" s="55">
        <f>VLOOKUP(G181,'[1]01-09 al 30-09'!$G:$AI,29,FALSE)</f>
        <v>129321</v>
      </c>
      <c r="N181" s="55">
        <f t="shared" si="12"/>
        <v>0</v>
      </c>
      <c r="O181" s="55">
        <f>VLOOKUP(G181,'[1]01-09 al 30-09'!$G:$AS,39,FALSE)</f>
        <v>129321</v>
      </c>
      <c r="P181" s="55">
        <f t="shared" si="13"/>
        <v>0</v>
      </c>
      <c r="Q181" s="55"/>
      <c r="R181" s="55"/>
      <c r="S181" s="90">
        <f t="shared" si="14"/>
        <v>0</v>
      </c>
      <c r="T181" s="89">
        <v>46146</v>
      </c>
      <c r="U181" s="14"/>
      <c r="V181" s="105" t="s">
        <v>2231</v>
      </c>
      <c r="W181" s="105" t="str">
        <f>VLOOKUP(C181,'Status oficina'!$A$2:$C$208,3,FALSE)</f>
        <v>Cierre temporal</v>
      </c>
    </row>
    <row r="182" spans="1:23" ht="13.5" customHeight="1" x14ac:dyDescent="0.25">
      <c r="A182" s="53" t="s">
        <v>2442</v>
      </c>
      <c r="B182" s="14" t="s">
        <v>705</v>
      </c>
      <c r="C182" s="19">
        <v>9261</v>
      </c>
      <c r="D182" s="54" t="s">
        <v>706</v>
      </c>
      <c r="E182" s="14" t="s">
        <v>417</v>
      </c>
      <c r="F182" s="14" t="s">
        <v>1237</v>
      </c>
      <c r="G182" s="14" t="s">
        <v>400</v>
      </c>
      <c r="H182" s="55">
        <v>576696</v>
      </c>
      <c r="I182" s="55">
        <v>577903</v>
      </c>
      <c r="J182" s="55">
        <f t="shared" si="10"/>
        <v>1207</v>
      </c>
      <c r="K182" s="55">
        <v>578955</v>
      </c>
      <c r="L182" s="55">
        <f t="shared" si="11"/>
        <v>1052</v>
      </c>
      <c r="M182" s="55">
        <f>VLOOKUP(G182,'[1]01-09 al 30-09'!$G:$AI,29,FALSE)</f>
        <v>579954</v>
      </c>
      <c r="N182" s="55">
        <f t="shared" si="12"/>
        <v>999</v>
      </c>
      <c r="O182" s="55">
        <f>VLOOKUP(G182,'[1]01-09 al 30-09'!$G:$AS,39,FALSE)</f>
        <v>581082</v>
      </c>
      <c r="P182" s="55">
        <f t="shared" si="13"/>
        <v>1128</v>
      </c>
      <c r="Q182" s="55"/>
      <c r="R182" s="55"/>
      <c r="S182" s="90">
        <f t="shared" si="14"/>
        <v>4386</v>
      </c>
      <c r="T182" s="89">
        <v>46146</v>
      </c>
      <c r="U182" s="14"/>
      <c r="V182" s="105" t="s">
        <v>2375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2443</v>
      </c>
      <c r="B183" s="14" t="s">
        <v>821</v>
      </c>
      <c r="C183" s="120">
        <v>9227</v>
      </c>
      <c r="D183" s="14" t="s">
        <v>823</v>
      </c>
      <c r="E183" s="14" t="s">
        <v>417</v>
      </c>
      <c r="F183" s="14" t="s">
        <v>1311</v>
      </c>
      <c r="G183" s="14" t="s">
        <v>54</v>
      </c>
      <c r="H183" s="55">
        <v>701929</v>
      </c>
      <c r="I183" s="55">
        <v>703994</v>
      </c>
      <c r="J183" s="55">
        <f t="shared" si="10"/>
        <v>2065</v>
      </c>
      <c r="K183" s="55">
        <v>705651</v>
      </c>
      <c r="L183" s="55">
        <f t="shared" si="11"/>
        <v>1657</v>
      </c>
      <c r="M183" s="55">
        <f>VLOOKUP(G183,'[1]01-09 al 30-09'!$G:$AI,29,FALSE)</f>
        <v>706995</v>
      </c>
      <c r="N183" s="55">
        <f t="shared" si="12"/>
        <v>1344</v>
      </c>
      <c r="O183" s="55">
        <f>VLOOKUP(G183,'[1]01-09 al 30-09'!$G:$AS,39,FALSE)</f>
        <v>709091</v>
      </c>
      <c r="P183" s="55">
        <f t="shared" si="13"/>
        <v>2096</v>
      </c>
      <c r="Q183" s="55"/>
      <c r="R183" s="55"/>
      <c r="S183" s="90">
        <f t="shared" si="14"/>
        <v>7162</v>
      </c>
      <c r="T183" s="89">
        <v>46146</v>
      </c>
      <c r="U183" s="14"/>
      <c r="V183" s="105" t="s">
        <v>2375</v>
      </c>
      <c r="W183" s="105" t="str">
        <f>VLOOKUP(C183,'Status oficina'!$A$2:$C$208,3,FALSE)</f>
        <v>Activa</v>
      </c>
    </row>
    <row r="184" spans="1:23" ht="13.5" customHeight="1" x14ac:dyDescent="0.25">
      <c r="A184" s="14" t="s">
        <v>868</v>
      </c>
      <c r="B184" s="14" t="s">
        <v>913</v>
      </c>
      <c r="C184" s="120">
        <v>9817</v>
      </c>
      <c r="D184" s="14" t="s">
        <v>915</v>
      </c>
      <c r="E184" s="14" t="s">
        <v>417</v>
      </c>
      <c r="F184" s="14" t="s">
        <v>1373</v>
      </c>
      <c r="G184" s="14" t="s">
        <v>173</v>
      </c>
      <c r="H184" s="55">
        <v>769140</v>
      </c>
      <c r="I184" s="55">
        <v>771329</v>
      </c>
      <c r="J184" s="55">
        <f t="shared" si="10"/>
        <v>2189</v>
      </c>
      <c r="K184" s="55">
        <v>773398</v>
      </c>
      <c r="L184" s="55">
        <f t="shared" si="11"/>
        <v>2069</v>
      </c>
      <c r="M184" s="55">
        <f>VLOOKUP(G184,'[1]01-09 al 30-09'!$G:$AI,29,FALSE)</f>
        <v>775107</v>
      </c>
      <c r="N184" s="55">
        <f t="shared" si="12"/>
        <v>1709</v>
      </c>
      <c r="O184" s="55">
        <f>VLOOKUP(G184,'[1]01-09 al 30-09'!$G:$AS,39,FALSE)</f>
        <v>777239</v>
      </c>
      <c r="P184" s="55">
        <f t="shared" si="13"/>
        <v>2132</v>
      </c>
      <c r="Q184" s="55"/>
      <c r="R184" s="55"/>
      <c r="S184" s="90">
        <f t="shared" si="14"/>
        <v>8099</v>
      </c>
      <c r="T184" s="89">
        <v>46146</v>
      </c>
      <c r="U184" s="14"/>
      <c r="V184" s="105" t="s">
        <v>2375</v>
      </c>
      <c r="W184" s="105" t="str">
        <f>VLOOKUP(C184,'Status oficina'!$A$2:$C$208,3,FALSE)</f>
        <v>Activa</v>
      </c>
    </row>
    <row r="185" spans="1:23" ht="13.5" customHeight="1" x14ac:dyDescent="0.25">
      <c r="A185" s="53" t="s">
        <v>2442</v>
      </c>
      <c r="B185" s="14" t="s">
        <v>2394</v>
      </c>
      <c r="C185" s="120">
        <v>9217</v>
      </c>
      <c r="D185" s="14" t="s">
        <v>2051</v>
      </c>
      <c r="E185" s="14" t="s">
        <v>417</v>
      </c>
      <c r="F185" s="14" t="s">
        <v>1468</v>
      </c>
      <c r="G185" s="14" t="s">
        <v>2191</v>
      </c>
      <c r="H185" s="55">
        <v>527373</v>
      </c>
      <c r="I185" s="55">
        <v>528479</v>
      </c>
      <c r="J185" s="55">
        <f t="shared" si="10"/>
        <v>1106</v>
      </c>
      <c r="K185" s="55">
        <v>529354</v>
      </c>
      <c r="L185" s="55">
        <f t="shared" si="11"/>
        <v>875</v>
      </c>
      <c r="M185" s="55">
        <f>VLOOKUP(G185,'[1]01-09 al 30-09'!$G:$AI,29,FALSE)</f>
        <v>530017</v>
      </c>
      <c r="N185" s="55">
        <f t="shared" si="12"/>
        <v>663</v>
      </c>
      <c r="O185" s="55">
        <f>VLOOKUP(G185,'[1]01-09 al 30-09'!$G:$AS,39,FALSE)</f>
        <v>531076</v>
      </c>
      <c r="P185" s="55">
        <f t="shared" si="13"/>
        <v>1059</v>
      </c>
      <c r="Q185" s="55"/>
      <c r="R185" s="55"/>
      <c r="S185" s="90">
        <f t="shared" si="14"/>
        <v>3703</v>
      </c>
      <c r="T185" s="89">
        <v>46146</v>
      </c>
      <c r="U185" s="93" t="s">
        <v>2489</v>
      </c>
      <c r="V185" s="105" t="s">
        <v>2375</v>
      </c>
      <c r="W185" s="105" t="str">
        <f>VLOOKUP(C185,'Status oficina'!$A$2:$C$208,3,FALSE)</f>
        <v>Activa</v>
      </c>
    </row>
    <row r="186" spans="1:23" ht="13.5" customHeight="1" x14ac:dyDescent="0.25">
      <c r="A186" s="14" t="s">
        <v>939</v>
      </c>
      <c r="B186" s="14" t="s">
        <v>1031</v>
      </c>
      <c r="C186" s="120">
        <v>9612</v>
      </c>
      <c r="D186" s="14" t="s">
        <v>1032</v>
      </c>
      <c r="E186" s="14" t="s">
        <v>417</v>
      </c>
      <c r="F186" s="14" t="s">
        <v>1445</v>
      </c>
      <c r="G186" s="14" t="s">
        <v>49</v>
      </c>
      <c r="H186" s="55">
        <v>732226</v>
      </c>
      <c r="I186" s="55">
        <v>733845</v>
      </c>
      <c r="J186" s="55">
        <f t="shared" si="10"/>
        <v>1619</v>
      </c>
      <c r="K186" s="55">
        <v>735236</v>
      </c>
      <c r="L186" s="55">
        <f t="shared" si="11"/>
        <v>1391</v>
      </c>
      <c r="M186" s="55">
        <f>VLOOKUP(G186,'[1]01-09 al 30-09'!$G:$AI,29,FALSE)</f>
        <v>736862</v>
      </c>
      <c r="N186" s="55">
        <f t="shared" si="12"/>
        <v>1626</v>
      </c>
      <c r="O186" s="55">
        <f>VLOOKUP(G186,'[1]01-09 al 30-09'!$G:$AS,39,FALSE)</f>
        <v>738405</v>
      </c>
      <c r="P186" s="55">
        <f t="shared" si="13"/>
        <v>1543</v>
      </c>
      <c r="Q186" s="55"/>
      <c r="R186" s="55"/>
      <c r="S186" s="90">
        <f t="shared" si="14"/>
        <v>6179</v>
      </c>
      <c r="T186" s="89">
        <v>46146</v>
      </c>
      <c r="U186" s="14"/>
      <c r="V186" s="105" t="s">
        <v>2375</v>
      </c>
      <c r="W186" s="105" t="str">
        <f>VLOOKUP(C186,'Status oficina'!$A$2:$C$208,3,FALSE)</f>
        <v>Activa</v>
      </c>
    </row>
    <row r="187" spans="1:23" ht="13.5" customHeight="1" x14ac:dyDescent="0.25">
      <c r="A187" s="54" t="s">
        <v>2082</v>
      </c>
      <c r="B187" s="14" t="s">
        <v>536</v>
      </c>
      <c r="C187" s="120">
        <v>9396</v>
      </c>
      <c r="D187" s="14" t="s">
        <v>537</v>
      </c>
      <c r="E187" s="14" t="s">
        <v>417</v>
      </c>
      <c r="F187" s="14" t="s">
        <v>1144</v>
      </c>
      <c r="G187" s="14" t="s">
        <v>68</v>
      </c>
      <c r="H187" s="55">
        <v>616124</v>
      </c>
      <c r="I187" s="55">
        <v>616525</v>
      </c>
      <c r="J187" s="55">
        <f t="shared" si="10"/>
        <v>401</v>
      </c>
      <c r="K187" s="55">
        <v>616821</v>
      </c>
      <c r="L187" s="55">
        <f t="shared" si="11"/>
        <v>296</v>
      </c>
      <c r="M187" s="55">
        <f>VLOOKUP(G187,'[1]01-09 al 30-09'!$G:$AI,29,FALSE)</f>
        <v>617096</v>
      </c>
      <c r="N187" s="55">
        <f t="shared" si="12"/>
        <v>275</v>
      </c>
      <c r="O187" s="55">
        <f>VLOOKUP(G187,'[1]01-09 al 30-09'!$G:$AS,39,FALSE)</f>
        <v>617391</v>
      </c>
      <c r="P187" s="55">
        <f t="shared" si="13"/>
        <v>295</v>
      </c>
      <c r="Q187" s="55"/>
      <c r="R187" s="55"/>
      <c r="S187" s="90">
        <f t="shared" si="14"/>
        <v>1267</v>
      </c>
      <c r="T187" s="89">
        <v>46146</v>
      </c>
      <c r="U187" s="84"/>
      <c r="V187" s="115" t="s">
        <v>2375</v>
      </c>
      <c r="W187" s="115" t="str">
        <f>VLOOKUP(C187,'Status oficina'!$A$2:$C$208,3,FALSE)</f>
        <v>Activa</v>
      </c>
    </row>
    <row r="188" spans="1:23" ht="13.5" customHeight="1" x14ac:dyDescent="0.25">
      <c r="A188" s="14" t="s">
        <v>2082</v>
      </c>
      <c r="B188" s="14" t="s">
        <v>536</v>
      </c>
      <c r="C188" s="120">
        <v>9396</v>
      </c>
      <c r="D188" s="14" t="s">
        <v>2419</v>
      </c>
      <c r="E188" s="14" t="s">
        <v>417</v>
      </c>
      <c r="F188" s="14" t="s">
        <v>1157</v>
      </c>
      <c r="G188" s="14" t="s">
        <v>2418</v>
      </c>
      <c r="H188" s="55">
        <v>784225</v>
      </c>
      <c r="I188" s="55">
        <v>784802</v>
      </c>
      <c r="J188" s="55">
        <f t="shared" si="10"/>
        <v>577</v>
      </c>
      <c r="K188" s="55">
        <v>786436</v>
      </c>
      <c r="L188" s="55">
        <f t="shared" si="11"/>
        <v>1634</v>
      </c>
      <c r="M188" s="55">
        <f>VLOOKUP(G188,'[1]01-09 al 30-09'!$G:$AI,29,FALSE)</f>
        <v>787638</v>
      </c>
      <c r="N188" s="55">
        <f t="shared" si="12"/>
        <v>1202</v>
      </c>
      <c r="O188" s="55">
        <f>VLOOKUP(G188,'[1]01-09 al 30-09'!$G:$AS,39,FALSE)</f>
        <v>789071</v>
      </c>
      <c r="P188" s="55">
        <f t="shared" si="13"/>
        <v>1433</v>
      </c>
      <c r="Q188" s="55"/>
      <c r="R188" s="55"/>
      <c r="S188" s="90">
        <f t="shared" si="14"/>
        <v>4846</v>
      </c>
      <c r="T188" s="89">
        <v>46146</v>
      </c>
      <c r="U188" s="54" t="s">
        <v>2420</v>
      </c>
      <c r="V188" s="24" t="s">
        <v>2375</v>
      </c>
      <c r="W188" s="24" t="s">
        <v>2228</v>
      </c>
    </row>
    <row r="189" spans="1:23" ht="13.5" customHeight="1" x14ac:dyDescent="0.25">
      <c r="A189" s="14" t="s">
        <v>939</v>
      </c>
      <c r="B189" s="14" t="s">
        <v>940</v>
      </c>
      <c r="C189" s="19">
        <v>9660</v>
      </c>
      <c r="D189" s="14" t="s">
        <v>941</v>
      </c>
      <c r="E189" s="14" t="s">
        <v>417</v>
      </c>
      <c r="F189" s="14" t="s">
        <v>942</v>
      </c>
      <c r="G189" s="14"/>
      <c r="H189" s="55">
        <v>677840</v>
      </c>
      <c r="I189" s="55">
        <v>677840</v>
      </c>
      <c r="J189" s="55">
        <f t="shared" si="10"/>
        <v>0</v>
      </c>
      <c r="K189" s="55">
        <v>677840</v>
      </c>
      <c r="L189" s="55">
        <f t="shared" si="11"/>
        <v>0</v>
      </c>
      <c r="M189" s="55">
        <v>677840</v>
      </c>
      <c r="N189" s="55">
        <f t="shared" si="12"/>
        <v>0</v>
      </c>
      <c r="O189" s="55">
        <v>677840</v>
      </c>
      <c r="P189" s="55">
        <f t="shared" si="13"/>
        <v>0</v>
      </c>
      <c r="Q189" s="55"/>
      <c r="R189" s="55"/>
      <c r="S189" s="90">
        <f t="shared" si="14"/>
        <v>0</v>
      </c>
      <c r="T189" s="89">
        <v>46146</v>
      </c>
      <c r="U189" s="13" t="s">
        <v>2458</v>
      </c>
      <c r="V189" s="117" t="s">
        <v>2374</v>
      </c>
      <c r="W189" s="107" t="str">
        <f>VLOOKUP(C189,'Status oficina'!$A$2:$C$208,3,FALSE)</f>
        <v>Cierre temporal</v>
      </c>
    </row>
    <row r="190" spans="1:23" ht="13.5" customHeight="1" x14ac:dyDescent="0.25">
      <c r="A190" s="14" t="s">
        <v>939</v>
      </c>
      <c r="B190" s="14" t="s">
        <v>1049</v>
      </c>
      <c r="C190" s="22">
        <v>9611</v>
      </c>
      <c r="D190" s="54" t="s">
        <v>1050</v>
      </c>
      <c r="E190" s="54" t="s">
        <v>417</v>
      </c>
      <c r="F190" s="54" t="s">
        <v>1051</v>
      </c>
      <c r="G190" s="54" t="s">
        <v>9</v>
      </c>
      <c r="H190" s="55">
        <v>237281</v>
      </c>
      <c r="I190" s="55">
        <v>237281</v>
      </c>
      <c r="J190" s="55">
        <f t="shared" si="10"/>
        <v>0</v>
      </c>
      <c r="K190" s="55">
        <v>237281</v>
      </c>
      <c r="L190" s="55">
        <f t="shared" si="11"/>
        <v>0</v>
      </c>
      <c r="M190" s="55">
        <f>VLOOKUP(G190,'[1]01-09 al 30-09'!$G:$AI,29,FALSE)</f>
        <v>237281</v>
      </c>
      <c r="N190" s="55">
        <f t="shared" si="12"/>
        <v>0</v>
      </c>
      <c r="O190" s="55">
        <f>VLOOKUP(G190,'[1]01-09 al 30-09'!$G:$AS,39,FALSE)</f>
        <v>237281</v>
      </c>
      <c r="P190" s="55">
        <f t="shared" si="13"/>
        <v>0</v>
      </c>
      <c r="Q190" s="55"/>
      <c r="R190" s="55"/>
      <c r="S190" s="90">
        <f t="shared" si="14"/>
        <v>0</v>
      </c>
      <c r="T190" s="89">
        <v>46146</v>
      </c>
      <c r="U190" s="14"/>
      <c r="V190" s="105" t="s">
        <v>2231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939</v>
      </c>
      <c r="B191" s="14" t="s">
        <v>1049</v>
      </c>
      <c r="C191" s="22">
        <v>9611</v>
      </c>
      <c r="D191" s="14" t="s">
        <v>1052</v>
      </c>
      <c r="E191" s="15" t="s">
        <v>413</v>
      </c>
      <c r="F191" s="14" t="s">
        <v>1053</v>
      </c>
      <c r="G191" s="14" t="s">
        <v>358</v>
      </c>
      <c r="H191" s="55">
        <v>96667</v>
      </c>
      <c r="I191" s="55">
        <v>96667</v>
      </c>
      <c r="J191" s="55">
        <f t="shared" si="10"/>
        <v>0</v>
      </c>
      <c r="K191" s="55">
        <v>96667</v>
      </c>
      <c r="L191" s="55">
        <f t="shared" si="11"/>
        <v>0</v>
      </c>
      <c r="M191" s="55">
        <f>VLOOKUP(G191,'[1]01-09 al 30-09'!$G:$AI,29,FALSE)</f>
        <v>96667</v>
      </c>
      <c r="N191" s="55">
        <f t="shared" si="12"/>
        <v>0</v>
      </c>
      <c r="O191" s="55">
        <f>VLOOKUP(G191,'[1]01-09 al 30-09'!$G:$AS,39,FALSE)</f>
        <v>96667</v>
      </c>
      <c r="P191" s="55">
        <f t="shared" si="13"/>
        <v>0</v>
      </c>
      <c r="Q191" s="55"/>
      <c r="R191" s="55"/>
      <c r="S191" s="90">
        <f t="shared" si="14"/>
        <v>0</v>
      </c>
      <c r="T191" s="89">
        <v>46146</v>
      </c>
      <c r="U191" s="14"/>
      <c r="V191" s="105" t="s">
        <v>2231</v>
      </c>
      <c r="W191" s="105" t="str">
        <f>VLOOKUP(C191,'Status oficina'!$A$2:$C$208,3,FALSE)</f>
        <v>Cierre temporal</v>
      </c>
    </row>
    <row r="192" spans="1:23" ht="13.5" customHeight="1" x14ac:dyDescent="0.25">
      <c r="A192" s="14" t="s">
        <v>939</v>
      </c>
      <c r="B192" s="14" t="s">
        <v>1031</v>
      </c>
      <c r="C192" s="120">
        <v>9612</v>
      </c>
      <c r="D192" s="14" t="s">
        <v>1033</v>
      </c>
      <c r="E192" s="14" t="s">
        <v>413</v>
      </c>
      <c r="F192" s="14" t="s">
        <v>1446</v>
      </c>
      <c r="G192" s="14"/>
      <c r="H192" s="55">
        <v>150387</v>
      </c>
      <c r="I192" s="55">
        <v>150387</v>
      </c>
      <c r="J192" s="55">
        <f t="shared" si="10"/>
        <v>0</v>
      </c>
      <c r="K192" s="55">
        <v>150387</v>
      </c>
      <c r="L192" s="55">
        <f t="shared" si="11"/>
        <v>0</v>
      </c>
      <c r="M192" s="55">
        <v>150387</v>
      </c>
      <c r="N192" s="55">
        <f t="shared" si="12"/>
        <v>0</v>
      </c>
      <c r="O192" s="55">
        <v>150387</v>
      </c>
      <c r="P192" s="55">
        <f t="shared" si="13"/>
        <v>0</v>
      </c>
      <c r="Q192" s="55"/>
      <c r="R192" s="55"/>
      <c r="S192" s="90">
        <f t="shared" si="14"/>
        <v>0</v>
      </c>
      <c r="T192" s="89">
        <v>46146</v>
      </c>
      <c r="U192" s="14"/>
      <c r="V192" s="105" t="s">
        <v>2374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2082</v>
      </c>
      <c r="B193" s="14" t="s">
        <v>560</v>
      </c>
      <c r="C193" s="120">
        <v>9360</v>
      </c>
      <c r="D193" s="14" t="s">
        <v>561</v>
      </c>
      <c r="E193" s="14" t="s">
        <v>417</v>
      </c>
      <c r="F193" s="14" t="s">
        <v>1161</v>
      </c>
      <c r="G193" s="14" t="s">
        <v>224</v>
      </c>
      <c r="H193" s="55">
        <v>665201</v>
      </c>
      <c r="I193" s="55">
        <v>665779</v>
      </c>
      <c r="J193" s="55">
        <f t="shared" si="10"/>
        <v>578</v>
      </c>
      <c r="K193" s="55">
        <v>666280</v>
      </c>
      <c r="L193" s="55">
        <f t="shared" si="11"/>
        <v>501</v>
      </c>
      <c r="M193" s="55">
        <f>VLOOKUP(G193,'[1]01-09 al 30-09'!$G:$AI,29,FALSE)</f>
        <v>666868</v>
      </c>
      <c r="N193" s="55">
        <f t="shared" si="12"/>
        <v>588</v>
      </c>
      <c r="O193" s="55">
        <f>VLOOKUP(G193,'[1]01-09 al 30-09'!$G:$AS,39,FALSE)</f>
        <v>667695</v>
      </c>
      <c r="P193" s="55">
        <f t="shared" si="13"/>
        <v>827</v>
      </c>
      <c r="Q193" s="55"/>
      <c r="R193" s="55"/>
      <c r="S193" s="90">
        <f t="shared" si="14"/>
        <v>2494</v>
      </c>
      <c r="T193" s="89">
        <v>46146</v>
      </c>
      <c r="U193" s="14"/>
      <c r="V193" s="105" t="s">
        <v>2375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2082</v>
      </c>
      <c r="B194" s="14" t="s">
        <v>619</v>
      </c>
      <c r="C194" s="22">
        <v>9832</v>
      </c>
      <c r="D194" s="14" t="s">
        <v>621</v>
      </c>
      <c r="E194" s="15" t="s">
        <v>417</v>
      </c>
      <c r="F194" s="14" t="s">
        <v>1188</v>
      </c>
      <c r="G194" s="15" t="s">
        <v>359</v>
      </c>
      <c r="H194" s="55">
        <v>677481</v>
      </c>
      <c r="I194" s="55">
        <v>678486</v>
      </c>
      <c r="J194" s="55">
        <f t="shared" si="10"/>
        <v>1005</v>
      </c>
      <c r="K194" s="55">
        <v>679582</v>
      </c>
      <c r="L194" s="55">
        <f t="shared" si="11"/>
        <v>1096</v>
      </c>
      <c r="M194" s="55">
        <f>VLOOKUP(G194,'[1]01-09 al 30-09'!$G:$AI,29,FALSE)</f>
        <v>680213</v>
      </c>
      <c r="N194" s="55">
        <f t="shared" si="12"/>
        <v>631</v>
      </c>
      <c r="O194" s="55">
        <f>VLOOKUP(G194,'[1]01-09 al 30-09'!$G:$AS,39,FALSE)</f>
        <v>680605</v>
      </c>
      <c r="P194" s="55">
        <f t="shared" si="13"/>
        <v>392</v>
      </c>
      <c r="Q194" s="55"/>
      <c r="R194" s="55"/>
      <c r="S194" s="90">
        <f t="shared" si="14"/>
        <v>3124</v>
      </c>
      <c r="T194" s="89">
        <v>46146</v>
      </c>
      <c r="U194" s="14"/>
      <c r="V194" s="105" t="s">
        <v>2375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939</v>
      </c>
      <c r="B195" s="14" t="s">
        <v>969</v>
      </c>
      <c r="C195" s="120">
        <v>9540</v>
      </c>
      <c r="D195" s="14" t="s">
        <v>971</v>
      </c>
      <c r="E195" s="14" t="s">
        <v>417</v>
      </c>
      <c r="F195" s="14" t="s">
        <v>1411</v>
      </c>
      <c r="G195" s="14" t="s">
        <v>382</v>
      </c>
      <c r="H195" s="55">
        <v>779749</v>
      </c>
      <c r="I195" s="55">
        <v>780827</v>
      </c>
      <c r="J195" s="55">
        <f t="shared" ref="J195:J258" si="15">I195-H195</f>
        <v>1078</v>
      </c>
      <c r="K195" s="55">
        <v>781942</v>
      </c>
      <c r="L195" s="55">
        <f t="shared" ref="L195:L258" si="16">K195-I195</f>
        <v>1115</v>
      </c>
      <c r="M195" s="55">
        <f>VLOOKUP(G195,'[1]01-09 al 30-09'!$G:$AI,29,FALSE)</f>
        <v>782489</v>
      </c>
      <c r="N195" s="55">
        <f t="shared" ref="N195:N258" si="17">M195-K195</f>
        <v>547</v>
      </c>
      <c r="O195" s="55">
        <f>VLOOKUP(G195,'[1]01-09 al 30-09'!$G:$AS,39,FALSE)</f>
        <v>783095</v>
      </c>
      <c r="P195" s="55">
        <f t="shared" ref="P195:P258" si="18">O195-M195</f>
        <v>606</v>
      </c>
      <c r="Q195" s="55"/>
      <c r="R195" s="55"/>
      <c r="S195" s="90">
        <f t="shared" ref="S195:S258" si="19">R195+P195+N195+L195+J195</f>
        <v>3346</v>
      </c>
      <c r="T195" s="89">
        <v>46146</v>
      </c>
      <c r="U195" s="14"/>
      <c r="V195" s="105" t="s">
        <v>2375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2082</v>
      </c>
      <c r="B196" s="14" t="s">
        <v>628</v>
      </c>
      <c r="C196" s="120">
        <v>9446</v>
      </c>
      <c r="D196" s="14" t="s">
        <v>629</v>
      </c>
      <c r="E196" s="14" t="s">
        <v>417</v>
      </c>
      <c r="F196" s="14" t="s">
        <v>1191</v>
      </c>
      <c r="G196" s="14" t="s">
        <v>193</v>
      </c>
      <c r="H196" s="55">
        <v>503742</v>
      </c>
      <c r="I196" s="55">
        <v>503742</v>
      </c>
      <c r="J196" s="55">
        <f t="shared" si="15"/>
        <v>0</v>
      </c>
      <c r="K196" s="55">
        <v>503742</v>
      </c>
      <c r="L196" s="55">
        <f t="shared" si="16"/>
        <v>0</v>
      </c>
      <c r="M196" s="55">
        <f>VLOOKUP(G196,'[1]01-09 al 30-09'!$G:$AI,29,FALSE)</f>
        <v>503742</v>
      </c>
      <c r="N196" s="55">
        <f t="shared" si="17"/>
        <v>0</v>
      </c>
      <c r="O196" s="55">
        <f>VLOOKUP(G196,'[1]01-09 al 30-09'!$G:$AS,39,FALSE)</f>
        <v>503742</v>
      </c>
      <c r="P196" s="55">
        <f t="shared" si="18"/>
        <v>0</v>
      </c>
      <c r="Q196" s="55"/>
      <c r="R196" s="55"/>
      <c r="S196" s="90">
        <f t="shared" si="19"/>
        <v>0</v>
      </c>
      <c r="T196" s="89">
        <v>46146</v>
      </c>
      <c r="U196" s="14"/>
      <c r="V196" s="105" t="s">
        <v>2375</v>
      </c>
      <c r="W196" s="105" t="str">
        <f>VLOOKUP(C196,'Status oficina'!$A$2:$C$208,3,FALSE)</f>
        <v>Activa</v>
      </c>
    </row>
    <row r="197" spans="1:23" ht="13.5" customHeight="1" x14ac:dyDescent="0.25">
      <c r="A197" s="14" t="s">
        <v>939</v>
      </c>
      <c r="B197" s="14" t="s">
        <v>966</v>
      </c>
      <c r="C197" s="19">
        <v>9630</v>
      </c>
      <c r="D197" s="14" t="s">
        <v>968</v>
      </c>
      <c r="E197" s="14" t="s">
        <v>413</v>
      </c>
      <c r="F197" s="14" t="s">
        <v>1408</v>
      </c>
      <c r="G197" s="14"/>
      <c r="H197" s="55">
        <v>185451</v>
      </c>
      <c r="I197" s="55">
        <v>185451</v>
      </c>
      <c r="J197" s="55">
        <f t="shared" si="15"/>
        <v>0</v>
      </c>
      <c r="K197" s="55">
        <v>185451</v>
      </c>
      <c r="L197" s="55">
        <f t="shared" si="16"/>
        <v>0</v>
      </c>
      <c r="M197" s="55">
        <v>185451</v>
      </c>
      <c r="N197" s="55">
        <f t="shared" si="17"/>
        <v>0</v>
      </c>
      <c r="O197" s="55">
        <v>185451</v>
      </c>
      <c r="P197" s="55">
        <f t="shared" si="18"/>
        <v>0</v>
      </c>
      <c r="Q197" s="55"/>
      <c r="R197" s="55"/>
      <c r="S197" s="90">
        <f t="shared" si="19"/>
        <v>0</v>
      </c>
      <c r="T197" s="89">
        <v>46146</v>
      </c>
      <c r="U197" s="14" t="s">
        <v>2222</v>
      </c>
      <c r="V197" s="105" t="s">
        <v>2374</v>
      </c>
      <c r="W197" s="105" t="str">
        <f>VLOOKUP(C197,'Status oficina'!$A$2:$C$208,3,FALSE)</f>
        <v>Activa</v>
      </c>
    </row>
    <row r="198" spans="1:23" ht="13.5" customHeight="1" x14ac:dyDescent="0.25">
      <c r="A198" s="53" t="s">
        <v>868</v>
      </c>
      <c r="B198" s="53" t="s">
        <v>428</v>
      </c>
      <c r="C198" s="123">
        <v>9837</v>
      </c>
      <c r="D198" s="14" t="s">
        <v>430</v>
      </c>
      <c r="E198" s="14" t="s">
        <v>417</v>
      </c>
      <c r="F198" s="14" t="s">
        <v>1073</v>
      </c>
      <c r="G198" s="14" t="s">
        <v>34</v>
      </c>
      <c r="H198" s="55">
        <v>1022088</v>
      </c>
      <c r="I198" s="55">
        <v>1024311</v>
      </c>
      <c r="J198" s="55">
        <f t="shared" si="15"/>
        <v>2223</v>
      </c>
      <c r="K198" s="55">
        <v>1025080</v>
      </c>
      <c r="L198" s="55">
        <f t="shared" si="16"/>
        <v>769</v>
      </c>
      <c r="M198" s="55">
        <f>VLOOKUP(G198,'[1]01-09 al 30-09'!$G:$AI,29,FALSE)</f>
        <v>1025080</v>
      </c>
      <c r="N198" s="55">
        <f t="shared" si="17"/>
        <v>0</v>
      </c>
      <c r="O198" s="55">
        <f>VLOOKUP(G198,'[1]01-09 al 30-09'!$G:$AS,39,FALSE)</f>
        <v>1025080</v>
      </c>
      <c r="P198" s="55">
        <f t="shared" si="18"/>
        <v>0</v>
      </c>
      <c r="Q198" s="55"/>
      <c r="R198" s="55"/>
      <c r="S198" s="90">
        <f t="shared" si="19"/>
        <v>2992</v>
      </c>
      <c r="T198" s="89">
        <v>46146</v>
      </c>
      <c r="U198" s="14"/>
      <c r="V198" s="105" t="s">
        <v>2375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939</v>
      </c>
      <c r="B199" s="14" t="s">
        <v>978</v>
      </c>
      <c r="C199" s="19">
        <v>9640</v>
      </c>
      <c r="D199" s="14" t="s">
        <v>979</v>
      </c>
      <c r="E199" s="14" t="s">
        <v>417</v>
      </c>
      <c r="F199" s="14" t="s">
        <v>1415</v>
      </c>
      <c r="G199" s="14" t="s">
        <v>168</v>
      </c>
      <c r="H199" s="55">
        <v>207865</v>
      </c>
      <c r="I199" s="55">
        <v>207865</v>
      </c>
      <c r="J199" s="55">
        <f t="shared" si="15"/>
        <v>0</v>
      </c>
      <c r="K199" s="55">
        <v>207865</v>
      </c>
      <c r="L199" s="55">
        <f t="shared" si="16"/>
        <v>0</v>
      </c>
      <c r="M199" s="55">
        <f>VLOOKUP(G199,'[1]01-09 al 30-09'!$G:$AI,29,FALSE)</f>
        <v>207865</v>
      </c>
      <c r="N199" s="55">
        <f t="shared" si="17"/>
        <v>0</v>
      </c>
      <c r="O199" s="55">
        <f>VLOOKUP(G199,'[1]01-09 al 30-09'!$G:$AS,39,FALSE)</f>
        <v>207865</v>
      </c>
      <c r="P199" s="55">
        <f t="shared" si="18"/>
        <v>0</v>
      </c>
      <c r="Q199" s="55"/>
      <c r="R199" s="55"/>
      <c r="S199" s="90">
        <f t="shared" si="19"/>
        <v>0</v>
      </c>
      <c r="T199" s="89">
        <v>46146</v>
      </c>
      <c r="U199" s="14" t="s">
        <v>2033</v>
      </c>
      <c r="V199" s="105" t="s">
        <v>2231</v>
      </c>
      <c r="W199" s="105" t="str">
        <f>VLOOKUP(C199,'Status oficina'!$A$2:$C$208,3,FALSE)</f>
        <v>Cierre temporal</v>
      </c>
    </row>
    <row r="200" spans="1:23" ht="13.5" customHeight="1" x14ac:dyDescent="0.25">
      <c r="A200" s="14" t="s">
        <v>939</v>
      </c>
      <c r="B200" s="14" t="s">
        <v>992</v>
      </c>
      <c r="C200" s="120">
        <v>9610</v>
      </c>
      <c r="D200" s="14" t="s">
        <v>993</v>
      </c>
      <c r="E200" s="14" t="s">
        <v>417</v>
      </c>
      <c r="F200" s="14" t="s">
        <v>1426</v>
      </c>
      <c r="G200" s="14" t="s">
        <v>164</v>
      </c>
      <c r="H200" s="55">
        <v>900103</v>
      </c>
      <c r="I200" s="55">
        <v>901304</v>
      </c>
      <c r="J200" s="55">
        <f t="shared" si="15"/>
        <v>1201</v>
      </c>
      <c r="K200" s="55">
        <v>902676</v>
      </c>
      <c r="L200" s="55">
        <f t="shared" si="16"/>
        <v>1372</v>
      </c>
      <c r="M200" s="55">
        <f>VLOOKUP(G200,'[1]01-09 al 30-09'!$G:$AI,29,FALSE)</f>
        <v>903832</v>
      </c>
      <c r="N200" s="55">
        <f t="shared" si="17"/>
        <v>1156</v>
      </c>
      <c r="O200" s="55">
        <f>VLOOKUP(G200,'[1]01-09 al 30-09'!$G:$AS,39,FALSE)</f>
        <v>905097</v>
      </c>
      <c r="P200" s="55">
        <f t="shared" si="18"/>
        <v>1265</v>
      </c>
      <c r="Q200" s="55"/>
      <c r="R200" s="55"/>
      <c r="S200" s="90">
        <f t="shared" si="19"/>
        <v>4994</v>
      </c>
      <c r="T200" s="89">
        <v>46146</v>
      </c>
      <c r="U200" s="14"/>
      <c r="V200" s="105" t="s">
        <v>2375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939</v>
      </c>
      <c r="B201" s="14" t="s">
        <v>966</v>
      </c>
      <c r="C201" s="19">
        <v>9630</v>
      </c>
      <c r="D201" s="14" t="s">
        <v>967</v>
      </c>
      <c r="E201" s="14" t="s">
        <v>417</v>
      </c>
      <c r="F201" s="14" t="s">
        <v>1407</v>
      </c>
      <c r="G201" s="14" t="s">
        <v>116</v>
      </c>
      <c r="H201" s="55">
        <v>1073058</v>
      </c>
      <c r="I201" s="55">
        <v>1075143</v>
      </c>
      <c r="J201" s="55">
        <f t="shared" si="15"/>
        <v>2085</v>
      </c>
      <c r="K201" s="55">
        <v>1077186</v>
      </c>
      <c r="L201" s="55">
        <f t="shared" si="16"/>
        <v>2043</v>
      </c>
      <c r="M201" s="55">
        <f>VLOOKUP(G201,'[1]01-09 al 30-09'!$G:$AI,29,FALSE)</f>
        <v>1078493</v>
      </c>
      <c r="N201" s="55">
        <f t="shared" si="17"/>
        <v>1307</v>
      </c>
      <c r="O201" s="55">
        <f>VLOOKUP(G201,'[1]01-09 al 30-09'!$G:$AS,39,FALSE)</f>
        <v>1080563</v>
      </c>
      <c r="P201" s="55">
        <f t="shared" si="18"/>
        <v>2070</v>
      </c>
      <c r="Q201" s="55"/>
      <c r="R201" s="55"/>
      <c r="S201" s="90">
        <f t="shared" si="19"/>
        <v>7505</v>
      </c>
      <c r="T201" s="89">
        <v>46146</v>
      </c>
      <c r="U201" s="14"/>
      <c r="V201" s="105" t="s">
        <v>2375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2082</v>
      </c>
      <c r="B202" s="14" t="s">
        <v>594</v>
      </c>
      <c r="C202" s="19">
        <v>9831</v>
      </c>
      <c r="D202" s="14" t="s">
        <v>595</v>
      </c>
      <c r="E202" s="14" t="s">
        <v>417</v>
      </c>
      <c r="F202" s="14" t="s">
        <v>1059</v>
      </c>
      <c r="G202" s="14" t="s">
        <v>167</v>
      </c>
      <c r="H202" s="55">
        <v>836362</v>
      </c>
      <c r="I202" s="55">
        <v>839152</v>
      </c>
      <c r="J202" s="55">
        <f t="shared" si="15"/>
        <v>2790</v>
      </c>
      <c r="K202" s="55">
        <v>841113</v>
      </c>
      <c r="L202" s="55">
        <f t="shared" si="16"/>
        <v>1961</v>
      </c>
      <c r="M202" s="55">
        <f>VLOOKUP(G202,'[1]01-09 al 30-09'!$G:$AI,29,FALSE)</f>
        <v>843072</v>
      </c>
      <c r="N202" s="55">
        <f t="shared" si="17"/>
        <v>1959</v>
      </c>
      <c r="O202" s="55">
        <f>VLOOKUP(G202,'[1]01-09 al 30-09'!$G:$AS,39,FALSE)</f>
        <v>845750</v>
      </c>
      <c r="P202" s="55">
        <f t="shared" si="18"/>
        <v>2678</v>
      </c>
      <c r="Q202" s="55"/>
      <c r="R202" s="55"/>
      <c r="S202" s="90">
        <f t="shared" si="19"/>
        <v>9388</v>
      </c>
      <c r="T202" s="89">
        <v>46146</v>
      </c>
      <c r="U202" s="14"/>
      <c r="V202" s="105" t="s">
        <v>2375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939</v>
      </c>
      <c r="B203" s="14" t="s">
        <v>1054</v>
      </c>
      <c r="C203" s="22">
        <v>9654</v>
      </c>
      <c r="D203" s="14" t="s">
        <v>1055</v>
      </c>
      <c r="E203" s="14" t="s">
        <v>417</v>
      </c>
      <c r="F203" s="12" t="s">
        <v>1461</v>
      </c>
      <c r="G203" s="14" t="s">
        <v>14</v>
      </c>
      <c r="H203" s="55">
        <v>494977</v>
      </c>
      <c r="I203" s="55">
        <v>494977</v>
      </c>
      <c r="J203" s="55">
        <f t="shared" si="15"/>
        <v>0</v>
      </c>
      <c r="K203" s="55">
        <v>494977</v>
      </c>
      <c r="L203" s="55">
        <f t="shared" si="16"/>
        <v>0</v>
      </c>
      <c r="M203" s="55">
        <f>VLOOKUP(G203,'[1]01-09 al 30-09'!$G:$AI,29,FALSE)</f>
        <v>494977</v>
      </c>
      <c r="N203" s="55">
        <f t="shared" si="17"/>
        <v>0</v>
      </c>
      <c r="O203" s="55">
        <f>VLOOKUP(G203,'[1]01-09 al 30-09'!$G:$AS,39,FALSE)</f>
        <v>494977</v>
      </c>
      <c r="P203" s="55">
        <f t="shared" si="18"/>
        <v>0</v>
      </c>
      <c r="Q203" s="55"/>
      <c r="R203" s="55"/>
      <c r="S203" s="90">
        <f t="shared" si="19"/>
        <v>0</v>
      </c>
      <c r="T203" s="89">
        <v>46146</v>
      </c>
      <c r="U203" s="14"/>
      <c r="V203" s="105" t="s">
        <v>2231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939</v>
      </c>
      <c r="B204" s="14" t="s">
        <v>1054</v>
      </c>
      <c r="C204" s="22">
        <v>9654</v>
      </c>
      <c r="D204" s="14" t="s">
        <v>1055</v>
      </c>
      <c r="E204" s="14" t="s">
        <v>413</v>
      </c>
      <c r="F204" s="14" t="s">
        <v>1462</v>
      </c>
      <c r="G204" s="14" t="s">
        <v>391</v>
      </c>
      <c r="H204" s="55">
        <v>173577</v>
      </c>
      <c r="I204" s="55">
        <v>173577</v>
      </c>
      <c r="J204" s="55">
        <f t="shared" si="15"/>
        <v>0</v>
      </c>
      <c r="K204" s="55">
        <v>173577</v>
      </c>
      <c r="L204" s="55">
        <f t="shared" si="16"/>
        <v>0</v>
      </c>
      <c r="M204" s="55">
        <f>VLOOKUP(G204,'[1]01-09 al 30-09'!$G:$AI,29,FALSE)</f>
        <v>173577</v>
      </c>
      <c r="N204" s="55">
        <f t="shared" si="17"/>
        <v>0</v>
      </c>
      <c r="O204" s="55">
        <f>VLOOKUP(G204,'[1]01-09 al 30-09'!$G:$AS,39,FALSE)</f>
        <v>173577</v>
      </c>
      <c r="P204" s="55">
        <f t="shared" si="18"/>
        <v>0</v>
      </c>
      <c r="Q204" s="55"/>
      <c r="R204" s="55"/>
      <c r="S204" s="90">
        <f t="shared" si="19"/>
        <v>0</v>
      </c>
      <c r="T204" s="89">
        <v>46146</v>
      </c>
      <c r="U204" s="14"/>
      <c r="V204" s="105" t="s">
        <v>2231</v>
      </c>
      <c r="W204" s="105" t="str">
        <f>VLOOKUP(C204,'Status oficina'!$A$2:$C$208,3,FALSE)</f>
        <v>Cierre temporal</v>
      </c>
    </row>
    <row r="205" spans="1:23" ht="13.5" customHeight="1" x14ac:dyDescent="0.25">
      <c r="A205" s="14" t="s">
        <v>868</v>
      </c>
      <c r="B205" s="14" t="s">
        <v>881</v>
      </c>
      <c r="C205" s="19">
        <v>9815</v>
      </c>
      <c r="D205" s="14" t="s">
        <v>883</v>
      </c>
      <c r="E205" s="14" t="s">
        <v>417</v>
      </c>
      <c r="F205" s="14" t="s">
        <v>1347</v>
      </c>
      <c r="G205" s="14" t="s">
        <v>276</v>
      </c>
      <c r="H205" s="55">
        <v>772899</v>
      </c>
      <c r="I205" s="55">
        <v>774638</v>
      </c>
      <c r="J205" s="55">
        <f t="shared" si="15"/>
        <v>1739</v>
      </c>
      <c r="K205" s="55">
        <v>776512</v>
      </c>
      <c r="L205" s="55">
        <f t="shared" si="16"/>
        <v>1874</v>
      </c>
      <c r="M205" s="55">
        <f>VLOOKUP(G205,'[1]01-09 al 30-09'!$G:$AI,29,FALSE)</f>
        <v>777949</v>
      </c>
      <c r="N205" s="55">
        <f t="shared" si="17"/>
        <v>1437</v>
      </c>
      <c r="O205" s="55">
        <f>VLOOKUP(G205,'[1]01-09 al 30-09'!$G:$AS,39,FALSE)</f>
        <v>779777</v>
      </c>
      <c r="P205" s="55">
        <f t="shared" si="18"/>
        <v>1828</v>
      </c>
      <c r="Q205" s="55"/>
      <c r="R205" s="55"/>
      <c r="S205" s="90">
        <f t="shared" si="19"/>
        <v>6878</v>
      </c>
      <c r="T205" s="89">
        <v>46146</v>
      </c>
      <c r="U205" s="14"/>
      <c r="V205" s="105" t="s">
        <v>2375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2082</v>
      </c>
      <c r="B206" s="14" t="s">
        <v>524</v>
      </c>
      <c r="C206" s="19">
        <v>9340</v>
      </c>
      <c r="D206" s="14" t="s">
        <v>525</v>
      </c>
      <c r="E206" s="14" t="s">
        <v>417</v>
      </c>
      <c r="F206" s="14" t="s">
        <v>1139</v>
      </c>
      <c r="G206" s="14" t="s">
        <v>3</v>
      </c>
      <c r="H206" s="55">
        <v>1155293</v>
      </c>
      <c r="I206" s="55">
        <v>1156966</v>
      </c>
      <c r="J206" s="55">
        <f t="shared" si="15"/>
        <v>1673</v>
      </c>
      <c r="K206" s="55">
        <v>1158974</v>
      </c>
      <c r="L206" s="55">
        <f t="shared" si="16"/>
        <v>2008</v>
      </c>
      <c r="M206" s="55">
        <f>VLOOKUP(G206,'[1]01-09 al 30-09'!$G:$AI,29,FALSE)</f>
        <v>1160902</v>
      </c>
      <c r="N206" s="55">
        <f t="shared" si="17"/>
        <v>1928</v>
      </c>
      <c r="O206" s="55">
        <f>VLOOKUP(G206,'[1]01-09 al 30-09'!$G:$AS,39,FALSE)</f>
        <v>1163412</v>
      </c>
      <c r="P206" s="55">
        <f t="shared" si="18"/>
        <v>2510</v>
      </c>
      <c r="Q206" s="55"/>
      <c r="R206" s="55"/>
      <c r="S206" s="90">
        <f t="shared" si="19"/>
        <v>8119</v>
      </c>
      <c r="T206" s="89">
        <v>46146</v>
      </c>
      <c r="U206" s="14"/>
      <c r="V206" s="105" t="s">
        <v>2375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2082</v>
      </c>
      <c r="B207" s="14" t="s">
        <v>524</v>
      </c>
      <c r="C207" s="19">
        <v>9340</v>
      </c>
      <c r="D207" s="14" t="s">
        <v>2403</v>
      </c>
      <c r="E207" s="14" t="s">
        <v>413</v>
      </c>
      <c r="F207" s="14" t="s">
        <v>2401</v>
      </c>
      <c r="G207" s="14" t="s">
        <v>2402</v>
      </c>
      <c r="H207" s="55">
        <v>325531</v>
      </c>
      <c r="I207" s="55">
        <v>325792</v>
      </c>
      <c r="J207" s="55">
        <f t="shared" si="15"/>
        <v>261</v>
      </c>
      <c r="K207" s="55">
        <v>326013</v>
      </c>
      <c r="L207" s="55">
        <f t="shared" si="16"/>
        <v>221</v>
      </c>
      <c r="M207" s="55">
        <f>VLOOKUP(G207,'[1]01-09 al 30-09'!$G:$AI,29,FALSE)</f>
        <v>326143</v>
      </c>
      <c r="N207" s="55">
        <f t="shared" si="17"/>
        <v>130</v>
      </c>
      <c r="O207" s="55">
        <f>VLOOKUP(G207,'[1]01-09 al 30-09'!$G:$AS,39,FALSE)</f>
        <v>326281</v>
      </c>
      <c r="P207" s="55">
        <f t="shared" si="18"/>
        <v>138</v>
      </c>
      <c r="Q207" s="55"/>
      <c r="R207" s="55"/>
      <c r="S207" s="90">
        <f t="shared" si="19"/>
        <v>750</v>
      </c>
      <c r="T207" s="89">
        <v>46146</v>
      </c>
      <c r="U207" s="14"/>
      <c r="V207" s="105" t="s">
        <v>2375</v>
      </c>
      <c r="W207" s="105" t="str">
        <f>VLOOKUP(C207,'Status oficina'!$A$2:$C$208,3,FALSE)</f>
        <v>Activa</v>
      </c>
    </row>
    <row r="208" spans="1:23" ht="13.5" customHeight="1" x14ac:dyDescent="0.25">
      <c r="A208" s="53" t="s">
        <v>868</v>
      </c>
      <c r="B208" s="53" t="s">
        <v>444</v>
      </c>
      <c r="C208" s="120">
        <v>9947</v>
      </c>
      <c r="D208" s="14" t="s">
        <v>445</v>
      </c>
      <c r="E208" s="14" t="s">
        <v>417</v>
      </c>
      <c r="F208" s="14" t="s">
        <v>1083</v>
      </c>
      <c r="G208" s="14" t="s">
        <v>26</v>
      </c>
      <c r="H208" s="55">
        <v>404520</v>
      </c>
      <c r="I208" s="55">
        <v>404520</v>
      </c>
      <c r="J208" s="55">
        <f t="shared" si="15"/>
        <v>0</v>
      </c>
      <c r="K208" s="55">
        <v>404520</v>
      </c>
      <c r="L208" s="55">
        <f t="shared" si="16"/>
        <v>0</v>
      </c>
      <c r="M208" s="55">
        <f>VLOOKUP(G208,'[1]01-09 al 30-09'!$G:$AI,29,FALSE)</f>
        <v>404520</v>
      </c>
      <c r="N208" s="55">
        <f t="shared" si="17"/>
        <v>0</v>
      </c>
      <c r="O208" s="55">
        <f>VLOOKUP(G208,'[1]01-09 al 30-09'!$G:$AS,39,FALSE)</f>
        <v>404520</v>
      </c>
      <c r="P208" s="55">
        <f t="shared" si="18"/>
        <v>0</v>
      </c>
      <c r="Q208" s="55"/>
      <c r="R208" s="55"/>
      <c r="S208" s="90">
        <f t="shared" si="19"/>
        <v>0</v>
      </c>
      <c r="T208" s="89">
        <v>46146</v>
      </c>
      <c r="U208" s="14"/>
      <c r="V208" s="108" t="s">
        <v>2450</v>
      </c>
      <c r="W208" s="105" t="str">
        <f>VLOOKUP(C208,'Status oficina'!$A$2:$C$208,3,FALSE)</f>
        <v>Cierre definitivo</v>
      </c>
    </row>
    <row r="209" spans="1:23" ht="13.5" customHeight="1" x14ac:dyDescent="0.25">
      <c r="A209" s="53" t="s">
        <v>868</v>
      </c>
      <c r="B209" s="53" t="s">
        <v>441</v>
      </c>
      <c r="C209" s="120">
        <v>9869</v>
      </c>
      <c r="D209" s="14" t="s">
        <v>458</v>
      </c>
      <c r="E209" s="14" t="s">
        <v>417</v>
      </c>
      <c r="F209" s="14" t="s">
        <v>1089</v>
      </c>
      <c r="G209" s="14" t="s">
        <v>103</v>
      </c>
      <c r="H209" s="55">
        <v>345330</v>
      </c>
      <c r="I209" s="55">
        <v>345705</v>
      </c>
      <c r="J209" s="55">
        <f t="shared" si="15"/>
        <v>375</v>
      </c>
      <c r="K209" s="55">
        <v>345970</v>
      </c>
      <c r="L209" s="55">
        <f t="shared" si="16"/>
        <v>265</v>
      </c>
      <c r="M209" s="55">
        <f>VLOOKUP(G209,'[1]01-09 al 30-09'!$G:$AI,29,FALSE)</f>
        <v>346334</v>
      </c>
      <c r="N209" s="55">
        <f t="shared" si="17"/>
        <v>364</v>
      </c>
      <c r="O209" s="55">
        <f>VLOOKUP(G209,'[1]01-09 al 30-09'!$G:$AS,39,FALSE)</f>
        <v>346766</v>
      </c>
      <c r="P209" s="55">
        <f t="shared" si="18"/>
        <v>432</v>
      </c>
      <c r="Q209" s="55"/>
      <c r="R209" s="55"/>
      <c r="S209" s="90">
        <f t="shared" si="19"/>
        <v>1436</v>
      </c>
      <c r="T209" s="89">
        <v>46146</v>
      </c>
      <c r="U209" s="14"/>
      <c r="V209" s="105" t="s">
        <v>2375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939</v>
      </c>
      <c r="B210" s="14" t="s">
        <v>960</v>
      </c>
      <c r="C210" s="19">
        <v>9555</v>
      </c>
      <c r="D210" s="14" t="s">
        <v>961</v>
      </c>
      <c r="E210" s="14" t="s">
        <v>417</v>
      </c>
      <c r="F210" s="14" t="s">
        <v>1402</v>
      </c>
      <c r="G210" s="14" t="s">
        <v>163</v>
      </c>
      <c r="H210" s="55">
        <v>398110</v>
      </c>
      <c r="I210" s="55">
        <v>398634</v>
      </c>
      <c r="J210" s="55">
        <f t="shared" si="15"/>
        <v>524</v>
      </c>
      <c r="K210" s="55">
        <v>399210</v>
      </c>
      <c r="L210" s="55">
        <f t="shared" si="16"/>
        <v>576</v>
      </c>
      <c r="M210" s="55">
        <f>VLOOKUP(G210,'[1]01-09 al 30-09'!$G:$AI,29,FALSE)</f>
        <v>399846</v>
      </c>
      <c r="N210" s="55">
        <f t="shared" si="17"/>
        <v>636</v>
      </c>
      <c r="O210" s="55">
        <f>VLOOKUP(G210,'[1]01-09 al 30-09'!$G:$AS,39,FALSE)</f>
        <v>400603</v>
      </c>
      <c r="P210" s="55">
        <f t="shared" si="18"/>
        <v>757</v>
      </c>
      <c r="Q210" s="55"/>
      <c r="R210" s="55"/>
      <c r="S210" s="90">
        <f t="shared" si="19"/>
        <v>2493</v>
      </c>
      <c r="T210" s="89">
        <v>46146</v>
      </c>
      <c r="U210" s="14"/>
      <c r="V210" s="105" t="s">
        <v>2375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939</v>
      </c>
      <c r="B211" s="14" t="s">
        <v>1009</v>
      </c>
      <c r="C211" s="19">
        <v>9658</v>
      </c>
      <c r="D211" s="14" t="s">
        <v>1010</v>
      </c>
      <c r="E211" s="14" t="s">
        <v>417</v>
      </c>
      <c r="F211" s="14" t="s">
        <v>1431</v>
      </c>
      <c r="G211" s="14" t="s">
        <v>185</v>
      </c>
      <c r="H211" s="55">
        <v>515512</v>
      </c>
      <c r="I211" s="55">
        <v>515512</v>
      </c>
      <c r="J211" s="55">
        <f t="shared" si="15"/>
        <v>0</v>
      </c>
      <c r="K211" s="55">
        <v>515512</v>
      </c>
      <c r="L211" s="55">
        <f t="shared" si="16"/>
        <v>0</v>
      </c>
      <c r="M211" s="55">
        <f>VLOOKUP(G211,'[1]01-09 al 30-09'!$G:$AI,29,FALSE)</f>
        <v>515512</v>
      </c>
      <c r="N211" s="55">
        <f t="shared" si="17"/>
        <v>0</v>
      </c>
      <c r="O211" s="55">
        <f>VLOOKUP(G211,'[1]01-09 al 30-09'!$G:$AS,39,FALSE)</f>
        <v>515512</v>
      </c>
      <c r="P211" s="55">
        <f t="shared" si="18"/>
        <v>0</v>
      </c>
      <c r="Q211" s="55"/>
      <c r="R211" s="55"/>
      <c r="S211" s="90">
        <f t="shared" si="19"/>
        <v>0</v>
      </c>
      <c r="T211" s="89">
        <v>46146</v>
      </c>
      <c r="U211" s="14"/>
      <c r="V211" s="105" t="s">
        <v>2231</v>
      </c>
      <c r="W211" s="105" t="str">
        <f>VLOOKUP(C211,'Status oficina'!$A$2:$C$208,3,FALSE)</f>
        <v>Cierre temporal</v>
      </c>
    </row>
    <row r="212" spans="1:23" ht="13.5" customHeight="1" x14ac:dyDescent="0.25">
      <c r="A212" s="14" t="s">
        <v>939</v>
      </c>
      <c r="B212" s="14" t="s">
        <v>940</v>
      </c>
      <c r="C212" s="19">
        <v>9660</v>
      </c>
      <c r="D212" s="14" t="s">
        <v>2049</v>
      </c>
      <c r="E212" s="14" t="s">
        <v>413</v>
      </c>
      <c r="F212" s="14" t="s">
        <v>1392</v>
      </c>
      <c r="G212" s="2"/>
      <c r="H212" s="55">
        <v>210346</v>
      </c>
      <c r="I212" s="55">
        <v>210346</v>
      </c>
      <c r="J212" s="55">
        <f t="shared" si="15"/>
        <v>0</v>
      </c>
      <c r="K212" s="55">
        <v>210346</v>
      </c>
      <c r="L212" s="55">
        <f t="shared" si="16"/>
        <v>0</v>
      </c>
      <c r="M212" s="55">
        <v>210346</v>
      </c>
      <c r="N212" s="55">
        <f t="shared" si="17"/>
        <v>0</v>
      </c>
      <c r="O212" s="55">
        <v>210346</v>
      </c>
      <c r="P212" s="55">
        <f t="shared" si="18"/>
        <v>0</v>
      </c>
      <c r="Q212" s="55"/>
      <c r="R212" s="55"/>
      <c r="S212" s="90">
        <f t="shared" si="19"/>
        <v>0</v>
      </c>
      <c r="T212" s="89">
        <v>46146</v>
      </c>
      <c r="U212" s="105" t="s">
        <v>2459</v>
      </c>
      <c r="V212" s="105" t="s">
        <v>2374</v>
      </c>
      <c r="W212" s="105" t="str">
        <f>VLOOKUP(C212,'Status oficina'!$A$2:$C$208,3,FALSE)</f>
        <v>Cierre temporal</v>
      </c>
    </row>
    <row r="213" spans="1:23" ht="13.5" customHeight="1" x14ac:dyDescent="0.25">
      <c r="A213" s="53" t="s">
        <v>868</v>
      </c>
      <c r="B213" s="53" t="s">
        <v>418</v>
      </c>
      <c r="C213" s="19">
        <v>9874</v>
      </c>
      <c r="D213" s="14" t="s">
        <v>419</v>
      </c>
      <c r="E213" s="14" t="s">
        <v>417</v>
      </c>
      <c r="F213" s="14" t="s">
        <v>1066</v>
      </c>
      <c r="G213" s="14" t="s">
        <v>255</v>
      </c>
      <c r="H213" s="55">
        <v>472663</v>
      </c>
      <c r="I213" s="55">
        <v>473015</v>
      </c>
      <c r="J213" s="55">
        <f t="shared" si="15"/>
        <v>352</v>
      </c>
      <c r="K213" s="55">
        <v>473456</v>
      </c>
      <c r="L213" s="55">
        <f t="shared" si="16"/>
        <v>441</v>
      </c>
      <c r="M213" s="55">
        <f>VLOOKUP(G213,'[1]01-09 al 30-09'!$G:$AI,29,FALSE)</f>
        <v>473948</v>
      </c>
      <c r="N213" s="55">
        <f t="shared" si="17"/>
        <v>492</v>
      </c>
      <c r="O213" s="55">
        <f>VLOOKUP(G213,'[1]01-09 al 30-09'!$G:$AS,39,FALSE)</f>
        <v>474631</v>
      </c>
      <c r="P213" s="55">
        <f t="shared" si="18"/>
        <v>683</v>
      </c>
      <c r="Q213" s="55"/>
      <c r="R213" s="55"/>
      <c r="S213" s="90">
        <f t="shared" si="19"/>
        <v>1968</v>
      </c>
      <c r="T213" s="89">
        <v>46146</v>
      </c>
      <c r="U213" s="14"/>
      <c r="V213" s="105" t="s">
        <v>2375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2082</v>
      </c>
      <c r="B214" s="14" t="s">
        <v>521</v>
      </c>
      <c r="C214" s="19">
        <v>9393</v>
      </c>
      <c r="D214" s="14" t="s">
        <v>523</v>
      </c>
      <c r="E214" s="15" t="s">
        <v>417</v>
      </c>
      <c r="F214" s="14" t="s">
        <v>1138</v>
      </c>
      <c r="G214" s="15" t="s">
        <v>361</v>
      </c>
      <c r="H214" s="55">
        <v>632445</v>
      </c>
      <c r="I214" s="55">
        <v>633745</v>
      </c>
      <c r="J214" s="55">
        <f t="shared" si="15"/>
        <v>1300</v>
      </c>
      <c r="K214" s="55">
        <v>634873</v>
      </c>
      <c r="L214" s="55">
        <f t="shared" si="16"/>
        <v>1128</v>
      </c>
      <c r="M214" s="55">
        <f>VLOOKUP(G214,'[1]01-09 al 30-09'!$G:$AI,29,FALSE)</f>
        <v>635956</v>
      </c>
      <c r="N214" s="55">
        <f t="shared" si="17"/>
        <v>1083</v>
      </c>
      <c r="O214" s="55">
        <f>VLOOKUP(G214,'[1]01-09 al 30-09'!$G:$AS,39,FALSE)</f>
        <v>637357</v>
      </c>
      <c r="P214" s="55">
        <f t="shared" si="18"/>
        <v>1401</v>
      </c>
      <c r="Q214" s="55"/>
      <c r="R214" s="55"/>
      <c r="S214" s="90">
        <f t="shared" si="19"/>
        <v>4912</v>
      </c>
      <c r="T214" s="89">
        <v>46146</v>
      </c>
      <c r="U214" s="14"/>
      <c r="V214" s="105" t="s">
        <v>2375</v>
      </c>
      <c r="W214" s="105" t="str">
        <f>VLOOKUP(C214,'Status oficina'!$A$2:$C$208,3,FALSE)</f>
        <v>Activa</v>
      </c>
    </row>
    <row r="215" spans="1:23" ht="13.5" customHeight="1" x14ac:dyDescent="0.25">
      <c r="A215" s="14" t="s">
        <v>939</v>
      </c>
      <c r="B215" s="14" t="s">
        <v>946</v>
      </c>
      <c r="C215" s="19">
        <v>9665</v>
      </c>
      <c r="D215" s="14" t="s">
        <v>947</v>
      </c>
      <c r="E215" s="14" t="s">
        <v>417</v>
      </c>
      <c r="F215" s="14" t="s">
        <v>1395</v>
      </c>
      <c r="G215" s="14" t="s">
        <v>209</v>
      </c>
      <c r="H215" s="55">
        <v>668726</v>
      </c>
      <c r="I215" s="55">
        <v>668726</v>
      </c>
      <c r="J215" s="55">
        <f t="shared" si="15"/>
        <v>0</v>
      </c>
      <c r="K215" s="55">
        <v>668726</v>
      </c>
      <c r="L215" s="55">
        <f t="shared" si="16"/>
        <v>0</v>
      </c>
      <c r="M215" s="55">
        <f>VLOOKUP(G215,'[1]01-09 al 30-09'!$G:$AI,29,FALSE)</f>
        <v>668726</v>
      </c>
      <c r="N215" s="55">
        <f t="shared" si="17"/>
        <v>0</v>
      </c>
      <c r="O215" s="55">
        <f>VLOOKUP(G215,'[1]01-09 al 30-09'!$G:$AS,39,FALSE)</f>
        <v>668726</v>
      </c>
      <c r="P215" s="55">
        <f t="shared" si="18"/>
        <v>0</v>
      </c>
      <c r="Q215" s="55"/>
      <c r="R215" s="55"/>
      <c r="S215" s="90">
        <f t="shared" si="19"/>
        <v>0</v>
      </c>
      <c r="T215" s="89">
        <v>46146</v>
      </c>
      <c r="U215" s="14"/>
      <c r="V215" s="105" t="s">
        <v>2231</v>
      </c>
      <c r="W215" s="105" t="str">
        <f>VLOOKUP(C215,'Status oficina'!$A$2:$C$208,3,FALSE)</f>
        <v>Cierre temporal</v>
      </c>
    </row>
    <row r="216" spans="1:23" ht="13.5" customHeight="1" x14ac:dyDescent="0.25">
      <c r="A216" s="14" t="s">
        <v>868</v>
      </c>
      <c r="B216" s="14" t="s">
        <v>876</v>
      </c>
      <c r="C216" s="19">
        <v>9818</v>
      </c>
      <c r="D216" s="14" t="s">
        <v>878</v>
      </c>
      <c r="E216" s="14" t="s">
        <v>417</v>
      </c>
      <c r="F216" s="14" t="s">
        <v>1341</v>
      </c>
      <c r="G216" s="14" t="s">
        <v>2414</v>
      </c>
      <c r="H216" s="55">
        <v>796680</v>
      </c>
      <c r="I216" s="55">
        <v>798095</v>
      </c>
      <c r="J216" s="55">
        <f t="shared" si="15"/>
        <v>1415</v>
      </c>
      <c r="K216" s="55">
        <v>799499</v>
      </c>
      <c r="L216" s="55">
        <f t="shared" si="16"/>
        <v>1404</v>
      </c>
      <c r="M216" s="55">
        <f>VLOOKUP(G216,'[1]01-09 al 30-09'!$G:$AI,29,FALSE)</f>
        <v>801074</v>
      </c>
      <c r="N216" s="55">
        <f t="shared" si="17"/>
        <v>1575</v>
      </c>
      <c r="O216" s="55">
        <f>VLOOKUP(G216,'[1]01-09 al 30-09'!$G:$AS,39,FALSE)</f>
        <v>802653</v>
      </c>
      <c r="P216" s="55">
        <f t="shared" si="18"/>
        <v>1579</v>
      </c>
      <c r="Q216" s="55"/>
      <c r="R216" s="55"/>
      <c r="S216" s="90">
        <f t="shared" si="19"/>
        <v>5973</v>
      </c>
      <c r="T216" s="89">
        <v>46146</v>
      </c>
      <c r="U216" s="14"/>
      <c r="V216" s="105" t="s">
        <v>2375</v>
      </c>
      <c r="W216" s="105" t="s">
        <v>2228</v>
      </c>
    </row>
    <row r="217" spans="1:23" ht="13.5" customHeight="1" x14ac:dyDescent="0.25">
      <c r="A217" s="14" t="s">
        <v>939</v>
      </c>
      <c r="B217" s="14" t="s">
        <v>940</v>
      </c>
      <c r="C217" s="19">
        <v>9660</v>
      </c>
      <c r="D217" s="14" t="s">
        <v>941</v>
      </c>
      <c r="E217" s="14" t="s">
        <v>413</v>
      </c>
      <c r="F217" s="95" t="s">
        <v>1416</v>
      </c>
      <c r="G217" s="14" t="s">
        <v>79</v>
      </c>
      <c r="H217" s="55">
        <v>276837</v>
      </c>
      <c r="I217" s="55">
        <v>276837</v>
      </c>
      <c r="J217" s="55">
        <f t="shared" si="15"/>
        <v>0</v>
      </c>
      <c r="K217" s="55">
        <v>276837</v>
      </c>
      <c r="L217" s="55">
        <f t="shared" si="16"/>
        <v>0</v>
      </c>
      <c r="M217" s="55">
        <v>276837</v>
      </c>
      <c r="N217" s="55">
        <f t="shared" si="17"/>
        <v>0</v>
      </c>
      <c r="O217" s="55">
        <v>276837</v>
      </c>
      <c r="P217" s="55">
        <f t="shared" si="18"/>
        <v>0</v>
      </c>
      <c r="Q217" s="55"/>
      <c r="R217" s="55"/>
      <c r="S217" s="90">
        <f t="shared" si="19"/>
        <v>0</v>
      </c>
      <c r="T217" s="89">
        <v>46146</v>
      </c>
      <c r="U217" s="14" t="s">
        <v>2460</v>
      </c>
      <c r="V217" s="105" t="s">
        <v>2231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2082</v>
      </c>
      <c r="B218" s="14" t="s">
        <v>586</v>
      </c>
      <c r="C218" s="19">
        <v>9853</v>
      </c>
      <c r="D218" s="14" t="s">
        <v>589</v>
      </c>
      <c r="E218" s="14" t="s">
        <v>417</v>
      </c>
      <c r="F218" s="14" t="s">
        <v>590</v>
      </c>
      <c r="G218" s="14" t="s">
        <v>390</v>
      </c>
      <c r="H218" s="55">
        <v>407384</v>
      </c>
      <c r="I218" s="55">
        <v>407580</v>
      </c>
      <c r="J218" s="55">
        <f t="shared" si="15"/>
        <v>196</v>
      </c>
      <c r="K218" s="55">
        <v>407750</v>
      </c>
      <c r="L218" s="55">
        <f t="shared" si="16"/>
        <v>170</v>
      </c>
      <c r="M218" s="55">
        <f>VLOOKUP(G218,'[1]01-09 al 30-09'!$G:$AI,29,FALSE)</f>
        <v>407836</v>
      </c>
      <c r="N218" s="55">
        <f t="shared" si="17"/>
        <v>86</v>
      </c>
      <c r="O218" s="55">
        <f>VLOOKUP(G218,'[1]01-09 al 30-09'!$G:$AS,39,FALSE)</f>
        <v>408112</v>
      </c>
      <c r="P218" s="55">
        <f t="shared" si="18"/>
        <v>276</v>
      </c>
      <c r="Q218" s="55"/>
      <c r="R218" s="55"/>
      <c r="S218" s="90">
        <f t="shared" si="19"/>
        <v>728</v>
      </c>
      <c r="T218" s="89">
        <v>46146</v>
      </c>
      <c r="U218" s="14"/>
      <c r="V218" s="105" t="s">
        <v>2375</v>
      </c>
      <c r="W218" s="105" t="str">
        <f>VLOOKUP(C218,'Status oficina'!$A$2:$C$208,3,FALSE)</f>
        <v>Activa</v>
      </c>
    </row>
    <row r="219" spans="1:23" ht="13.5" customHeight="1" x14ac:dyDescent="0.25">
      <c r="A219" s="14" t="s">
        <v>2443</v>
      </c>
      <c r="B219" s="49" t="s">
        <v>768</v>
      </c>
      <c r="C219" s="19">
        <v>9221</v>
      </c>
      <c r="D219" s="14" t="s">
        <v>769</v>
      </c>
      <c r="E219" s="14" t="s">
        <v>417</v>
      </c>
      <c r="F219" s="14" t="s">
        <v>1274</v>
      </c>
      <c r="G219" s="14" t="s">
        <v>10</v>
      </c>
      <c r="H219" s="55">
        <v>742518</v>
      </c>
      <c r="I219" s="55">
        <v>742518</v>
      </c>
      <c r="J219" s="55">
        <f t="shared" si="15"/>
        <v>0</v>
      </c>
      <c r="K219" s="55">
        <v>742518</v>
      </c>
      <c r="L219" s="55">
        <f t="shared" si="16"/>
        <v>0</v>
      </c>
      <c r="M219" s="55">
        <v>742518</v>
      </c>
      <c r="N219" s="55">
        <f t="shared" si="17"/>
        <v>0</v>
      </c>
      <c r="O219" s="55">
        <v>742518</v>
      </c>
      <c r="P219" s="55">
        <f t="shared" si="18"/>
        <v>0</v>
      </c>
      <c r="Q219" s="55"/>
      <c r="R219" s="55"/>
      <c r="S219" s="90">
        <f t="shared" si="19"/>
        <v>0</v>
      </c>
      <c r="T219" s="89">
        <v>46146</v>
      </c>
      <c r="U219" s="14"/>
      <c r="V219" s="105" t="s">
        <v>2238</v>
      </c>
      <c r="W219" s="105" t="str">
        <f>VLOOKUP(C219,'Status oficina'!$A$2:$C$208,3,FALSE)</f>
        <v>Cierre definitivo</v>
      </c>
    </row>
    <row r="220" spans="1:23" ht="13.5" customHeight="1" x14ac:dyDescent="0.25">
      <c r="A220" s="14" t="s">
        <v>939</v>
      </c>
      <c r="B220" s="14" t="s">
        <v>954</v>
      </c>
      <c r="C220" s="19">
        <v>9678</v>
      </c>
      <c r="D220" s="14" t="s">
        <v>956</v>
      </c>
      <c r="E220" s="14" t="s">
        <v>417</v>
      </c>
      <c r="F220" s="14" t="s">
        <v>957</v>
      </c>
      <c r="G220" s="14" t="s">
        <v>233</v>
      </c>
      <c r="H220" s="55">
        <v>177849</v>
      </c>
      <c r="I220" s="55">
        <v>177849</v>
      </c>
      <c r="J220" s="55">
        <f t="shared" si="15"/>
        <v>0</v>
      </c>
      <c r="K220" s="55">
        <v>177849</v>
      </c>
      <c r="L220" s="55">
        <f t="shared" si="16"/>
        <v>0</v>
      </c>
      <c r="M220" s="55">
        <f>VLOOKUP(G220,'[1]01-09 al 30-09'!$G:$AI,29,FALSE)</f>
        <v>177849</v>
      </c>
      <c r="N220" s="55">
        <f t="shared" si="17"/>
        <v>0</v>
      </c>
      <c r="O220" s="55">
        <f>VLOOKUP(G220,'[1]01-09 al 30-09'!$G:$AS,39,FALSE)</f>
        <v>177849</v>
      </c>
      <c r="P220" s="55">
        <f t="shared" si="18"/>
        <v>0</v>
      </c>
      <c r="Q220" s="55"/>
      <c r="R220" s="55"/>
      <c r="S220" s="90">
        <f t="shared" si="19"/>
        <v>0</v>
      </c>
      <c r="T220" s="89">
        <v>46146</v>
      </c>
      <c r="U220" s="14"/>
      <c r="V220" s="105" t="s">
        <v>2231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939</v>
      </c>
      <c r="B221" s="14" t="s">
        <v>954</v>
      </c>
      <c r="C221" s="19">
        <v>9678</v>
      </c>
      <c r="D221" s="14" t="s">
        <v>955</v>
      </c>
      <c r="E221" s="14" t="s">
        <v>413</v>
      </c>
      <c r="F221" s="14" t="s">
        <v>1399</v>
      </c>
      <c r="G221" s="14" t="s">
        <v>229</v>
      </c>
      <c r="H221" s="55">
        <v>144319</v>
      </c>
      <c r="I221" s="55">
        <v>144319</v>
      </c>
      <c r="J221" s="55">
        <f t="shared" si="15"/>
        <v>0</v>
      </c>
      <c r="K221" s="55">
        <v>144319</v>
      </c>
      <c r="L221" s="55">
        <f t="shared" si="16"/>
        <v>0</v>
      </c>
      <c r="M221" s="55">
        <f>VLOOKUP(G221,'[1]01-09 al 30-09'!$G:$AI,29,FALSE)</f>
        <v>144319</v>
      </c>
      <c r="N221" s="55">
        <f t="shared" si="17"/>
        <v>0</v>
      </c>
      <c r="O221" s="55">
        <f>VLOOKUP(G221,'[1]01-09 al 30-09'!$G:$AS,39,FALSE)</f>
        <v>144319</v>
      </c>
      <c r="P221" s="55">
        <f t="shared" si="18"/>
        <v>0</v>
      </c>
      <c r="Q221" s="55"/>
      <c r="R221" s="55"/>
      <c r="S221" s="90">
        <f t="shared" si="19"/>
        <v>0</v>
      </c>
      <c r="T221" s="89">
        <v>46146</v>
      </c>
      <c r="U221" s="14"/>
      <c r="V221" s="105" t="s">
        <v>2231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868</v>
      </c>
      <c r="B222" s="14" t="s">
        <v>928</v>
      </c>
      <c r="C222" s="22">
        <v>9801</v>
      </c>
      <c r="D222" s="14" t="s">
        <v>930</v>
      </c>
      <c r="E222" s="14" t="s">
        <v>417</v>
      </c>
      <c r="F222" s="14" t="s">
        <v>1384</v>
      </c>
      <c r="G222" s="14" t="s">
        <v>257</v>
      </c>
      <c r="H222" s="55">
        <v>366883</v>
      </c>
      <c r="I222" s="55">
        <v>366883</v>
      </c>
      <c r="J222" s="55">
        <f t="shared" si="15"/>
        <v>0</v>
      </c>
      <c r="K222" s="55">
        <v>366883</v>
      </c>
      <c r="L222" s="55">
        <f t="shared" si="16"/>
        <v>0</v>
      </c>
      <c r="M222" s="55">
        <f>VLOOKUP(G222,'[1]01-09 al 30-09'!$G:$AI,29,FALSE)</f>
        <v>366883</v>
      </c>
      <c r="N222" s="55">
        <f t="shared" si="17"/>
        <v>0</v>
      </c>
      <c r="O222" s="55">
        <f>VLOOKUP(G222,'[1]01-09 al 30-09'!$G:$AS,39,FALSE)</f>
        <v>366883</v>
      </c>
      <c r="P222" s="55">
        <f t="shared" si="18"/>
        <v>0</v>
      </c>
      <c r="Q222" s="55"/>
      <c r="R222" s="55"/>
      <c r="S222" s="90">
        <f t="shared" si="19"/>
        <v>0</v>
      </c>
      <c r="T222" s="89">
        <v>46146</v>
      </c>
      <c r="U222" s="14"/>
      <c r="V222" s="105" t="s">
        <v>2231</v>
      </c>
      <c r="W222" s="105" t="str">
        <f>VLOOKUP(C222,'Status oficina'!$A$2:$C$208,3,FALSE)</f>
        <v>Cierre temporal</v>
      </c>
    </row>
    <row r="223" spans="1:23" ht="13.5" customHeight="1" x14ac:dyDescent="0.25">
      <c r="A223" s="14" t="s">
        <v>868</v>
      </c>
      <c r="B223" s="14" t="s">
        <v>928</v>
      </c>
      <c r="C223" s="22">
        <v>9801</v>
      </c>
      <c r="D223" s="14" t="s">
        <v>929</v>
      </c>
      <c r="E223" s="14" t="s">
        <v>413</v>
      </c>
      <c r="F223" s="14" t="s">
        <v>1383</v>
      </c>
      <c r="G223" s="14" t="s">
        <v>101</v>
      </c>
      <c r="H223" s="55">
        <v>59666</v>
      </c>
      <c r="I223" s="55">
        <v>59666</v>
      </c>
      <c r="J223" s="55">
        <f t="shared" si="15"/>
        <v>0</v>
      </c>
      <c r="K223" s="55">
        <v>59666</v>
      </c>
      <c r="L223" s="55">
        <f t="shared" si="16"/>
        <v>0</v>
      </c>
      <c r="M223" s="55">
        <f>VLOOKUP(G223,'[1]01-09 al 30-09'!$G:$AI,29,FALSE)</f>
        <v>59666</v>
      </c>
      <c r="N223" s="55">
        <f t="shared" si="17"/>
        <v>0</v>
      </c>
      <c r="O223" s="55">
        <f>VLOOKUP(G223,'[1]01-09 al 30-09'!$G:$AS,39,FALSE)</f>
        <v>59666</v>
      </c>
      <c r="P223" s="55">
        <f t="shared" si="18"/>
        <v>0</v>
      </c>
      <c r="Q223" s="55"/>
      <c r="R223" s="55"/>
      <c r="S223" s="90">
        <f t="shared" si="19"/>
        <v>0</v>
      </c>
      <c r="T223" s="89">
        <v>46146</v>
      </c>
      <c r="U223" s="14"/>
      <c r="V223" s="105" t="s">
        <v>2231</v>
      </c>
      <c r="W223" s="105" t="str">
        <f>VLOOKUP(C223,'Status oficina'!$A$2:$C$208,3,FALSE)</f>
        <v>Cierre temporal</v>
      </c>
    </row>
    <row r="224" spans="1:23" ht="13.5" customHeight="1" x14ac:dyDescent="0.25">
      <c r="A224" s="15" t="s">
        <v>868</v>
      </c>
      <c r="B224" s="15" t="s">
        <v>936</v>
      </c>
      <c r="C224" s="22">
        <v>9805</v>
      </c>
      <c r="D224" s="14" t="s">
        <v>938</v>
      </c>
      <c r="E224" s="15" t="s">
        <v>413</v>
      </c>
      <c r="F224" s="14" t="s">
        <v>1390</v>
      </c>
      <c r="G224" s="15" t="s">
        <v>367</v>
      </c>
      <c r="H224" s="55">
        <v>116281</v>
      </c>
      <c r="I224" s="55">
        <v>116281</v>
      </c>
      <c r="J224" s="55">
        <f t="shared" si="15"/>
        <v>0</v>
      </c>
      <c r="K224" s="55">
        <v>116281</v>
      </c>
      <c r="L224" s="55">
        <f t="shared" si="16"/>
        <v>0</v>
      </c>
      <c r="M224" s="55">
        <f>VLOOKUP(G224,'[1]01-09 al 30-09'!$G:$AI,29,FALSE)</f>
        <v>116281</v>
      </c>
      <c r="N224" s="55">
        <f t="shared" si="17"/>
        <v>0</v>
      </c>
      <c r="O224" s="55">
        <f>VLOOKUP(G224,'[1]01-09 al 30-09'!$G:$AS,39,FALSE)</f>
        <v>116281</v>
      </c>
      <c r="P224" s="55">
        <f t="shared" si="18"/>
        <v>0</v>
      </c>
      <c r="Q224" s="55"/>
      <c r="R224" s="55"/>
      <c r="S224" s="90">
        <f t="shared" si="19"/>
        <v>0</v>
      </c>
      <c r="T224" s="89">
        <v>46146</v>
      </c>
      <c r="U224" s="14" t="s">
        <v>2390</v>
      </c>
      <c r="V224" s="105" t="s">
        <v>2374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868</v>
      </c>
      <c r="B225" s="14" t="s">
        <v>911</v>
      </c>
      <c r="C225" s="120">
        <v>9813</v>
      </c>
      <c r="D225" s="14" t="s">
        <v>912</v>
      </c>
      <c r="E225" s="14" t="s">
        <v>417</v>
      </c>
      <c r="F225" s="14" t="s">
        <v>1368</v>
      </c>
      <c r="H225" s="55">
        <v>1110375</v>
      </c>
      <c r="I225" s="55">
        <v>1110375</v>
      </c>
      <c r="J225" s="55">
        <f t="shared" si="15"/>
        <v>0</v>
      </c>
      <c r="K225" s="55">
        <v>1110375</v>
      </c>
      <c r="L225" s="55">
        <f t="shared" si="16"/>
        <v>0</v>
      </c>
      <c r="M225" s="55">
        <v>1110375</v>
      </c>
      <c r="N225" s="55">
        <f t="shared" si="17"/>
        <v>0</v>
      </c>
      <c r="O225" s="55">
        <v>1110375</v>
      </c>
      <c r="P225" s="55">
        <f t="shared" si="18"/>
        <v>0</v>
      </c>
      <c r="Q225" s="55"/>
      <c r="R225" s="55"/>
      <c r="S225" s="90">
        <f t="shared" si="19"/>
        <v>0</v>
      </c>
      <c r="T225" s="89">
        <v>46146</v>
      </c>
      <c r="U225" s="14" t="s">
        <v>2500</v>
      </c>
      <c r="V225" s="105" t="s">
        <v>2374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868</v>
      </c>
      <c r="B226" s="14" t="s">
        <v>869</v>
      </c>
      <c r="C226" s="19">
        <v>9811</v>
      </c>
      <c r="D226" s="14" t="s">
        <v>870</v>
      </c>
      <c r="E226" s="14" t="s">
        <v>417</v>
      </c>
      <c r="F226" s="14" t="s">
        <v>1337</v>
      </c>
      <c r="G226" s="14" t="s">
        <v>117</v>
      </c>
      <c r="H226" s="55">
        <v>267445</v>
      </c>
      <c r="I226" s="55">
        <v>267445</v>
      </c>
      <c r="J226" s="55">
        <f t="shared" si="15"/>
        <v>0</v>
      </c>
      <c r="K226" s="55">
        <v>267445</v>
      </c>
      <c r="L226" s="55">
        <f t="shared" si="16"/>
        <v>0</v>
      </c>
      <c r="M226" s="55">
        <f>VLOOKUP(G226,'[1]01-09 al 30-09'!$G:$AI,29,FALSE)</f>
        <v>267445</v>
      </c>
      <c r="N226" s="55">
        <f t="shared" si="17"/>
        <v>0</v>
      </c>
      <c r="O226" s="55">
        <f>VLOOKUP(G226,'[1]01-09 al 30-09'!$G:$AS,39,FALSE)</f>
        <v>267445</v>
      </c>
      <c r="P226" s="55">
        <f t="shared" si="18"/>
        <v>0</v>
      </c>
      <c r="Q226" s="55"/>
      <c r="R226" s="55"/>
      <c r="S226" s="90">
        <f t="shared" si="19"/>
        <v>0</v>
      </c>
      <c r="T226" s="89">
        <v>46146</v>
      </c>
      <c r="U226" s="14" t="s">
        <v>2031</v>
      </c>
      <c r="V226" s="105" t="s">
        <v>2231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868</v>
      </c>
      <c r="B227" s="14" t="s">
        <v>869</v>
      </c>
      <c r="C227" s="19">
        <v>9811</v>
      </c>
      <c r="D227" s="14" t="s">
        <v>871</v>
      </c>
      <c r="E227" s="14" t="s">
        <v>417</v>
      </c>
      <c r="F227" s="14" t="s">
        <v>1338</v>
      </c>
      <c r="G227" s="14" t="s">
        <v>205</v>
      </c>
      <c r="H227" s="55">
        <v>233499</v>
      </c>
      <c r="I227" s="55">
        <v>233499</v>
      </c>
      <c r="J227" s="55">
        <f t="shared" si="15"/>
        <v>0</v>
      </c>
      <c r="K227" s="55">
        <v>233499</v>
      </c>
      <c r="L227" s="55">
        <f t="shared" si="16"/>
        <v>0</v>
      </c>
      <c r="M227" s="55">
        <f>VLOOKUP(G227,'[1]01-09 al 30-09'!$G:$AI,29,FALSE)</f>
        <v>233499</v>
      </c>
      <c r="N227" s="55">
        <f t="shared" si="17"/>
        <v>0</v>
      </c>
      <c r="O227" s="55">
        <f>VLOOKUP(G227,'[1]01-09 al 30-09'!$G:$AS,39,FALSE)</f>
        <v>233499</v>
      </c>
      <c r="P227" s="55">
        <f t="shared" si="18"/>
        <v>0</v>
      </c>
      <c r="Q227" s="55"/>
      <c r="R227" s="55"/>
      <c r="S227" s="90">
        <f t="shared" si="19"/>
        <v>0</v>
      </c>
      <c r="T227" s="89">
        <v>46146</v>
      </c>
      <c r="U227" s="14" t="s">
        <v>2031</v>
      </c>
      <c r="V227" s="105" t="s">
        <v>2231</v>
      </c>
      <c r="W227" s="105" t="str">
        <f>VLOOKUP(C227,'Status oficina'!$A$2:$C$208,3,FALSE)</f>
        <v>Cierre temporal</v>
      </c>
    </row>
    <row r="228" spans="1:23" ht="13.5" customHeight="1" x14ac:dyDescent="0.25">
      <c r="A228" s="14" t="s">
        <v>939</v>
      </c>
      <c r="B228" s="14" t="s">
        <v>1035</v>
      </c>
      <c r="C228" s="120">
        <v>9510</v>
      </c>
      <c r="D228" s="14" t="s">
        <v>1037</v>
      </c>
      <c r="E228" s="14" t="s">
        <v>417</v>
      </c>
      <c r="F228" s="14" t="s">
        <v>1450</v>
      </c>
      <c r="G228" s="14" t="s">
        <v>81</v>
      </c>
      <c r="H228" s="55">
        <v>773809</v>
      </c>
      <c r="I228" s="55">
        <v>774806</v>
      </c>
      <c r="J228" s="55">
        <f t="shared" si="15"/>
        <v>997</v>
      </c>
      <c r="K228" s="55">
        <v>775971</v>
      </c>
      <c r="L228" s="55">
        <f t="shared" si="16"/>
        <v>1165</v>
      </c>
      <c r="M228" s="55">
        <f>VLOOKUP(G228,'[1]01-09 al 30-09'!$G:$AI,29,FALSE)</f>
        <v>777269</v>
      </c>
      <c r="N228" s="55">
        <f t="shared" si="17"/>
        <v>1298</v>
      </c>
      <c r="O228" s="55">
        <f>VLOOKUP(G228,'[1]01-09 al 30-09'!$G:$AS,39,FALSE)</f>
        <v>778713</v>
      </c>
      <c r="P228" s="55">
        <f t="shared" si="18"/>
        <v>1444</v>
      </c>
      <c r="Q228" s="55"/>
      <c r="R228" s="55"/>
      <c r="S228" s="90">
        <f t="shared" si="19"/>
        <v>4904</v>
      </c>
      <c r="T228" s="89">
        <v>46146</v>
      </c>
      <c r="U228" s="14"/>
      <c r="V228" s="108" t="s">
        <v>2375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868</v>
      </c>
      <c r="B229" s="14" t="s">
        <v>911</v>
      </c>
      <c r="C229" s="120">
        <v>9813</v>
      </c>
      <c r="D229" s="14" t="s">
        <v>2110</v>
      </c>
      <c r="E229" s="14" t="s">
        <v>413</v>
      </c>
      <c r="F229" s="14" t="s">
        <v>1371</v>
      </c>
      <c r="H229" s="55">
        <v>201118</v>
      </c>
      <c r="I229" s="55">
        <v>201118</v>
      </c>
      <c r="J229" s="55">
        <f t="shared" si="15"/>
        <v>0</v>
      </c>
      <c r="K229" s="55">
        <v>201118</v>
      </c>
      <c r="L229" s="55">
        <f t="shared" si="16"/>
        <v>0</v>
      </c>
      <c r="M229" s="55">
        <v>201118</v>
      </c>
      <c r="N229" s="55">
        <f t="shared" si="17"/>
        <v>0</v>
      </c>
      <c r="O229" s="55">
        <v>201118</v>
      </c>
      <c r="P229" s="55">
        <f t="shared" si="18"/>
        <v>0</v>
      </c>
      <c r="Q229" s="55"/>
      <c r="R229" s="55"/>
      <c r="S229" s="90">
        <f t="shared" si="19"/>
        <v>0</v>
      </c>
      <c r="T229" s="89">
        <v>46146</v>
      </c>
      <c r="U229" s="14" t="s">
        <v>2504</v>
      </c>
      <c r="V229" s="105" t="s">
        <v>2374</v>
      </c>
      <c r="W229" s="105" t="str">
        <f>VLOOKUP(C229,'Status oficina'!$A$2:$C$208,3,FALSE)</f>
        <v>Activa</v>
      </c>
    </row>
    <row r="230" spans="1:23" ht="13.5" customHeight="1" x14ac:dyDescent="0.25">
      <c r="A230" s="14" t="s">
        <v>939</v>
      </c>
      <c r="B230" s="14" t="s">
        <v>1003</v>
      </c>
      <c r="C230" s="120">
        <v>9536</v>
      </c>
      <c r="D230" s="54" t="s">
        <v>1004</v>
      </c>
      <c r="E230" s="14" t="s">
        <v>417</v>
      </c>
      <c r="F230" s="54" t="s">
        <v>1005</v>
      </c>
      <c r="G230" s="54" t="s">
        <v>397</v>
      </c>
      <c r="H230" s="55">
        <v>622267</v>
      </c>
      <c r="I230" s="55">
        <v>623044</v>
      </c>
      <c r="J230" s="55">
        <f t="shared" si="15"/>
        <v>777</v>
      </c>
      <c r="K230" s="55">
        <v>624273</v>
      </c>
      <c r="L230" s="55">
        <f t="shared" si="16"/>
        <v>1229</v>
      </c>
      <c r="M230" s="55">
        <f>VLOOKUP(G230,'[1]01-09 al 30-09'!$G:$AI,29,FALSE)</f>
        <v>625109</v>
      </c>
      <c r="N230" s="55">
        <f t="shared" si="17"/>
        <v>836</v>
      </c>
      <c r="O230" s="55">
        <f>VLOOKUP(G230,'[1]01-09 al 30-09'!$G:$AS,39,FALSE)</f>
        <v>626390</v>
      </c>
      <c r="P230" s="55">
        <f t="shared" si="18"/>
        <v>1281</v>
      </c>
      <c r="Q230" s="55"/>
      <c r="R230" s="55"/>
      <c r="S230" s="90">
        <f t="shared" si="19"/>
        <v>4123</v>
      </c>
      <c r="T230" s="89">
        <v>46146</v>
      </c>
      <c r="U230" s="14"/>
      <c r="V230" s="105" t="s">
        <v>2375</v>
      </c>
      <c r="W230" s="105" t="str">
        <f>VLOOKUP(C230,'Status oficina'!$A$2:$C$208,3,FALSE)</f>
        <v>Activa</v>
      </c>
    </row>
    <row r="231" spans="1:23" s="34" customFormat="1" ht="13.5" customHeight="1" x14ac:dyDescent="0.25">
      <c r="A231" s="14" t="s">
        <v>939</v>
      </c>
      <c r="B231" s="14" t="s">
        <v>943</v>
      </c>
      <c r="C231" s="19">
        <v>9580</v>
      </c>
      <c r="D231" s="14" t="s">
        <v>945</v>
      </c>
      <c r="E231" s="14" t="s">
        <v>417</v>
      </c>
      <c r="F231" s="14" t="s">
        <v>1394</v>
      </c>
      <c r="G231" s="14" t="s">
        <v>111</v>
      </c>
      <c r="H231" s="55">
        <v>943988</v>
      </c>
      <c r="I231" s="55">
        <v>945087</v>
      </c>
      <c r="J231" s="55">
        <f t="shared" si="15"/>
        <v>1099</v>
      </c>
      <c r="K231" s="55">
        <v>946424</v>
      </c>
      <c r="L231" s="55">
        <f t="shared" si="16"/>
        <v>1337</v>
      </c>
      <c r="M231" s="55">
        <f>VLOOKUP(G231,'[1]01-09 al 30-09'!$G:$AI,29,FALSE)</f>
        <v>947553</v>
      </c>
      <c r="N231" s="55">
        <f t="shared" si="17"/>
        <v>1129</v>
      </c>
      <c r="O231" s="55">
        <f>VLOOKUP(G231,'[1]01-09 al 30-09'!$G:$AS,39,FALSE)</f>
        <v>949039</v>
      </c>
      <c r="P231" s="55">
        <f t="shared" si="18"/>
        <v>1486</v>
      </c>
      <c r="Q231" s="55"/>
      <c r="R231" s="55"/>
      <c r="S231" s="90">
        <f t="shared" si="19"/>
        <v>5051</v>
      </c>
      <c r="T231" s="89">
        <v>46146</v>
      </c>
      <c r="U231" s="13"/>
      <c r="V231" s="105" t="s">
        <v>2375</v>
      </c>
      <c r="W231" s="105" t="str">
        <f>VLOOKUP(C231,'Status oficina'!$A$2:$C$208,3,FALSE)</f>
        <v>Activa</v>
      </c>
    </row>
    <row r="232" spans="1:23" ht="13.5" customHeight="1" x14ac:dyDescent="0.25">
      <c r="A232" s="14" t="s">
        <v>868</v>
      </c>
      <c r="B232" s="14" t="s">
        <v>892</v>
      </c>
      <c r="C232" s="120">
        <v>9854</v>
      </c>
      <c r="D232" s="14" t="s">
        <v>893</v>
      </c>
      <c r="E232" s="14" t="s">
        <v>417</v>
      </c>
      <c r="F232" s="14" t="s">
        <v>1356</v>
      </c>
      <c r="G232" s="14" t="s">
        <v>175</v>
      </c>
      <c r="H232" s="55">
        <v>967246</v>
      </c>
      <c r="I232" s="55">
        <v>969706</v>
      </c>
      <c r="J232" s="55">
        <f t="shared" si="15"/>
        <v>2460</v>
      </c>
      <c r="K232" s="55">
        <v>971758</v>
      </c>
      <c r="L232" s="55">
        <f t="shared" si="16"/>
        <v>2052</v>
      </c>
      <c r="M232" s="55">
        <f>VLOOKUP(G232,'[1]01-09 al 30-09'!$G:$AI,29,FALSE)</f>
        <v>973011</v>
      </c>
      <c r="N232" s="55">
        <f t="shared" si="17"/>
        <v>1253</v>
      </c>
      <c r="O232" s="55">
        <f>VLOOKUP(G232,'[1]01-09 al 30-09'!$G:$AS,39,FALSE)</f>
        <v>975328</v>
      </c>
      <c r="P232" s="55">
        <f t="shared" si="18"/>
        <v>2317</v>
      </c>
      <c r="Q232" s="55"/>
      <c r="R232" s="55"/>
      <c r="S232" s="90">
        <f t="shared" si="19"/>
        <v>8082</v>
      </c>
      <c r="T232" s="89">
        <v>46146</v>
      </c>
      <c r="U232" s="14"/>
      <c r="V232" s="105" t="s">
        <v>2375</v>
      </c>
      <c r="W232" s="105" t="str">
        <f>VLOOKUP(C232,'Status oficina'!$A$2:$C$208,3,FALSE)</f>
        <v>Activa</v>
      </c>
    </row>
    <row r="233" spans="1:23" ht="13.5" customHeight="1" x14ac:dyDescent="0.25">
      <c r="A233" s="53" t="s">
        <v>2442</v>
      </c>
      <c r="B233" s="14" t="s">
        <v>714</v>
      </c>
      <c r="C233" s="19">
        <v>9226</v>
      </c>
      <c r="D233" s="14" t="s">
        <v>715</v>
      </c>
      <c r="E233" s="14" t="s">
        <v>417</v>
      </c>
      <c r="F233" s="14" t="s">
        <v>1241</v>
      </c>
      <c r="G233" s="14" t="s">
        <v>17</v>
      </c>
      <c r="H233" s="55">
        <v>685039</v>
      </c>
      <c r="I233" s="55">
        <v>685947</v>
      </c>
      <c r="J233" s="55">
        <f t="shared" si="15"/>
        <v>908</v>
      </c>
      <c r="K233" s="55">
        <v>686843</v>
      </c>
      <c r="L233" s="55">
        <f t="shared" si="16"/>
        <v>896</v>
      </c>
      <c r="M233" s="55">
        <f>VLOOKUP(G233,'[1]01-09 al 30-09'!$G:$AI,29,FALSE)</f>
        <v>687813</v>
      </c>
      <c r="N233" s="55">
        <f t="shared" si="17"/>
        <v>970</v>
      </c>
      <c r="O233" s="55">
        <f>VLOOKUP(G233,'[1]01-09 al 30-09'!$G:$AS,39,FALSE)</f>
        <v>688720</v>
      </c>
      <c r="P233" s="55">
        <f t="shared" si="18"/>
        <v>907</v>
      </c>
      <c r="Q233" s="55"/>
      <c r="R233" s="55"/>
      <c r="S233" s="90">
        <f t="shared" si="19"/>
        <v>3681</v>
      </c>
      <c r="T233" s="89">
        <v>46146</v>
      </c>
      <c r="U233" s="14"/>
      <c r="V233" s="105" t="s">
        <v>2375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939</v>
      </c>
      <c r="B234" s="14" t="s">
        <v>1022</v>
      </c>
      <c r="C234" s="120">
        <v>9615</v>
      </c>
      <c r="D234" s="14" t="s">
        <v>1024</v>
      </c>
      <c r="E234" s="14" t="s">
        <v>417</v>
      </c>
      <c r="F234" s="14" t="s">
        <v>1441</v>
      </c>
      <c r="G234" s="14" t="s">
        <v>63</v>
      </c>
      <c r="H234" s="55">
        <v>582688</v>
      </c>
      <c r="I234" s="55">
        <v>583703</v>
      </c>
      <c r="J234" s="55">
        <f t="shared" si="15"/>
        <v>1015</v>
      </c>
      <c r="K234" s="55">
        <v>584640</v>
      </c>
      <c r="L234" s="55">
        <f t="shared" si="16"/>
        <v>937</v>
      </c>
      <c r="M234" s="55">
        <f>VLOOKUP(G234,'[1]01-09 al 30-09'!$G:$AI,29,FALSE)</f>
        <v>585469</v>
      </c>
      <c r="N234" s="55">
        <f t="shared" si="17"/>
        <v>829</v>
      </c>
      <c r="O234" s="55">
        <f>VLOOKUP(G234,'[1]01-09 al 30-09'!$G:$AS,39,FALSE)</f>
        <v>586521</v>
      </c>
      <c r="P234" s="55">
        <f t="shared" si="18"/>
        <v>1052</v>
      </c>
      <c r="Q234" s="55"/>
      <c r="R234" s="55"/>
      <c r="S234" s="90">
        <f t="shared" si="19"/>
        <v>3833</v>
      </c>
      <c r="T234" s="89">
        <v>46146</v>
      </c>
      <c r="U234" s="14"/>
      <c r="V234" s="105" t="s">
        <v>2375</v>
      </c>
      <c r="W234" s="105" t="str">
        <f>VLOOKUP(C234,'Status oficina'!$A$2:$C$208,3,FALSE)</f>
        <v>Activa</v>
      </c>
    </row>
    <row r="235" spans="1:23" ht="13.5" customHeight="1" x14ac:dyDescent="0.25">
      <c r="A235" s="53" t="s">
        <v>2442</v>
      </c>
      <c r="B235" s="14" t="s">
        <v>717</v>
      </c>
      <c r="C235" s="19">
        <v>9250</v>
      </c>
      <c r="D235" s="14" t="s">
        <v>718</v>
      </c>
      <c r="E235" s="14" t="s">
        <v>417</v>
      </c>
      <c r="F235" s="14" t="s">
        <v>1243</v>
      </c>
      <c r="G235" s="14" t="s">
        <v>1</v>
      </c>
      <c r="H235" s="55">
        <v>781042</v>
      </c>
      <c r="I235" s="55">
        <v>782010</v>
      </c>
      <c r="J235" s="55">
        <f t="shared" si="15"/>
        <v>968</v>
      </c>
      <c r="K235" s="55">
        <v>783188</v>
      </c>
      <c r="L235" s="55">
        <f t="shared" si="16"/>
        <v>1178</v>
      </c>
      <c r="M235" s="55">
        <f>VLOOKUP(G235,'[1]01-09 al 30-09'!$G:$AI,29,FALSE)</f>
        <v>784079</v>
      </c>
      <c r="N235" s="55">
        <f t="shared" si="17"/>
        <v>891</v>
      </c>
      <c r="O235" s="55">
        <f>VLOOKUP(G235,'[1]01-09 al 30-09'!$G:$AS,39,FALSE)</f>
        <v>785204</v>
      </c>
      <c r="P235" s="55">
        <f t="shared" si="18"/>
        <v>1125</v>
      </c>
      <c r="Q235" s="55"/>
      <c r="R235" s="55"/>
      <c r="S235" s="90">
        <f t="shared" si="19"/>
        <v>4162</v>
      </c>
      <c r="T235" s="89">
        <v>46146</v>
      </c>
      <c r="U235" s="14"/>
      <c r="V235" s="105" t="s">
        <v>2375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868</v>
      </c>
      <c r="B236" s="14" t="s">
        <v>885</v>
      </c>
      <c r="C236" s="19">
        <v>9816</v>
      </c>
      <c r="D236" s="14" t="s">
        <v>886</v>
      </c>
      <c r="E236" s="14" t="s">
        <v>417</v>
      </c>
      <c r="F236" s="14" t="s">
        <v>1365</v>
      </c>
      <c r="G236" s="14" t="s">
        <v>2168</v>
      </c>
      <c r="H236" s="55">
        <v>661605</v>
      </c>
      <c r="I236" s="55">
        <v>663153</v>
      </c>
      <c r="J236" s="55">
        <f t="shared" si="15"/>
        <v>1548</v>
      </c>
      <c r="K236" s="55">
        <v>664323</v>
      </c>
      <c r="L236" s="55">
        <f t="shared" si="16"/>
        <v>1170</v>
      </c>
      <c r="M236" s="55">
        <f>VLOOKUP(G236,'[1]01-09 al 30-09'!$G:$AI,29,FALSE)</f>
        <v>665332</v>
      </c>
      <c r="N236" s="55">
        <f t="shared" si="17"/>
        <v>1009</v>
      </c>
      <c r="O236" s="55">
        <f>VLOOKUP(G236,'[1]01-09 al 30-09'!$G:$AS,39,FALSE)</f>
        <v>666573</v>
      </c>
      <c r="P236" s="55">
        <f t="shared" si="18"/>
        <v>1241</v>
      </c>
      <c r="Q236" s="55"/>
      <c r="R236" s="55"/>
      <c r="S236" s="90">
        <f t="shared" si="19"/>
        <v>4968</v>
      </c>
      <c r="T236" s="89">
        <v>46146</v>
      </c>
      <c r="U236" s="14" t="s">
        <v>2169</v>
      </c>
      <c r="V236" s="105" t="s">
        <v>2375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2082</v>
      </c>
      <c r="B237" s="14" t="s">
        <v>526</v>
      </c>
      <c r="C237" s="19">
        <v>9392</v>
      </c>
      <c r="D237" s="54" t="s">
        <v>527</v>
      </c>
      <c r="E237" s="54" t="s">
        <v>417</v>
      </c>
      <c r="F237" s="54" t="s">
        <v>1140</v>
      </c>
      <c r="G237" s="54" t="s">
        <v>146</v>
      </c>
      <c r="H237" s="55">
        <v>678903</v>
      </c>
      <c r="I237" s="55">
        <v>680162</v>
      </c>
      <c r="J237" s="55">
        <f t="shared" si="15"/>
        <v>1259</v>
      </c>
      <c r="K237" s="55">
        <v>681437</v>
      </c>
      <c r="L237" s="55">
        <f t="shared" si="16"/>
        <v>1275</v>
      </c>
      <c r="M237" s="55">
        <f>VLOOKUP(G237,'[1]01-09 al 30-09'!$G:$AI,29,FALSE)</f>
        <v>682652</v>
      </c>
      <c r="N237" s="55">
        <f t="shared" si="17"/>
        <v>1215</v>
      </c>
      <c r="O237" s="55">
        <f>VLOOKUP(G237,'[1]01-09 al 30-09'!$G:$AS,39,FALSE)</f>
        <v>683773</v>
      </c>
      <c r="P237" s="55">
        <f t="shared" si="18"/>
        <v>1121</v>
      </c>
      <c r="Q237" s="55"/>
      <c r="R237" s="55"/>
      <c r="S237" s="90">
        <f t="shared" si="19"/>
        <v>4870</v>
      </c>
      <c r="T237" s="89">
        <v>46146</v>
      </c>
      <c r="U237" s="14"/>
      <c r="V237" s="105" t="s">
        <v>2375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868</v>
      </c>
      <c r="B238" s="14" t="s">
        <v>885</v>
      </c>
      <c r="C238" s="19">
        <v>9816</v>
      </c>
      <c r="D238" s="14" t="s">
        <v>886</v>
      </c>
      <c r="E238" s="14" t="s">
        <v>417</v>
      </c>
      <c r="F238" s="14" t="s">
        <v>1349</v>
      </c>
      <c r="G238" s="14"/>
      <c r="H238" s="55">
        <v>483177</v>
      </c>
      <c r="I238" s="55">
        <v>483177</v>
      </c>
      <c r="J238" s="55">
        <f t="shared" si="15"/>
        <v>0</v>
      </c>
      <c r="K238" s="55">
        <v>483177</v>
      </c>
      <c r="L238" s="55">
        <f t="shared" si="16"/>
        <v>0</v>
      </c>
      <c r="M238" s="55">
        <v>483177</v>
      </c>
      <c r="N238" s="55">
        <f t="shared" si="17"/>
        <v>0</v>
      </c>
      <c r="O238" s="55">
        <v>483177</v>
      </c>
      <c r="P238" s="55">
        <f t="shared" si="18"/>
        <v>0</v>
      </c>
      <c r="Q238" s="55"/>
      <c r="R238" s="55"/>
      <c r="S238" s="90">
        <f t="shared" si="19"/>
        <v>0</v>
      </c>
      <c r="T238" s="89">
        <v>46146</v>
      </c>
      <c r="U238" s="14" t="s">
        <v>2149</v>
      </c>
      <c r="V238" s="105" t="s">
        <v>2374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2082</v>
      </c>
      <c r="B239" s="14" t="s">
        <v>570</v>
      </c>
      <c r="C239" s="120">
        <v>9391</v>
      </c>
      <c r="D239" s="54" t="s">
        <v>571</v>
      </c>
      <c r="E239" s="54" t="s">
        <v>417</v>
      </c>
      <c r="F239" s="54" t="s">
        <v>1167</v>
      </c>
      <c r="G239" s="54" t="s">
        <v>246</v>
      </c>
      <c r="H239" s="55">
        <v>481989</v>
      </c>
      <c r="I239" s="55">
        <v>482810</v>
      </c>
      <c r="J239" s="55">
        <f t="shared" si="15"/>
        <v>821</v>
      </c>
      <c r="K239" s="55">
        <v>483862</v>
      </c>
      <c r="L239" s="55">
        <f t="shared" si="16"/>
        <v>1052</v>
      </c>
      <c r="M239" s="55">
        <f>VLOOKUP(G239,'[1]01-09 al 30-09'!$G:$AI,29,FALSE)</f>
        <v>484840</v>
      </c>
      <c r="N239" s="55">
        <f t="shared" si="17"/>
        <v>978</v>
      </c>
      <c r="O239" s="55">
        <f>VLOOKUP(G239,'[1]01-09 al 30-09'!$G:$AS,39,FALSE)</f>
        <v>485903</v>
      </c>
      <c r="P239" s="55">
        <f t="shared" si="18"/>
        <v>1063</v>
      </c>
      <c r="Q239" s="55"/>
      <c r="R239" s="55"/>
      <c r="S239" s="90">
        <f t="shared" si="19"/>
        <v>3914</v>
      </c>
      <c r="T239" s="89">
        <v>46146</v>
      </c>
      <c r="U239" s="14"/>
      <c r="V239" s="105" t="s">
        <v>2375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2082</v>
      </c>
      <c r="B240" s="14" t="s">
        <v>543</v>
      </c>
      <c r="C240" s="120">
        <v>9312</v>
      </c>
      <c r="D240" s="54" t="s">
        <v>2091</v>
      </c>
      <c r="E240" s="54" t="s">
        <v>417</v>
      </c>
      <c r="F240" s="54" t="s">
        <v>1149</v>
      </c>
      <c r="G240" s="54" t="s">
        <v>83</v>
      </c>
      <c r="H240" s="55">
        <v>376787</v>
      </c>
      <c r="I240" s="55">
        <v>377285</v>
      </c>
      <c r="J240" s="55">
        <f t="shared" si="15"/>
        <v>498</v>
      </c>
      <c r="K240" s="55">
        <v>377988</v>
      </c>
      <c r="L240" s="55">
        <f t="shared" si="16"/>
        <v>703</v>
      </c>
      <c r="M240" s="55">
        <f>VLOOKUP(G240,'[1]01-09 al 30-09'!$G:$AI,29,FALSE)</f>
        <v>378387</v>
      </c>
      <c r="N240" s="55">
        <f t="shared" si="17"/>
        <v>399</v>
      </c>
      <c r="O240" s="55">
        <f>VLOOKUP(G240,'[1]01-09 al 30-09'!$G:$AS,39,FALSE)</f>
        <v>379081</v>
      </c>
      <c r="P240" s="55">
        <f t="shared" si="18"/>
        <v>694</v>
      </c>
      <c r="Q240" s="55"/>
      <c r="R240" s="55"/>
      <c r="S240" s="90">
        <f t="shared" si="19"/>
        <v>2294</v>
      </c>
      <c r="T240" s="89">
        <v>46146</v>
      </c>
      <c r="U240" s="14"/>
      <c r="V240" s="105" t="s">
        <v>2375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868</v>
      </c>
      <c r="B241" s="14" t="s">
        <v>876</v>
      </c>
      <c r="C241" s="19">
        <v>9818</v>
      </c>
      <c r="D241" s="14" t="s">
        <v>878</v>
      </c>
      <c r="E241" s="14" t="s">
        <v>417</v>
      </c>
      <c r="F241" s="14" t="s">
        <v>1343</v>
      </c>
      <c r="G241" s="14"/>
      <c r="H241" s="55">
        <v>359622</v>
      </c>
      <c r="I241" s="55">
        <v>359622</v>
      </c>
      <c r="J241" s="55">
        <f t="shared" si="15"/>
        <v>0</v>
      </c>
      <c r="K241" s="55">
        <v>359622</v>
      </c>
      <c r="L241" s="55">
        <f t="shared" si="16"/>
        <v>0</v>
      </c>
      <c r="M241" s="55">
        <v>359622</v>
      </c>
      <c r="N241" s="55">
        <f t="shared" si="17"/>
        <v>0</v>
      </c>
      <c r="O241" s="55">
        <v>359622</v>
      </c>
      <c r="P241" s="55">
        <f t="shared" si="18"/>
        <v>0</v>
      </c>
      <c r="Q241" s="55"/>
      <c r="R241" s="55"/>
      <c r="S241" s="90">
        <f t="shared" si="19"/>
        <v>0</v>
      </c>
      <c r="T241" s="89">
        <v>46146</v>
      </c>
      <c r="U241" s="14" t="s">
        <v>2411</v>
      </c>
      <c r="V241" s="105" t="s">
        <v>2410</v>
      </c>
      <c r="W241" s="105" t="s">
        <v>2228</v>
      </c>
    </row>
    <row r="242" spans="1:23" ht="13.5" customHeight="1" x14ac:dyDescent="0.25">
      <c r="A242" s="14" t="s">
        <v>868</v>
      </c>
      <c r="B242" s="14" t="s">
        <v>876</v>
      </c>
      <c r="C242" s="19">
        <v>9818</v>
      </c>
      <c r="D242" s="14" t="s">
        <v>877</v>
      </c>
      <c r="E242" s="54" t="s">
        <v>417</v>
      </c>
      <c r="F242" s="53" t="s">
        <v>1336</v>
      </c>
      <c r="G242" s="14"/>
      <c r="H242" s="55">
        <v>194608</v>
      </c>
      <c r="I242" s="55">
        <v>194608</v>
      </c>
      <c r="J242" s="55">
        <f t="shared" si="15"/>
        <v>0</v>
      </c>
      <c r="K242" s="55">
        <v>194608</v>
      </c>
      <c r="L242" s="55">
        <f t="shared" si="16"/>
        <v>0</v>
      </c>
      <c r="M242" s="55">
        <v>194608</v>
      </c>
      <c r="N242" s="55">
        <f t="shared" si="17"/>
        <v>0</v>
      </c>
      <c r="O242" s="55">
        <v>194608</v>
      </c>
      <c r="P242" s="55">
        <f t="shared" si="18"/>
        <v>0</v>
      </c>
      <c r="Q242" s="55"/>
      <c r="R242" s="55"/>
      <c r="S242" s="90">
        <f t="shared" si="19"/>
        <v>0</v>
      </c>
      <c r="T242" s="89">
        <v>46146</v>
      </c>
      <c r="U242" s="14" t="s">
        <v>2411</v>
      </c>
      <c r="V242" s="105" t="s">
        <v>2374</v>
      </c>
      <c r="W242" s="105" t="s">
        <v>2228</v>
      </c>
    </row>
    <row r="243" spans="1:23" ht="13.5" customHeight="1" x14ac:dyDescent="0.25">
      <c r="A243" s="14" t="s">
        <v>939</v>
      </c>
      <c r="B243" s="14" t="s">
        <v>1035</v>
      </c>
      <c r="C243" s="120">
        <v>9510</v>
      </c>
      <c r="D243" s="14" t="s">
        <v>2108</v>
      </c>
      <c r="E243" s="14" t="s">
        <v>417</v>
      </c>
      <c r="F243" s="14" t="s">
        <v>1454</v>
      </c>
      <c r="G243" s="14" t="s">
        <v>121</v>
      </c>
      <c r="H243" s="55">
        <v>383426</v>
      </c>
      <c r="I243" s="55">
        <v>383639</v>
      </c>
      <c r="J243" s="55">
        <f t="shared" si="15"/>
        <v>213</v>
      </c>
      <c r="K243" s="55">
        <v>383762</v>
      </c>
      <c r="L243" s="55">
        <f t="shared" si="16"/>
        <v>123</v>
      </c>
      <c r="M243" s="55">
        <f>VLOOKUP(G243,'[1]01-09 al 30-09'!$G:$AI,29,FALSE)</f>
        <v>383937</v>
      </c>
      <c r="N243" s="55">
        <f t="shared" si="17"/>
        <v>175</v>
      </c>
      <c r="O243" s="55">
        <f>VLOOKUP(G243,'[1]01-09 al 30-09'!$G:$AS,39,FALSE)</f>
        <v>384360</v>
      </c>
      <c r="P243" s="55">
        <f t="shared" si="18"/>
        <v>423</v>
      </c>
      <c r="Q243" s="55"/>
      <c r="R243" s="55"/>
      <c r="S243" s="90">
        <f t="shared" si="19"/>
        <v>934</v>
      </c>
      <c r="T243" s="89">
        <v>46146</v>
      </c>
      <c r="U243" s="14"/>
      <c r="V243" s="108" t="s">
        <v>2375</v>
      </c>
      <c r="W243" s="105" t="str">
        <f>VLOOKUP(C243,'Status oficina'!$A$2:$C$208,3,FALSE)</f>
        <v>Activa</v>
      </c>
    </row>
    <row r="244" spans="1:23" ht="13.5" customHeight="1" x14ac:dyDescent="0.25">
      <c r="A244" s="14" t="s">
        <v>868</v>
      </c>
      <c r="B244" s="14" t="s">
        <v>896</v>
      </c>
      <c r="C244" s="120">
        <v>9884</v>
      </c>
      <c r="D244" s="14" t="s">
        <v>898</v>
      </c>
      <c r="E244" s="14" t="s">
        <v>417</v>
      </c>
      <c r="F244" s="14" t="s">
        <v>1358</v>
      </c>
      <c r="G244" s="14" t="s">
        <v>248</v>
      </c>
      <c r="H244" s="55">
        <v>539627</v>
      </c>
      <c r="I244" s="55">
        <v>540716</v>
      </c>
      <c r="J244" s="55">
        <f t="shared" si="15"/>
        <v>1089</v>
      </c>
      <c r="K244" s="55">
        <v>542503</v>
      </c>
      <c r="L244" s="55">
        <f t="shared" si="16"/>
        <v>1787</v>
      </c>
      <c r="M244" s="55">
        <f>VLOOKUP(G244,'[1]01-09 al 30-09'!$G:$AI,29,FALSE)</f>
        <v>543880</v>
      </c>
      <c r="N244" s="55">
        <f t="shared" si="17"/>
        <v>1377</v>
      </c>
      <c r="O244" s="55">
        <f>VLOOKUP(G244,'[1]01-09 al 30-09'!$G:$AS,39,FALSE)</f>
        <v>545320</v>
      </c>
      <c r="P244" s="55">
        <f t="shared" si="18"/>
        <v>1440</v>
      </c>
      <c r="Q244" s="55"/>
      <c r="R244" s="55"/>
      <c r="S244" s="90">
        <f t="shared" si="19"/>
        <v>5693</v>
      </c>
      <c r="T244" s="89">
        <v>46146</v>
      </c>
      <c r="U244" s="14"/>
      <c r="V244" s="105" t="s">
        <v>2375</v>
      </c>
      <c r="W244" s="105" t="str">
        <f>VLOOKUP(C244,'Status oficina'!$A$2:$C$208,3,FALSE)</f>
        <v>Activa</v>
      </c>
    </row>
    <row r="245" spans="1:23" ht="13.5" customHeight="1" x14ac:dyDescent="0.25">
      <c r="A245" s="15" t="s">
        <v>868</v>
      </c>
      <c r="B245" s="15" t="s">
        <v>936</v>
      </c>
      <c r="C245" s="22">
        <v>9805</v>
      </c>
      <c r="D245" s="14" t="s">
        <v>937</v>
      </c>
      <c r="E245" s="15" t="s">
        <v>417</v>
      </c>
      <c r="F245" s="14" t="s">
        <v>1389</v>
      </c>
      <c r="G245" s="15" t="s">
        <v>366</v>
      </c>
      <c r="H245" s="55">
        <v>608412</v>
      </c>
      <c r="I245" s="55">
        <v>608573</v>
      </c>
      <c r="J245" s="55">
        <f t="shared" si="15"/>
        <v>161</v>
      </c>
      <c r="K245" s="55">
        <v>608599</v>
      </c>
      <c r="L245" s="55">
        <f t="shared" si="16"/>
        <v>26</v>
      </c>
      <c r="M245" s="55">
        <f>VLOOKUP(G245,'[1]01-09 al 30-09'!$G:$AI,29,FALSE)</f>
        <v>608611</v>
      </c>
      <c r="N245" s="55">
        <f t="shared" si="17"/>
        <v>12</v>
      </c>
      <c r="O245" s="55">
        <f>VLOOKUP(G245,'[1]01-09 al 30-09'!$G:$AS,39,FALSE)</f>
        <v>608657</v>
      </c>
      <c r="P245" s="55">
        <f t="shared" si="18"/>
        <v>46</v>
      </c>
      <c r="Q245" s="55"/>
      <c r="R245" s="55"/>
      <c r="S245" s="90">
        <f t="shared" si="19"/>
        <v>245</v>
      </c>
      <c r="T245" s="89">
        <v>46146</v>
      </c>
      <c r="U245" s="14"/>
      <c r="V245" s="105" t="s">
        <v>2375</v>
      </c>
      <c r="W245" s="105" t="str">
        <f>VLOOKUP(C245,'Status oficina'!$A$2:$C$208,3,FALSE)</f>
        <v>Activa</v>
      </c>
    </row>
    <row r="246" spans="1:23" ht="13.5" customHeight="1" x14ac:dyDescent="0.25">
      <c r="A246" s="14" t="s">
        <v>939</v>
      </c>
      <c r="B246" s="14" t="s">
        <v>962</v>
      </c>
      <c r="C246" s="19">
        <v>9570</v>
      </c>
      <c r="D246" s="14" t="s">
        <v>963</v>
      </c>
      <c r="E246" s="14" t="s">
        <v>417</v>
      </c>
      <c r="F246" s="14" t="s">
        <v>1405</v>
      </c>
      <c r="G246" s="14" t="s">
        <v>277</v>
      </c>
      <c r="H246" s="55">
        <v>637295</v>
      </c>
      <c r="I246" s="55">
        <v>638347</v>
      </c>
      <c r="J246" s="55">
        <f t="shared" si="15"/>
        <v>1052</v>
      </c>
      <c r="K246" s="55">
        <v>638736</v>
      </c>
      <c r="L246" s="55">
        <f t="shared" si="16"/>
        <v>389</v>
      </c>
      <c r="M246" s="55">
        <f>VLOOKUP(G246,'[1]01-09 al 30-09'!$G:$AI,29,FALSE)</f>
        <v>639668</v>
      </c>
      <c r="N246" s="55">
        <f t="shared" si="17"/>
        <v>932</v>
      </c>
      <c r="O246" s="55">
        <f>VLOOKUP(G246,'[1]01-09 al 30-09'!$G:$AS,39,FALSE)</f>
        <v>640828</v>
      </c>
      <c r="P246" s="55">
        <f t="shared" si="18"/>
        <v>1160</v>
      </c>
      <c r="Q246" s="55"/>
      <c r="R246" s="55"/>
      <c r="S246" s="90">
        <f t="shared" si="19"/>
        <v>3533</v>
      </c>
      <c r="T246" s="89">
        <v>46146</v>
      </c>
      <c r="U246" s="14"/>
      <c r="V246" s="105" t="s">
        <v>2375</v>
      </c>
      <c r="W246" s="105" t="str">
        <f>VLOOKUP(C246,'Status oficina'!$A$2:$C$208,3,FALSE)</f>
        <v>Activa</v>
      </c>
    </row>
    <row r="247" spans="1:23" ht="13.5" customHeight="1" x14ac:dyDescent="0.25">
      <c r="A247" s="53" t="s">
        <v>2442</v>
      </c>
      <c r="B247" s="14" t="s">
        <v>707</v>
      </c>
      <c r="C247" s="19">
        <v>9907</v>
      </c>
      <c r="D247" s="14" t="s">
        <v>708</v>
      </c>
      <c r="E247" s="14" t="s">
        <v>417</v>
      </c>
      <c r="F247" s="14" t="s">
        <v>1238</v>
      </c>
      <c r="G247" s="14" t="s">
        <v>227</v>
      </c>
      <c r="H247" s="55">
        <v>690533</v>
      </c>
      <c r="I247" s="55">
        <v>691513</v>
      </c>
      <c r="J247" s="55">
        <f t="shared" si="15"/>
        <v>980</v>
      </c>
      <c r="K247" s="55">
        <v>692241</v>
      </c>
      <c r="L247" s="55">
        <f t="shared" si="16"/>
        <v>728</v>
      </c>
      <c r="M247" s="55">
        <f>VLOOKUP(G247,'[1]01-09 al 30-09'!$G:$AI,29,FALSE)</f>
        <v>692989</v>
      </c>
      <c r="N247" s="55">
        <f t="shared" si="17"/>
        <v>748</v>
      </c>
      <c r="O247" s="55">
        <f>VLOOKUP(G247,'[1]01-09 al 30-09'!$G:$AS,39,FALSE)</f>
        <v>694365</v>
      </c>
      <c r="P247" s="55">
        <f t="shared" si="18"/>
        <v>1376</v>
      </c>
      <c r="Q247" s="55"/>
      <c r="R247" s="55"/>
      <c r="S247" s="90">
        <f t="shared" si="19"/>
        <v>3832</v>
      </c>
      <c r="T247" s="89">
        <v>46146</v>
      </c>
      <c r="U247" s="14"/>
      <c r="V247" s="105" t="s">
        <v>2375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2443</v>
      </c>
      <c r="B248" s="14" t="s">
        <v>850</v>
      </c>
      <c r="C248" s="120">
        <v>9394</v>
      </c>
      <c r="D248" s="14" t="s">
        <v>851</v>
      </c>
      <c r="E248" s="14" t="s">
        <v>417</v>
      </c>
      <c r="F248" s="14" t="s">
        <v>1327</v>
      </c>
      <c r="G248" s="14" t="s">
        <v>280</v>
      </c>
      <c r="H248" s="55">
        <v>279882</v>
      </c>
      <c r="I248" s="55">
        <v>281296</v>
      </c>
      <c r="J248" s="55">
        <f t="shared" si="15"/>
        <v>1414</v>
      </c>
      <c r="K248" s="55">
        <v>282254</v>
      </c>
      <c r="L248" s="55">
        <f t="shared" si="16"/>
        <v>958</v>
      </c>
      <c r="M248" s="55">
        <f>VLOOKUP(G248,'[1]01-09 al 30-09'!$G:$AI,29,FALSE)</f>
        <v>283165</v>
      </c>
      <c r="N248" s="55">
        <f t="shared" si="17"/>
        <v>911</v>
      </c>
      <c r="O248" s="55">
        <f>VLOOKUP(G248,'[1]01-09 al 30-09'!$G:$AS,39,FALSE)</f>
        <v>284395</v>
      </c>
      <c r="P248" s="55">
        <f t="shared" si="18"/>
        <v>1230</v>
      </c>
      <c r="Q248" s="55"/>
      <c r="R248" s="55"/>
      <c r="S248" s="90">
        <f t="shared" si="19"/>
        <v>4513</v>
      </c>
      <c r="T248" s="89">
        <v>46146</v>
      </c>
      <c r="U248" s="14"/>
      <c r="V248" s="105" t="s">
        <v>2375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2442</v>
      </c>
      <c r="B249" s="14" t="s">
        <v>725</v>
      </c>
      <c r="C249" s="120">
        <v>9276</v>
      </c>
      <c r="D249" s="14" t="s">
        <v>726</v>
      </c>
      <c r="E249" s="14" t="s">
        <v>417</v>
      </c>
      <c r="F249" s="14" t="s">
        <v>1249</v>
      </c>
      <c r="G249" s="14" t="s">
        <v>92</v>
      </c>
      <c r="H249" s="55">
        <v>506593</v>
      </c>
      <c r="I249" s="55">
        <v>507264</v>
      </c>
      <c r="J249" s="55">
        <f t="shared" si="15"/>
        <v>671</v>
      </c>
      <c r="K249" s="55">
        <v>507855</v>
      </c>
      <c r="L249" s="55">
        <f t="shared" si="16"/>
        <v>591</v>
      </c>
      <c r="M249" s="55">
        <f>VLOOKUP(G249,'[1]01-09 al 30-09'!$G:$AI,29,FALSE)</f>
        <v>508467</v>
      </c>
      <c r="N249" s="55">
        <f t="shared" si="17"/>
        <v>612</v>
      </c>
      <c r="O249" s="55">
        <f>VLOOKUP(G249,'[1]01-09 al 30-09'!$G:$AS,39,FALSE)</f>
        <v>509193</v>
      </c>
      <c r="P249" s="55">
        <f t="shared" si="18"/>
        <v>726</v>
      </c>
      <c r="Q249" s="55"/>
      <c r="R249" s="55"/>
      <c r="S249" s="90">
        <f t="shared" si="19"/>
        <v>2600</v>
      </c>
      <c r="T249" s="89">
        <v>46146</v>
      </c>
      <c r="U249" s="14"/>
      <c r="V249" s="105" t="s">
        <v>2375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2082</v>
      </c>
      <c r="B250" s="14" t="s">
        <v>600</v>
      </c>
      <c r="C250" s="19">
        <v>9833</v>
      </c>
      <c r="D250" s="49" t="s">
        <v>603</v>
      </c>
      <c r="E250" s="49" t="s">
        <v>417</v>
      </c>
      <c r="F250" s="49" t="s">
        <v>2164</v>
      </c>
      <c r="G250" s="54" t="s">
        <v>32</v>
      </c>
      <c r="H250" s="55">
        <v>456894</v>
      </c>
      <c r="I250" s="55">
        <v>458079</v>
      </c>
      <c r="J250" s="55">
        <f t="shared" si="15"/>
        <v>1185</v>
      </c>
      <c r="K250" s="55">
        <v>459024</v>
      </c>
      <c r="L250" s="55">
        <f t="shared" si="16"/>
        <v>945</v>
      </c>
      <c r="M250" s="55">
        <f>VLOOKUP(G250,'[1]01-09 al 30-09'!$G:$AI,29,FALSE)</f>
        <v>459757</v>
      </c>
      <c r="N250" s="55">
        <f t="shared" si="17"/>
        <v>733</v>
      </c>
      <c r="O250" s="55">
        <f>VLOOKUP(G250,'[1]01-09 al 30-09'!$G:$AS,39,FALSE)</f>
        <v>460460</v>
      </c>
      <c r="P250" s="55">
        <f t="shared" si="18"/>
        <v>703</v>
      </c>
      <c r="Q250" s="55"/>
      <c r="R250" s="55"/>
      <c r="S250" s="90">
        <f t="shared" si="19"/>
        <v>3566</v>
      </c>
      <c r="T250" s="89">
        <v>46146</v>
      </c>
      <c r="U250" s="77" t="s">
        <v>2498</v>
      </c>
      <c r="V250" s="105" t="s">
        <v>2497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2082</v>
      </c>
      <c r="B251" s="14" t="s">
        <v>626</v>
      </c>
      <c r="C251" s="120">
        <v>9868</v>
      </c>
      <c r="D251" s="14" t="s">
        <v>627</v>
      </c>
      <c r="E251" s="14" t="s">
        <v>417</v>
      </c>
      <c r="F251" s="14" t="s">
        <v>1190</v>
      </c>
      <c r="G251" s="14" t="s">
        <v>89</v>
      </c>
      <c r="H251" s="55">
        <v>628046</v>
      </c>
      <c r="I251" s="55">
        <v>629060</v>
      </c>
      <c r="J251" s="55">
        <f t="shared" si="15"/>
        <v>1014</v>
      </c>
      <c r="K251" s="55">
        <v>629723</v>
      </c>
      <c r="L251" s="55">
        <f t="shared" si="16"/>
        <v>663</v>
      </c>
      <c r="M251" s="55">
        <f>VLOOKUP(G251,'[1]01-09 al 30-09'!$G:$AI,29,FALSE)</f>
        <v>631230</v>
      </c>
      <c r="N251" s="55">
        <f t="shared" si="17"/>
        <v>1507</v>
      </c>
      <c r="O251" s="55">
        <f>VLOOKUP(G251,'[1]01-09 al 30-09'!$G:$AS,39,FALSE)</f>
        <v>632722</v>
      </c>
      <c r="P251" s="55">
        <f t="shared" si="18"/>
        <v>1492</v>
      </c>
      <c r="Q251" s="55"/>
      <c r="R251" s="55"/>
      <c r="S251" s="90">
        <f t="shared" si="19"/>
        <v>4676</v>
      </c>
      <c r="T251" s="89">
        <v>46146</v>
      </c>
      <c r="U251" s="14"/>
      <c r="V251" s="105" t="s">
        <v>2375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2443</v>
      </c>
      <c r="B252" s="14" t="s">
        <v>830</v>
      </c>
      <c r="C252" s="120">
        <v>9228</v>
      </c>
      <c r="D252" s="14" t="s">
        <v>831</v>
      </c>
      <c r="E252" s="14" t="s">
        <v>417</v>
      </c>
      <c r="F252" s="14" t="s">
        <v>1316</v>
      </c>
      <c r="G252" s="14"/>
      <c r="H252" s="55">
        <v>661519</v>
      </c>
      <c r="I252" s="55">
        <v>661519</v>
      </c>
      <c r="J252" s="55">
        <f t="shared" si="15"/>
        <v>0</v>
      </c>
      <c r="K252" s="55">
        <v>661519</v>
      </c>
      <c r="L252" s="55">
        <f t="shared" si="16"/>
        <v>0</v>
      </c>
      <c r="M252" s="55">
        <v>661519</v>
      </c>
      <c r="N252" s="55">
        <f t="shared" si="17"/>
        <v>0</v>
      </c>
      <c r="O252" s="55">
        <v>661519</v>
      </c>
      <c r="P252" s="55">
        <f t="shared" si="18"/>
        <v>0</v>
      </c>
      <c r="Q252" s="55"/>
      <c r="R252" s="55"/>
      <c r="S252" s="90">
        <f t="shared" si="19"/>
        <v>0</v>
      </c>
      <c r="T252" s="89">
        <v>46146</v>
      </c>
      <c r="U252" s="14" t="s">
        <v>2415</v>
      </c>
      <c r="V252" s="105" t="s">
        <v>2374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868</v>
      </c>
      <c r="B253" s="14" t="s">
        <v>911</v>
      </c>
      <c r="C253" s="120">
        <v>9813</v>
      </c>
      <c r="D253" s="14" t="s">
        <v>2111</v>
      </c>
      <c r="E253" s="14" t="s">
        <v>417</v>
      </c>
      <c r="F253" s="14" t="s">
        <v>1370</v>
      </c>
      <c r="G253" s="14" t="s">
        <v>39</v>
      </c>
      <c r="H253" s="55">
        <v>587402</v>
      </c>
      <c r="I253" s="55">
        <v>588243</v>
      </c>
      <c r="J253" s="55">
        <f t="shared" si="15"/>
        <v>841</v>
      </c>
      <c r="K253" s="55">
        <v>588958</v>
      </c>
      <c r="L253" s="55">
        <f t="shared" si="16"/>
        <v>715</v>
      </c>
      <c r="M253" s="55">
        <f>VLOOKUP(G253,'[1]01-09 al 30-09'!$G:$AI,29,FALSE)</f>
        <v>589635</v>
      </c>
      <c r="N253" s="55">
        <f t="shared" si="17"/>
        <v>677</v>
      </c>
      <c r="O253" s="55">
        <f>VLOOKUP(G253,'[1]01-09 al 30-09'!$G:$AS,39,FALSE)</f>
        <v>590281</v>
      </c>
      <c r="P253" s="55">
        <f t="shared" si="18"/>
        <v>646</v>
      </c>
      <c r="Q253" s="55"/>
      <c r="R253" s="55"/>
      <c r="S253" s="90">
        <f t="shared" si="19"/>
        <v>2879</v>
      </c>
      <c r="T253" s="89">
        <v>46146</v>
      </c>
      <c r="U253" s="14"/>
      <c r="V253" s="105" t="s">
        <v>2375</v>
      </c>
      <c r="W253" s="105" t="str">
        <f>VLOOKUP(C253,'Status oficina'!$A$2:$C$208,3,FALSE)</f>
        <v>Activa</v>
      </c>
    </row>
    <row r="254" spans="1:23" ht="13.5" customHeight="1" x14ac:dyDescent="0.25">
      <c r="A254" s="53" t="s">
        <v>2442</v>
      </c>
      <c r="B254" s="14" t="s">
        <v>742</v>
      </c>
      <c r="C254" s="120">
        <v>9264</v>
      </c>
      <c r="D254" s="14" t="s">
        <v>743</v>
      </c>
      <c r="E254" s="14" t="s">
        <v>417</v>
      </c>
      <c r="F254" s="14" t="s">
        <v>1261</v>
      </c>
      <c r="G254" s="14" t="s">
        <v>179</v>
      </c>
      <c r="H254" s="55">
        <v>450107</v>
      </c>
      <c r="I254" s="55">
        <v>450509</v>
      </c>
      <c r="J254" s="55">
        <f t="shared" si="15"/>
        <v>402</v>
      </c>
      <c r="K254" s="55">
        <v>451132</v>
      </c>
      <c r="L254" s="55">
        <f t="shared" si="16"/>
        <v>623</v>
      </c>
      <c r="M254" s="55">
        <f>VLOOKUP(G254,'[1]01-09 al 30-09'!$G:$AI,29,FALSE)</f>
        <v>451746</v>
      </c>
      <c r="N254" s="55">
        <f t="shared" si="17"/>
        <v>614</v>
      </c>
      <c r="O254" s="55">
        <f>VLOOKUP(G254,'[1]01-09 al 30-09'!$G:$AS,39,FALSE)</f>
        <v>452458</v>
      </c>
      <c r="P254" s="55">
        <f t="shared" si="18"/>
        <v>712</v>
      </c>
      <c r="Q254" s="55"/>
      <c r="R254" s="55"/>
      <c r="S254" s="90">
        <f t="shared" si="19"/>
        <v>2351</v>
      </c>
      <c r="T254" s="89">
        <v>46146</v>
      </c>
      <c r="U254" s="14"/>
      <c r="V254" s="105" t="s">
        <v>2375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2082</v>
      </c>
      <c r="B255" s="14" t="s">
        <v>572</v>
      </c>
      <c r="C255" s="120">
        <v>9398</v>
      </c>
      <c r="D255" s="14" t="s">
        <v>573</v>
      </c>
      <c r="E255" s="14" t="s">
        <v>417</v>
      </c>
      <c r="F255" s="14" t="s">
        <v>1168</v>
      </c>
      <c r="G255" s="54" t="s">
        <v>159</v>
      </c>
      <c r="H255" s="55">
        <v>763816</v>
      </c>
      <c r="I255" s="55">
        <v>764810</v>
      </c>
      <c r="J255" s="55">
        <f t="shared" si="15"/>
        <v>994</v>
      </c>
      <c r="K255" s="55">
        <v>766281</v>
      </c>
      <c r="L255" s="55">
        <f t="shared" si="16"/>
        <v>1471</v>
      </c>
      <c r="M255" s="55">
        <f>VLOOKUP(G255,'[1]01-09 al 30-09'!$G:$AI,29,FALSE)</f>
        <v>766369</v>
      </c>
      <c r="N255" s="55">
        <f t="shared" si="17"/>
        <v>88</v>
      </c>
      <c r="O255" s="55">
        <f>VLOOKUP(G255,'[1]01-09 al 30-09'!$G:$AS,39,FALSE)</f>
        <v>766369</v>
      </c>
      <c r="P255" s="55">
        <f t="shared" si="18"/>
        <v>0</v>
      </c>
      <c r="Q255" s="55"/>
      <c r="R255" s="55"/>
      <c r="S255" s="90">
        <f t="shared" si="19"/>
        <v>2553</v>
      </c>
      <c r="T255" s="89">
        <v>46146</v>
      </c>
      <c r="U255" s="14"/>
      <c r="V255" s="105" t="s">
        <v>2375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2082</v>
      </c>
      <c r="B256" s="14" t="s">
        <v>586</v>
      </c>
      <c r="C256" s="19">
        <v>9853</v>
      </c>
      <c r="D256" s="14" t="s">
        <v>587</v>
      </c>
      <c r="E256" s="14" t="s">
        <v>417</v>
      </c>
      <c r="F256" s="14" t="s">
        <v>588</v>
      </c>
      <c r="G256" s="14" t="s">
        <v>403</v>
      </c>
      <c r="H256" s="55">
        <v>838954</v>
      </c>
      <c r="I256" s="55">
        <v>841570</v>
      </c>
      <c r="J256" s="55">
        <f t="shared" si="15"/>
        <v>2616</v>
      </c>
      <c r="K256" s="55">
        <v>844737</v>
      </c>
      <c r="L256" s="55">
        <f t="shared" si="16"/>
        <v>3167</v>
      </c>
      <c r="M256" s="55">
        <f>VLOOKUP(G256,'[1]01-09 al 30-09'!$G:$AI,29,FALSE)</f>
        <v>847176</v>
      </c>
      <c r="N256" s="55">
        <f t="shared" si="17"/>
        <v>2439</v>
      </c>
      <c r="O256" s="55">
        <f>VLOOKUP(G256,'[1]01-09 al 30-09'!$G:$AS,39,FALSE)</f>
        <v>849663</v>
      </c>
      <c r="P256" s="55">
        <f t="shared" si="18"/>
        <v>2487</v>
      </c>
      <c r="Q256" s="55"/>
      <c r="R256" s="55"/>
      <c r="S256" s="90">
        <f t="shared" si="19"/>
        <v>10709</v>
      </c>
      <c r="T256" s="89">
        <v>46146</v>
      </c>
      <c r="U256" s="14"/>
      <c r="V256" s="105" t="s">
        <v>2375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868</v>
      </c>
      <c r="B257" s="14" t="s">
        <v>931</v>
      </c>
      <c r="C257" s="120">
        <v>9827</v>
      </c>
      <c r="D257" s="14" t="s">
        <v>932</v>
      </c>
      <c r="E257" s="14" t="s">
        <v>417</v>
      </c>
      <c r="F257" s="14" t="s">
        <v>1386</v>
      </c>
      <c r="G257" s="14" t="s">
        <v>44</v>
      </c>
      <c r="H257" s="55">
        <v>266748</v>
      </c>
      <c r="I257" s="55">
        <v>267813</v>
      </c>
      <c r="J257" s="55">
        <f t="shared" si="15"/>
        <v>1065</v>
      </c>
      <c r="K257" s="55">
        <v>268740</v>
      </c>
      <c r="L257" s="55">
        <f t="shared" si="16"/>
        <v>927</v>
      </c>
      <c r="M257" s="55">
        <f>VLOOKUP(G257,'[1]01-09 al 30-09'!$G:$AI,29,FALSE)</f>
        <v>269516</v>
      </c>
      <c r="N257" s="55">
        <f t="shared" si="17"/>
        <v>776</v>
      </c>
      <c r="O257" s="55">
        <f>VLOOKUP(G257,'[1]01-09 al 30-09'!$G:$AS,39,FALSE)</f>
        <v>270433</v>
      </c>
      <c r="P257" s="55">
        <f t="shared" si="18"/>
        <v>917</v>
      </c>
      <c r="Q257" s="55"/>
      <c r="R257" s="55"/>
      <c r="S257" s="90">
        <f t="shared" si="19"/>
        <v>3685</v>
      </c>
      <c r="T257" s="89">
        <v>46146</v>
      </c>
      <c r="U257" s="14"/>
      <c r="V257" s="105" t="s">
        <v>2375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868</v>
      </c>
      <c r="B258" s="14" t="s">
        <v>888</v>
      </c>
      <c r="C258" s="19">
        <v>9826</v>
      </c>
      <c r="D258" s="14" t="s">
        <v>889</v>
      </c>
      <c r="E258" s="14" t="s">
        <v>417</v>
      </c>
      <c r="F258" s="14" t="s">
        <v>1351</v>
      </c>
      <c r="G258" s="14" t="s">
        <v>215</v>
      </c>
      <c r="H258" s="55">
        <v>580183</v>
      </c>
      <c r="I258" s="55">
        <v>581795</v>
      </c>
      <c r="J258" s="55">
        <f t="shared" si="15"/>
        <v>1612</v>
      </c>
      <c r="K258" s="55">
        <v>583065</v>
      </c>
      <c r="L258" s="55">
        <f t="shared" si="16"/>
        <v>1270</v>
      </c>
      <c r="M258" s="55">
        <f>VLOOKUP(G258,'[1]01-09 al 30-09'!$G:$AI,29,FALSE)</f>
        <v>584183</v>
      </c>
      <c r="N258" s="55">
        <f t="shared" si="17"/>
        <v>1118</v>
      </c>
      <c r="O258" s="55">
        <f>VLOOKUP(G258,'[1]01-09 al 30-09'!$G:$AS,39,FALSE)</f>
        <v>585660</v>
      </c>
      <c r="P258" s="55">
        <f t="shared" si="18"/>
        <v>1477</v>
      </c>
      <c r="Q258" s="55"/>
      <c r="R258" s="55"/>
      <c r="S258" s="90">
        <f t="shared" si="19"/>
        <v>5477</v>
      </c>
      <c r="T258" s="89">
        <v>46146</v>
      </c>
      <c r="U258" s="14"/>
      <c r="V258" s="105" t="s">
        <v>2375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2443</v>
      </c>
      <c r="B259" s="14" t="s">
        <v>817</v>
      </c>
      <c r="C259" s="120">
        <v>9291</v>
      </c>
      <c r="D259" s="54" t="s">
        <v>818</v>
      </c>
      <c r="E259" s="14" t="s">
        <v>417</v>
      </c>
      <c r="F259" s="14" t="s">
        <v>1308</v>
      </c>
      <c r="G259" s="14" t="s">
        <v>177</v>
      </c>
      <c r="H259" s="55">
        <v>756074</v>
      </c>
      <c r="I259" s="55">
        <v>758004</v>
      </c>
      <c r="J259" s="55">
        <f t="shared" ref="J259:J322" si="20">I259-H259</f>
        <v>1930</v>
      </c>
      <c r="K259" s="55">
        <v>759958</v>
      </c>
      <c r="L259" s="55">
        <f t="shared" ref="L259:L322" si="21">K259-I259</f>
        <v>1954</v>
      </c>
      <c r="M259" s="55">
        <f>VLOOKUP(G259,'[1]01-09 al 30-09'!$G:$AI,29,FALSE)</f>
        <v>761514</v>
      </c>
      <c r="N259" s="55">
        <f t="shared" ref="N259:N322" si="22">M259-K259</f>
        <v>1556</v>
      </c>
      <c r="O259" s="55">
        <f>VLOOKUP(G259,'[1]01-09 al 30-09'!$G:$AS,39,FALSE)</f>
        <v>763030</v>
      </c>
      <c r="P259" s="55">
        <f t="shared" ref="P259:P322" si="23">O259-M259</f>
        <v>1516</v>
      </c>
      <c r="Q259" s="55"/>
      <c r="R259" s="55"/>
      <c r="S259" s="90">
        <f t="shared" ref="S259:S322" si="24">R259+P259+N259+L259+J259</f>
        <v>6956</v>
      </c>
      <c r="T259" s="89">
        <v>46146</v>
      </c>
      <c r="U259" s="14"/>
      <c r="V259" s="105" t="s">
        <v>2375</v>
      </c>
      <c r="W259" s="105" t="str">
        <f>VLOOKUP(C259,'Status oficina'!$A$2:$C$208,3,FALSE)</f>
        <v>Activa</v>
      </c>
    </row>
    <row r="260" spans="1:23" ht="13.5" customHeight="1" x14ac:dyDescent="0.25">
      <c r="A260" s="14" t="s">
        <v>868</v>
      </c>
      <c r="B260" s="14" t="s">
        <v>922</v>
      </c>
      <c r="C260" s="120">
        <v>9814</v>
      </c>
      <c r="D260" s="14" t="s">
        <v>924</v>
      </c>
      <c r="E260" s="14" t="s">
        <v>417</v>
      </c>
      <c r="F260" s="14" t="s">
        <v>1379</v>
      </c>
      <c r="G260" s="14" t="s">
        <v>48</v>
      </c>
      <c r="H260" s="55">
        <v>239769</v>
      </c>
      <c r="I260" s="55">
        <v>239833</v>
      </c>
      <c r="J260" s="55">
        <f t="shared" si="20"/>
        <v>64</v>
      </c>
      <c r="K260" s="55">
        <v>239867</v>
      </c>
      <c r="L260" s="55">
        <f t="shared" si="21"/>
        <v>34</v>
      </c>
      <c r="M260" s="55">
        <f>VLOOKUP(G260,'[1]01-09 al 30-09'!$G:$AI,29,FALSE)</f>
        <v>239916</v>
      </c>
      <c r="N260" s="55">
        <f t="shared" si="22"/>
        <v>49</v>
      </c>
      <c r="O260" s="55">
        <f>VLOOKUP(G260,'[1]01-09 al 30-09'!$G:$AS,39,FALSE)</f>
        <v>239968</v>
      </c>
      <c r="P260" s="55">
        <f t="shared" si="23"/>
        <v>52</v>
      </c>
      <c r="Q260" s="55"/>
      <c r="R260" s="55"/>
      <c r="S260" s="90">
        <f t="shared" si="24"/>
        <v>199</v>
      </c>
      <c r="T260" s="89">
        <v>46146</v>
      </c>
      <c r="U260" s="14"/>
      <c r="V260" s="105" t="s">
        <v>2375</v>
      </c>
      <c r="W260" s="105" t="str">
        <f>VLOOKUP(C260,'Status oficina'!$A$2:$C$208,3,FALSE)</f>
        <v>Activa</v>
      </c>
    </row>
    <row r="261" spans="1:23" ht="13.5" customHeight="1" x14ac:dyDescent="0.25">
      <c r="A261" s="53" t="s">
        <v>2442</v>
      </c>
      <c r="B261" s="14" t="s">
        <v>727</v>
      </c>
      <c r="C261" s="120">
        <v>9246</v>
      </c>
      <c r="D261" s="14" t="s">
        <v>728</v>
      </c>
      <c r="E261" s="14" t="s">
        <v>417</v>
      </c>
      <c r="F261" s="14" t="s">
        <v>1250</v>
      </c>
      <c r="G261" s="14" t="s">
        <v>137</v>
      </c>
      <c r="H261" s="55">
        <v>320797</v>
      </c>
      <c r="I261" s="55">
        <v>321148</v>
      </c>
      <c r="J261" s="55">
        <f t="shared" si="20"/>
        <v>351</v>
      </c>
      <c r="K261" s="55">
        <v>321474</v>
      </c>
      <c r="L261" s="55">
        <f t="shared" si="21"/>
        <v>326</v>
      </c>
      <c r="M261" s="55">
        <f>VLOOKUP(G261,'[1]01-09 al 30-09'!$G:$AI,29,FALSE)</f>
        <v>321787</v>
      </c>
      <c r="N261" s="55">
        <f t="shared" si="22"/>
        <v>313</v>
      </c>
      <c r="O261" s="55">
        <f>VLOOKUP(G261,'[1]01-09 al 30-09'!$G:$AS,39,FALSE)</f>
        <v>322089</v>
      </c>
      <c r="P261" s="55">
        <f t="shared" si="23"/>
        <v>302</v>
      </c>
      <c r="Q261" s="55"/>
      <c r="R261" s="55"/>
      <c r="S261" s="90">
        <f t="shared" si="24"/>
        <v>1292</v>
      </c>
      <c r="T261" s="89">
        <v>46146</v>
      </c>
      <c r="U261" s="14"/>
      <c r="V261" s="105" t="s">
        <v>2375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868</v>
      </c>
      <c r="B262" s="14" t="s">
        <v>913</v>
      </c>
      <c r="C262" s="120">
        <v>9817</v>
      </c>
      <c r="D262" s="14" t="s">
        <v>914</v>
      </c>
      <c r="E262" s="14" t="s">
        <v>417</v>
      </c>
      <c r="F262" s="14" t="s">
        <v>1372</v>
      </c>
      <c r="G262" s="14" t="s">
        <v>53</v>
      </c>
      <c r="H262" s="55">
        <v>261403</v>
      </c>
      <c r="I262" s="55">
        <v>261665</v>
      </c>
      <c r="J262" s="55">
        <f t="shared" si="20"/>
        <v>262</v>
      </c>
      <c r="K262" s="55">
        <v>261985</v>
      </c>
      <c r="L262" s="55">
        <f t="shared" si="21"/>
        <v>320</v>
      </c>
      <c r="M262" s="55">
        <f>VLOOKUP(G262,'[1]01-09 al 30-09'!$G:$AI,29,FALSE)</f>
        <v>262135</v>
      </c>
      <c r="N262" s="55">
        <f t="shared" si="22"/>
        <v>150</v>
      </c>
      <c r="O262" s="55">
        <f>VLOOKUP(G262,'[1]01-09 al 30-09'!$G:$AS,39,FALSE)</f>
        <v>262251</v>
      </c>
      <c r="P262" s="55">
        <f t="shared" si="23"/>
        <v>116</v>
      </c>
      <c r="Q262" s="55"/>
      <c r="R262" s="55"/>
      <c r="S262" s="90">
        <f t="shared" si="24"/>
        <v>848</v>
      </c>
      <c r="T262" s="89">
        <v>46146</v>
      </c>
      <c r="U262" s="14"/>
      <c r="V262" s="105" t="s">
        <v>2375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2443</v>
      </c>
      <c r="B263" s="14" t="s">
        <v>832</v>
      </c>
      <c r="C263" s="120">
        <v>9284</v>
      </c>
      <c r="D263" s="14" t="s">
        <v>833</v>
      </c>
      <c r="E263" s="14" t="s">
        <v>417</v>
      </c>
      <c r="F263" s="14" t="s">
        <v>1388</v>
      </c>
      <c r="G263" s="14" t="s">
        <v>8</v>
      </c>
      <c r="H263" s="55">
        <v>368625</v>
      </c>
      <c r="I263" s="55">
        <v>368625</v>
      </c>
      <c r="J263" s="55">
        <f t="shared" si="20"/>
        <v>0</v>
      </c>
      <c r="K263" s="55">
        <v>368625</v>
      </c>
      <c r="L263" s="55">
        <f t="shared" si="21"/>
        <v>0</v>
      </c>
      <c r="M263" s="55">
        <f>VLOOKUP(G263,'[1]01-09 al 30-09'!$G:$AI,29,FALSE)</f>
        <v>368625</v>
      </c>
      <c r="N263" s="55">
        <f t="shared" si="22"/>
        <v>0</v>
      </c>
      <c r="O263" s="55">
        <f>VLOOKUP(G263,'[1]01-09 al 30-09'!$G:$AS,39,FALSE)</f>
        <v>368625</v>
      </c>
      <c r="P263" s="55">
        <f t="shared" si="23"/>
        <v>0</v>
      </c>
      <c r="Q263" s="55"/>
      <c r="R263" s="55"/>
      <c r="S263" s="90">
        <f t="shared" si="24"/>
        <v>0</v>
      </c>
      <c r="T263" s="89">
        <v>46146</v>
      </c>
      <c r="U263" s="14"/>
      <c r="V263" s="105" t="s">
        <v>2231</v>
      </c>
      <c r="W263" s="105" t="s">
        <v>2231</v>
      </c>
    </row>
    <row r="264" spans="1:23" ht="13.5" customHeight="1" x14ac:dyDescent="0.25">
      <c r="A264" s="14" t="s">
        <v>2082</v>
      </c>
      <c r="B264" s="14" t="s">
        <v>633</v>
      </c>
      <c r="C264" s="120">
        <v>9444</v>
      </c>
      <c r="D264" s="14" t="s">
        <v>634</v>
      </c>
      <c r="E264" s="14" t="s">
        <v>417</v>
      </c>
      <c r="F264" s="14" t="s">
        <v>1195</v>
      </c>
      <c r="G264" s="14" t="s">
        <v>222</v>
      </c>
      <c r="H264" s="55">
        <v>436914</v>
      </c>
      <c r="I264" s="55">
        <v>438481</v>
      </c>
      <c r="J264" s="55">
        <f t="shared" si="20"/>
        <v>1567</v>
      </c>
      <c r="K264" s="55">
        <v>440109</v>
      </c>
      <c r="L264" s="55">
        <f t="shared" si="21"/>
        <v>1628</v>
      </c>
      <c r="M264" s="55">
        <f>VLOOKUP(G264,'[1]01-09 al 30-09'!$G:$AI,29,FALSE)</f>
        <v>441634</v>
      </c>
      <c r="N264" s="55">
        <f t="shared" si="22"/>
        <v>1525</v>
      </c>
      <c r="O264" s="55">
        <f>VLOOKUP(G264,'[1]01-09 al 30-09'!$G:$AS,39,FALSE)</f>
        <v>442955</v>
      </c>
      <c r="P264" s="55">
        <f t="shared" si="23"/>
        <v>1321</v>
      </c>
      <c r="Q264" s="55"/>
      <c r="R264" s="55"/>
      <c r="S264" s="90">
        <f t="shared" si="24"/>
        <v>6041</v>
      </c>
      <c r="T264" s="89">
        <v>46146</v>
      </c>
      <c r="U264" s="14"/>
      <c r="V264" s="105" t="s">
        <v>2375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939</v>
      </c>
      <c r="B265" s="14" t="s">
        <v>980</v>
      </c>
      <c r="C265" s="120">
        <v>9655</v>
      </c>
      <c r="D265" s="14" t="s">
        <v>2117</v>
      </c>
      <c r="E265" s="14" t="s">
        <v>417</v>
      </c>
      <c r="F265" s="14" t="s">
        <v>1417</v>
      </c>
      <c r="G265" s="14" t="s">
        <v>2037</v>
      </c>
      <c r="H265" s="55">
        <v>270440</v>
      </c>
      <c r="I265" s="55">
        <v>270983</v>
      </c>
      <c r="J265" s="55">
        <f t="shared" si="20"/>
        <v>543</v>
      </c>
      <c r="K265" s="55">
        <v>271482</v>
      </c>
      <c r="L265" s="55">
        <f t="shared" si="21"/>
        <v>499</v>
      </c>
      <c r="M265" s="55">
        <f>VLOOKUP(G265,'[1]01-09 al 30-09'!$G:$AI,29,FALSE)</f>
        <v>271851</v>
      </c>
      <c r="N265" s="55">
        <f t="shared" si="22"/>
        <v>369</v>
      </c>
      <c r="O265" s="55">
        <f>VLOOKUP(G265,'[1]01-09 al 30-09'!$G:$AS,39,FALSE)</f>
        <v>272579</v>
      </c>
      <c r="P265" s="55">
        <f t="shared" si="23"/>
        <v>728</v>
      </c>
      <c r="Q265" s="55"/>
      <c r="R265" s="55"/>
      <c r="S265" s="90">
        <f t="shared" si="24"/>
        <v>2139</v>
      </c>
      <c r="T265" s="89">
        <v>46146</v>
      </c>
      <c r="U265" s="14"/>
      <c r="V265" s="108" t="s">
        <v>2375</v>
      </c>
      <c r="W265" s="105" t="str">
        <f>VLOOKUP(C265,'Status oficina'!$A$2:$C$208,3,FALSE)</f>
        <v>Activa</v>
      </c>
    </row>
    <row r="266" spans="1:23" ht="13.5" customHeight="1" x14ac:dyDescent="0.25">
      <c r="A266" s="14" t="s">
        <v>2082</v>
      </c>
      <c r="B266" s="14" t="s">
        <v>597</v>
      </c>
      <c r="C266" s="19">
        <v>9841</v>
      </c>
      <c r="D266" s="14" t="s">
        <v>598</v>
      </c>
      <c r="E266" s="14" t="s">
        <v>417</v>
      </c>
      <c r="F266" s="14" t="s">
        <v>1178</v>
      </c>
      <c r="G266" s="14" t="s">
        <v>273</v>
      </c>
      <c r="H266" s="55">
        <v>369555</v>
      </c>
      <c r="I266" s="55">
        <v>369555</v>
      </c>
      <c r="J266" s="55">
        <f t="shared" si="20"/>
        <v>0</v>
      </c>
      <c r="K266" s="55">
        <v>369555</v>
      </c>
      <c r="L266" s="55">
        <f t="shared" si="21"/>
        <v>0</v>
      </c>
      <c r="M266" s="55">
        <f>VLOOKUP(G266,'[1]01-09 al 30-09'!$G:$AI,29,FALSE)</f>
        <v>369555</v>
      </c>
      <c r="N266" s="55">
        <f t="shared" si="22"/>
        <v>0</v>
      </c>
      <c r="O266" s="55">
        <f>VLOOKUP(G266,'[1]01-09 al 30-09'!$G:$AS,39,FALSE)</f>
        <v>369555</v>
      </c>
      <c r="P266" s="55">
        <f t="shared" si="23"/>
        <v>0</v>
      </c>
      <c r="Q266" s="55"/>
      <c r="R266" s="55"/>
      <c r="S266" s="90">
        <f t="shared" si="24"/>
        <v>0</v>
      </c>
      <c r="T266" s="89">
        <v>46146</v>
      </c>
      <c r="U266" s="14"/>
      <c r="V266" s="105" t="s">
        <v>2231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2082</v>
      </c>
      <c r="B267" s="14" t="s">
        <v>597</v>
      </c>
      <c r="C267" s="19">
        <v>9841</v>
      </c>
      <c r="D267" s="14" t="s">
        <v>599</v>
      </c>
      <c r="E267" s="15" t="s">
        <v>413</v>
      </c>
      <c r="F267" s="14" t="s">
        <v>1179</v>
      </c>
      <c r="G267" s="15" t="s">
        <v>368</v>
      </c>
      <c r="H267" s="55">
        <v>76108</v>
      </c>
      <c r="I267" s="55">
        <v>76108</v>
      </c>
      <c r="J267" s="55">
        <f t="shared" si="20"/>
        <v>0</v>
      </c>
      <c r="K267" s="55">
        <v>76108</v>
      </c>
      <c r="L267" s="55">
        <f t="shared" si="21"/>
        <v>0</v>
      </c>
      <c r="M267" s="55">
        <f>VLOOKUP(G267,'[1]01-09 al 30-09'!$G:$AI,29,FALSE)</f>
        <v>76108</v>
      </c>
      <c r="N267" s="55">
        <f t="shared" si="22"/>
        <v>0</v>
      </c>
      <c r="O267" s="55">
        <f>VLOOKUP(G267,'[1]01-09 al 30-09'!$G:$AS,39,FALSE)</f>
        <v>76108</v>
      </c>
      <c r="P267" s="55">
        <f t="shared" si="23"/>
        <v>0</v>
      </c>
      <c r="Q267" s="55"/>
      <c r="R267" s="55"/>
      <c r="S267" s="90">
        <f t="shared" si="24"/>
        <v>0</v>
      </c>
      <c r="T267" s="89">
        <v>46146</v>
      </c>
      <c r="U267" s="14"/>
      <c r="V267" s="105" t="s">
        <v>2231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2082</v>
      </c>
      <c r="B268" s="14" t="s">
        <v>615</v>
      </c>
      <c r="C268" s="19">
        <v>9842</v>
      </c>
      <c r="D268" s="14" t="s">
        <v>616</v>
      </c>
      <c r="E268" s="14" t="s">
        <v>417</v>
      </c>
      <c r="F268" s="14" t="s">
        <v>1186</v>
      </c>
      <c r="G268" s="14" t="s">
        <v>102</v>
      </c>
      <c r="H268" s="55">
        <v>555430</v>
      </c>
      <c r="I268" s="55">
        <v>555430</v>
      </c>
      <c r="J268" s="55">
        <f t="shared" si="20"/>
        <v>0</v>
      </c>
      <c r="K268" s="55">
        <v>555430</v>
      </c>
      <c r="L268" s="55">
        <f t="shared" si="21"/>
        <v>0</v>
      </c>
      <c r="M268" s="55">
        <f>VLOOKUP(G268,'[1]01-09 al 30-09'!$G:$AI,29,FALSE)</f>
        <v>555430</v>
      </c>
      <c r="N268" s="55">
        <f t="shared" si="22"/>
        <v>0</v>
      </c>
      <c r="O268" s="55">
        <f>VLOOKUP(G268,'[1]01-09 al 30-09'!$G:$AS,39,FALSE)</f>
        <v>555430</v>
      </c>
      <c r="P268" s="55">
        <f t="shared" si="23"/>
        <v>0</v>
      </c>
      <c r="Q268" s="55"/>
      <c r="R268" s="55"/>
      <c r="S268" s="90">
        <f t="shared" si="24"/>
        <v>0</v>
      </c>
      <c r="T268" s="89">
        <v>46146</v>
      </c>
      <c r="U268" s="14"/>
      <c r="V268" s="105" t="s">
        <v>2231</v>
      </c>
      <c r="W268" s="105" t="str">
        <f>VLOOKUP(C268,'Status oficina'!$A$2:$C$208,3,FALSE)</f>
        <v>Cierre temporal</v>
      </c>
    </row>
    <row r="269" spans="1:23" ht="13.5" customHeight="1" x14ac:dyDescent="0.25">
      <c r="A269" s="14" t="s">
        <v>868</v>
      </c>
      <c r="B269" s="14" t="s">
        <v>874</v>
      </c>
      <c r="C269" s="19">
        <v>9843</v>
      </c>
      <c r="D269" s="14" t="s">
        <v>875</v>
      </c>
      <c r="E269" s="14" t="s">
        <v>417</v>
      </c>
      <c r="F269" s="14" t="s">
        <v>1342</v>
      </c>
      <c r="G269" s="14" t="s">
        <v>74</v>
      </c>
      <c r="H269" s="55">
        <v>249130</v>
      </c>
      <c r="I269" s="55">
        <v>249130</v>
      </c>
      <c r="J269" s="55">
        <f t="shared" si="20"/>
        <v>0</v>
      </c>
      <c r="K269" s="55">
        <v>249130</v>
      </c>
      <c r="L269" s="55">
        <f t="shared" si="21"/>
        <v>0</v>
      </c>
      <c r="M269" s="55">
        <f>VLOOKUP(G269,'[1]01-09 al 30-09'!$G:$AI,29,FALSE)</f>
        <v>249130</v>
      </c>
      <c r="N269" s="55">
        <f t="shared" si="22"/>
        <v>0</v>
      </c>
      <c r="O269" s="55">
        <f>VLOOKUP(G269,'[1]01-09 al 30-09'!$G:$AS,39,FALSE)</f>
        <v>249130</v>
      </c>
      <c r="P269" s="55">
        <f t="shared" si="23"/>
        <v>0</v>
      </c>
      <c r="Q269" s="55"/>
      <c r="R269" s="55"/>
      <c r="S269" s="90">
        <f t="shared" si="24"/>
        <v>0</v>
      </c>
      <c r="T269" s="89">
        <v>46146</v>
      </c>
      <c r="U269" s="105" t="s">
        <v>2373</v>
      </c>
      <c r="V269" s="105" t="s">
        <v>2238</v>
      </c>
      <c r="W269" s="105" t="str">
        <f>VLOOKUP(C269,'Status oficina'!$A$2:$C$208,3,FALSE)</f>
        <v>Cierre definitivo</v>
      </c>
    </row>
    <row r="270" spans="1:23" ht="13.5" customHeight="1" x14ac:dyDescent="0.25">
      <c r="A270" s="15" t="s">
        <v>868</v>
      </c>
      <c r="B270" s="15" t="s">
        <v>907</v>
      </c>
      <c r="C270" s="22">
        <v>9844</v>
      </c>
      <c r="D270" s="14" t="s">
        <v>908</v>
      </c>
      <c r="E270" s="15" t="s">
        <v>417</v>
      </c>
      <c r="F270" s="12" t="s">
        <v>1364</v>
      </c>
      <c r="G270" s="1" t="s">
        <v>347</v>
      </c>
      <c r="H270" s="55">
        <v>237202</v>
      </c>
      <c r="I270" s="55">
        <v>237202</v>
      </c>
      <c r="J270" s="55">
        <f t="shared" si="20"/>
        <v>0</v>
      </c>
      <c r="K270" s="55">
        <v>237202</v>
      </c>
      <c r="L270" s="55">
        <f t="shared" si="21"/>
        <v>0</v>
      </c>
      <c r="M270" s="55">
        <f>VLOOKUP(G270,'[1]01-09 al 30-09'!$G:$AI,29,FALSE)</f>
        <v>237202</v>
      </c>
      <c r="N270" s="55">
        <f t="shared" si="22"/>
        <v>0</v>
      </c>
      <c r="O270" s="55">
        <f>VLOOKUP(G270,'[1]01-09 al 30-09'!$G:$AS,39,FALSE)</f>
        <v>237202</v>
      </c>
      <c r="P270" s="55">
        <f t="shared" si="23"/>
        <v>0</v>
      </c>
      <c r="Q270" s="55"/>
      <c r="R270" s="55"/>
      <c r="S270" s="90">
        <f t="shared" si="24"/>
        <v>0</v>
      </c>
      <c r="T270" s="89">
        <v>46146</v>
      </c>
      <c r="U270" s="105" t="s">
        <v>2030</v>
      </c>
      <c r="V270" s="105" t="s">
        <v>2231</v>
      </c>
      <c r="W270" s="105" t="str">
        <f>VLOOKUP(C270,'Status oficina'!$A$2:$C$208,3,FALSE)</f>
        <v>Cierre temporal</v>
      </c>
    </row>
    <row r="271" spans="1:23" ht="13.5" customHeight="1" x14ac:dyDescent="0.25">
      <c r="A271" s="14" t="s">
        <v>2443</v>
      </c>
      <c r="B271" s="14" t="s">
        <v>775</v>
      </c>
      <c r="C271" s="19">
        <v>9908</v>
      </c>
      <c r="D271" s="14" t="s">
        <v>777</v>
      </c>
      <c r="E271" s="14" t="s">
        <v>417</v>
      </c>
      <c r="F271" s="14" t="s">
        <v>1279</v>
      </c>
      <c r="G271" s="14" t="s">
        <v>40</v>
      </c>
      <c r="H271" s="55">
        <v>74083</v>
      </c>
      <c r="I271" s="55">
        <v>74083</v>
      </c>
      <c r="J271" s="55">
        <f t="shared" si="20"/>
        <v>0</v>
      </c>
      <c r="K271" s="55">
        <v>74083</v>
      </c>
      <c r="L271" s="55">
        <f t="shared" si="21"/>
        <v>0</v>
      </c>
      <c r="M271" s="55">
        <f>VLOOKUP(G271,'[1]01-09 al 30-09'!$G:$AI,29,FALSE)</f>
        <v>74083</v>
      </c>
      <c r="N271" s="55">
        <f t="shared" si="22"/>
        <v>0</v>
      </c>
      <c r="O271" s="55">
        <f>VLOOKUP(G271,'[1]01-09 al 30-09'!$G:$AS,39,FALSE)</f>
        <v>74083</v>
      </c>
      <c r="P271" s="55">
        <f t="shared" si="23"/>
        <v>0</v>
      </c>
      <c r="Q271" s="55"/>
      <c r="R271" s="55"/>
      <c r="S271" s="90">
        <f t="shared" si="24"/>
        <v>0</v>
      </c>
      <c r="T271" s="89">
        <v>46146</v>
      </c>
      <c r="U271" s="14"/>
      <c r="V271" s="105" t="s">
        <v>2231</v>
      </c>
      <c r="W271" s="105" t="s">
        <v>2231</v>
      </c>
    </row>
    <row r="272" spans="1:23" ht="13.5" customHeight="1" x14ac:dyDescent="0.25">
      <c r="A272" s="14" t="s">
        <v>868</v>
      </c>
      <c r="B272" s="14" t="s">
        <v>909</v>
      </c>
      <c r="C272" s="97">
        <v>9847</v>
      </c>
      <c r="D272" s="14" t="s">
        <v>910</v>
      </c>
      <c r="E272" s="14" t="s">
        <v>413</v>
      </c>
      <c r="F272" s="14" t="s">
        <v>1366</v>
      </c>
      <c r="G272" s="14" t="s">
        <v>268</v>
      </c>
      <c r="H272" s="55">
        <v>208518</v>
      </c>
      <c r="I272" s="55">
        <v>208518</v>
      </c>
      <c r="J272" s="55">
        <f t="shared" si="20"/>
        <v>0</v>
      </c>
      <c r="K272" s="55">
        <v>208518</v>
      </c>
      <c r="L272" s="55">
        <f t="shared" si="21"/>
        <v>0</v>
      </c>
      <c r="M272" s="55">
        <f>VLOOKUP(G272,'[1]01-09 al 30-09'!$G:$AI,29,FALSE)</f>
        <v>208518</v>
      </c>
      <c r="N272" s="55">
        <f t="shared" si="22"/>
        <v>0</v>
      </c>
      <c r="O272" s="55">
        <f>VLOOKUP(G272,'[1]01-09 al 30-09'!$G:$AS,39,FALSE)</f>
        <v>208518</v>
      </c>
      <c r="P272" s="55">
        <f t="shared" si="23"/>
        <v>0</v>
      </c>
      <c r="Q272" s="55"/>
      <c r="R272" s="55"/>
      <c r="S272" s="90">
        <f t="shared" si="24"/>
        <v>0</v>
      </c>
      <c r="T272" s="89">
        <v>46146</v>
      </c>
      <c r="U272" s="14" t="s">
        <v>2213</v>
      </c>
      <c r="V272" s="105" t="s">
        <v>2238</v>
      </c>
      <c r="W272" s="105" t="str">
        <f>VLOOKUP(C272,'Status oficina'!$A$2:$C$208,3,FALSE)</f>
        <v>Cierre definitivo</v>
      </c>
    </row>
    <row r="273" spans="1:23" ht="13.5" customHeight="1" x14ac:dyDescent="0.25">
      <c r="A273" s="14" t="s">
        <v>868</v>
      </c>
      <c r="B273" s="14" t="s">
        <v>911</v>
      </c>
      <c r="C273" s="19">
        <v>9813</v>
      </c>
      <c r="D273" s="14" t="s">
        <v>912</v>
      </c>
      <c r="E273" s="14" t="s">
        <v>417</v>
      </c>
      <c r="F273" s="14" t="s">
        <v>1353</v>
      </c>
      <c r="G273" s="14" t="s">
        <v>95</v>
      </c>
      <c r="H273" s="55">
        <v>439000</v>
      </c>
      <c r="I273" s="55">
        <v>441215</v>
      </c>
      <c r="J273" s="55">
        <f t="shared" si="20"/>
        <v>2215</v>
      </c>
      <c r="K273" s="55">
        <v>443119</v>
      </c>
      <c r="L273" s="55">
        <f t="shared" si="21"/>
        <v>1904</v>
      </c>
      <c r="M273" s="55">
        <f>VLOOKUP(G273,'[1]01-09 al 30-09'!$G:$AI,29,FALSE)</f>
        <v>444852</v>
      </c>
      <c r="N273" s="55">
        <f t="shared" si="22"/>
        <v>1733</v>
      </c>
      <c r="O273" s="55">
        <f>VLOOKUP(G273,'[1]01-09 al 30-09'!$G:$AS,39,FALSE)</f>
        <v>446914</v>
      </c>
      <c r="P273" s="55">
        <f t="shared" si="23"/>
        <v>2062</v>
      </c>
      <c r="Q273" s="55"/>
      <c r="R273" s="55"/>
      <c r="S273" s="90">
        <f t="shared" si="24"/>
        <v>7914</v>
      </c>
      <c r="T273" s="89">
        <v>46146</v>
      </c>
      <c r="U273" s="14" t="s">
        <v>2501</v>
      </c>
      <c r="V273" s="105" t="s">
        <v>2375</v>
      </c>
      <c r="W273" s="105" t="str">
        <f>VLOOKUP(C273,'Status oficina'!$A$2:$C$208,3,FALSE)</f>
        <v>Activa</v>
      </c>
    </row>
    <row r="274" spans="1:23" ht="13.5" customHeight="1" x14ac:dyDescent="0.25">
      <c r="A274" s="14" t="s">
        <v>868</v>
      </c>
      <c r="B274" s="14" t="s">
        <v>911</v>
      </c>
      <c r="C274" s="19">
        <v>9813</v>
      </c>
      <c r="D274" s="14" t="s">
        <v>2110</v>
      </c>
      <c r="E274" s="14" t="s">
        <v>413</v>
      </c>
      <c r="F274" s="14" t="s">
        <v>1354</v>
      </c>
      <c r="G274" s="14" t="s">
        <v>174</v>
      </c>
      <c r="H274" s="55">
        <v>339304</v>
      </c>
      <c r="I274" s="55">
        <v>339617</v>
      </c>
      <c r="J274" s="55">
        <f t="shared" si="20"/>
        <v>313</v>
      </c>
      <c r="K274" s="55">
        <v>339826</v>
      </c>
      <c r="L274" s="55">
        <f t="shared" si="21"/>
        <v>209</v>
      </c>
      <c r="M274" s="55">
        <f>VLOOKUP(G274,'[1]01-09 al 30-09'!$G:$AI,29,FALSE)</f>
        <v>340054</v>
      </c>
      <c r="N274" s="55">
        <f t="shared" si="22"/>
        <v>228</v>
      </c>
      <c r="O274" s="55">
        <f>VLOOKUP(G274,'[1]01-09 al 30-09'!$G:$AS,39,FALSE)</f>
        <v>340319</v>
      </c>
      <c r="P274" s="55">
        <f t="shared" si="23"/>
        <v>265</v>
      </c>
      <c r="Q274" s="55"/>
      <c r="R274" s="55"/>
      <c r="S274" s="90">
        <f t="shared" si="24"/>
        <v>1015</v>
      </c>
      <c r="T274" s="89">
        <v>46146</v>
      </c>
      <c r="U274" s="14" t="s">
        <v>2503</v>
      </c>
      <c r="V274" s="105" t="s">
        <v>2375</v>
      </c>
      <c r="W274" s="105" t="str">
        <f>VLOOKUP(C274,'Status oficina'!$A$2:$C$208,3,FALSE)</f>
        <v>Activa</v>
      </c>
    </row>
    <row r="275" spans="1:23" ht="13.5" customHeight="1" x14ac:dyDescent="0.25">
      <c r="A275" s="14" t="s">
        <v>868</v>
      </c>
      <c r="B275" s="14" t="s">
        <v>899</v>
      </c>
      <c r="C275" s="122">
        <v>9849</v>
      </c>
      <c r="D275" s="14" t="s">
        <v>900</v>
      </c>
      <c r="E275" s="14" t="s">
        <v>417</v>
      </c>
      <c r="F275" s="14" t="s">
        <v>1359</v>
      </c>
      <c r="G275" s="14" t="s">
        <v>12</v>
      </c>
      <c r="H275" s="55">
        <v>257710</v>
      </c>
      <c r="I275" s="55">
        <v>257710</v>
      </c>
      <c r="J275" s="55">
        <f t="shared" si="20"/>
        <v>0</v>
      </c>
      <c r="K275" s="55">
        <v>257710</v>
      </c>
      <c r="L275" s="55">
        <f t="shared" si="21"/>
        <v>0</v>
      </c>
      <c r="M275" s="55">
        <f>VLOOKUP(G275,'[1]01-09 al 30-09'!$G:$AI,29,FALSE)</f>
        <v>257710</v>
      </c>
      <c r="N275" s="55">
        <f t="shared" si="22"/>
        <v>0</v>
      </c>
      <c r="O275" s="55">
        <f>VLOOKUP(G275,'[1]01-09 al 30-09'!$G:$AS,39,FALSE)</f>
        <v>257710</v>
      </c>
      <c r="P275" s="55">
        <f t="shared" si="23"/>
        <v>0</v>
      </c>
      <c r="Q275" s="55"/>
      <c r="R275" s="55"/>
      <c r="S275" s="90">
        <f t="shared" si="24"/>
        <v>0</v>
      </c>
      <c r="T275" s="89">
        <v>46146</v>
      </c>
      <c r="U275" s="14" t="s">
        <v>2089</v>
      </c>
      <c r="V275" s="105" t="s">
        <v>2238</v>
      </c>
      <c r="W275" s="105" t="str">
        <f>VLOOKUP(C275,'Status oficina'!$A$2:$C$208,3,FALSE)</f>
        <v>Cierre definitivo</v>
      </c>
    </row>
    <row r="276" spans="1:23" ht="13.5" customHeight="1" x14ac:dyDescent="0.25">
      <c r="A276" s="15" t="s">
        <v>868</v>
      </c>
      <c r="B276" s="15" t="s">
        <v>899</v>
      </c>
      <c r="C276" s="22">
        <v>9849</v>
      </c>
      <c r="D276" s="14" t="s">
        <v>901</v>
      </c>
      <c r="E276" s="15" t="s">
        <v>413</v>
      </c>
      <c r="F276" s="14" t="s">
        <v>1360</v>
      </c>
      <c r="G276" s="15" t="s">
        <v>356</v>
      </c>
      <c r="H276" s="55">
        <v>81426</v>
      </c>
      <c r="I276" s="55">
        <v>81426</v>
      </c>
      <c r="J276" s="55">
        <f t="shared" si="20"/>
        <v>0</v>
      </c>
      <c r="K276" s="55">
        <v>81426</v>
      </c>
      <c r="L276" s="55">
        <f t="shared" si="21"/>
        <v>0</v>
      </c>
      <c r="M276" s="55">
        <f>VLOOKUP(G276,'[1]01-09 al 30-09'!$G:$AI,29,FALSE)</f>
        <v>81426</v>
      </c>
      <c r="N276" s="55">
        <f t="shared" si="22"/>
        <v>0</v>
      </c>
      <c r="O276" s="55">
        <f>VLOOKUP(G276,'[1]01-09 al 30-09'!$G:$AS,39,FALSE)</f>
        <v>81426</v>
      </c>
      <c r="P276" s="55">
        <f t="shared" si="23"/>
        <v>0</v>
      </c>
      <c r="Q276" s="55"/>
      <c r="R276" s="55"/>
      <c r="S276" s="90">
        <f t="shared" si="24"/>
        <v>0</v>
      </c>
      <c r="T276" s="89">
        <v>46146</v>
      </c>
      <c r="U276" s="14" t="s">
        <v>2088</v>
      </c>
      <c r="V276" s="105" t="s">
        <v>2238</v>
      </c>
      <c r="W276" s="105" t="str">
        <f>VLOOKUP(C276,'Status oficina'!$A$2:$C$208,3,FALSE)</f>
        <v>Cierre definitivo</v>
      </c>
    </row>
    <row r="277" spans="1:23" ht="13.5" customHeight="1" x14ac:dyDescent="0.25">
      <c r="A277" s="14" t="s">
        <v>868</v>
      </c>
      <c r="B277" s="14" t="s">
        <v>917</v>
      </c>
      <c r="C277" s="120">
        <v>9878</v>
      </c>
      <c r="D277" s="14" t="s">
        <v>918</v>
      </c>
      <c r="E277" s="14" t="s">
        <v>417</v>
      </c>
      <c r="F277" s="14" t="s">
        <v>1375</v>
      </c>
      <c r="G277" s="14" t="s">
        <v>59</v>
      </c>
      <c r="H277" s="55">
        <v>422882</v>
      </c>
      <c r="I277" s="55">
        <v>423586</v>
      </c>
      <c r="J277" s="55">
        <f t="shared" si="20"/>
        <v>704</v>
      </c>
      <c r="K277" s="55">
        <v>424143</v>
      </c>
      <c r="L277" s="55">
        <f t="shared" si="21"/>
        <v>557</v>
      </c>
      <c r="M277" s="55">
        <f>VLOOKUP(G277,'[1]01-09 al 30-09'!$G:$AI,29,FALSE)</f>
        <v>424699</v>
      </c>
      <c r="N277" s="55">
        <f t="shared" si="22"/>
        <v>556</v>
      </c>
      <c r="O277" s="55">
        <f>VLOOKUP(G277,'[1]01-09 al 30-09'!$G:$AS,39,FALSE)</f>
        <v>425547</v>
      </c>
      <c r="P277" s="55">
        <f t="shared" si="23"/>
        <v>848</v>
      </c>
      <c r="Q277" s="55"/>
      <c r="R277" s="55"/>
      <c r="S277" s="90">
        <f t="shared" si="24"/>
        <v>2665</v>
      </c>
      <c r="T277" s="89">
        <v>46146</v>
      </c>
      <c r="U277" s="14"/>
      <c r="V277" s="105" t="s">
        <v>2375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2082</v>
      </c>
      <c r="B278" s="14" t="s">
        <v>538</v>
      </c>
      <c r="C278" s="120">
        <v>9397</v>
      </c>
      <c r="D278" s="14" t="s">
        <v>539</v>
      </c>
      <c r="E278" s="14" t="s">
        <v>417</v>
      </c>
      <c r="F278" s="14" t="s">
        <v>1145</v>
      </c>
      <c r="G278" s="14" t="s">
        <v>140</v>
      </c>
      <c r="H278" s="55">
        <v>901941</v>
      </c>
      <c r="I278" s="55">
        <v>903155</v>
      </c>
      <c r="J278" s="55">
        <f t="shared" si="20"/>
        <v>1214</v>
      </c>
      <c r="K278" s="55">
        <v>904200</v>
      </c>
      <c r="L278" s="55">
        <f t="shared" si="21"/>
        <v>1045</v>
      </c>
      <c r="M278" s="55">
        <f>VLOOKUP(G278,'[1]01-09 al 30-09'!$G:$AI,29,FALSE)</f>
        <v>905190</v>
      </c>
      <c r="N278" s="55">
        <f t="shared" si="22"/>
        <v>990</v>
      </c>
      <c r="O278" s="55">
        <f>VLOOKUP(G278,'[1]01-09 al 30-09'!$G:$AS,39,FALSE)</f>
        <v>906766</v>
      </c>
      <c r="P278" s="55">
        <f t="shared" si="23"/>
        <v>1576</v>
      </c>
      <c r="Q278" s="55"/>
      <c r="R278" s="55"/>
      <c r="S278" s="90">
        <f t="shared" si="24"/>
        <v>4825</v>
      </c>
      <c r="T278" s="89">
        <v>46146</v>
      </c>
      <c r="U278" s="14"/>
      <c r="V278" s="105" t="s">
        <v>2375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868</v>
      </c>
      <c r="B279" s="14" t="s">
        <v>904</v>
      </c>
      <c r="C279" s="22">
        <v>9820</v>
      </c>
      <c r="D279" s="10" t="s">
        <v>905</v>
      </c>
      <c r="E279" s="14" t="s">
        <v>417</v>
      </c>
      <c r="F279" s="14" t="s">
        <v>1363</v>
      </c>
      <c r="G279" s="14" t="s">
        <v>88</v>
      </c>
      <c r="H279" s="55">
        <v>378744</v>
      </c>
      <c r="I279" s="55">
        <v>378744</v>
      </c>
      <c r="J279" s="55">
        <f t="shared" si="20"/>
        <v>0</v>
      </c>
      <c r="K279" s="55">
        <v>378744</v>
      </c>
      <c r="L279" s="55">
        <f t="shared" si="21"/>
        <v>0</v>
      </c>
      <c r="M279" s="55">
        <f>VLOOKUP(G279,'[1]01-09 al 30-09'!$G:$AI,29,FALSE)</f>
        <v>378744</v>
      </c>
      <c r="N279" s="55">
        <f t="shared" si="22"/>
        <v>0</v>
      </c>
      <c r="O279" s="55">
        <f>VLOOKUP(G279,'[1]01-09 al 30-09'!$G:$AS,39,FALSE)</f>
        <v>378744</v>
      </c>
      <c r="P279" s="55">
        <f t="shared" si="23"/>
        <v>0</v>
      </c>
      <c r="Q279" s="55"/>
      <c r="R279" s="55"/>
      <c r="S279" s="90">
        <f t="shared" si="24"/>
        <v>0</v>
      </c>
      <c r="T279" s="89">
        <v>46146</v>
      </c>
      <c r="U279" s="14"/>
      <c r="V279" s="105" t="s">
        <v>2231</v>
      </c>
      <c r="W279" s="105" t="s">
        <v>2231</v>
      </c>
    </row>
    <row r="280" spans="1:23" ht="13.5" customHeight="1" x14ac:dyDescent="0.25">
      <c r="A280" s="14" t="s">
        <v>939</v>
      </c>
      <c r="B280" s="14" t="s">
        <v>1035</v>
      </c>
      <c r="C280" s="120">
        <v>9510</v>
      </c>
      <c r="D280" s="14" t="s">
        <v>2109</v>
      </c>
      <c r="E280" s="14" t="s">
        <v>417</v>
      </c>
      <c r="F280" s="14" t="s">
        <v>1453</v>
      </c>
      <c r="G280" s="14" t="s">
        <v>108</v>
      </c>
      <c r="H280" s="55">
        <v>378709</v>
      </c>
      <c r="I280" s="55">
        <v>379313</v>
      </c>
      <c r="J280" s="55">
        <f t="shared" si="20"/>
        <v>604</v>
      </c>
      <c r="K280" s="55">
        <v>379962</v>
      </c>
      <c r="L280" s="55">
        <f t="shared" si="21"/>
        <v>649</v>
      </c>
      <c r="M280" s="55">
        <f>VLOOKUP(G280,'[1]01-09 al 30-09'!$G:$AI,29,FALSE)</f>
        <v>380360</v>
      </c>
      <c r="N280" s="55">
        <f t="shared" si="22"/>
        <v>398</v>
      </c>
      <c r="O280" s="55">
        <f>VLOOKUP(G280,'[1]01-09 al 30-09'!$G:$AS,39,FALSE)</f>
        <v>380907</v>
      </c>
      <c r="P280" s="55">
        <f t="shared" si="23"/>
        <v>547</v>
      </c>
      <c r="Q280" s="55"/>
      <c r="R280" s="55"/>
      <c r="S280" s="90">
        <f t="shared" si="24"/>
        <v>2198</v>
      </c>
      <c r="T280" s="89">
        <v>46146</v>
      </c>
      <c r="U280" s="14"/>
      <c r="V280" s="108" t="s">
        <v>2375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2082</v>
      </c>
      <c r="B281" s="14" t="s">
        <v>460</v>
      </c>
      <c r="C281" s="19">
        <v>9485</v>
      </c>
      <c r="D281" s="14" t="s">
        <v>461</v>
      </c>
      <c r="E281" s="14" t="s">
        <v>417</v>
      </c>
      <c r="F281" s="14" t="s">
        <v>1090</v>
      </c>
      <c r="G281" s="14" t="s">
        <v>13</v>
      </c>
      <c r="H281" s="55">
        <v>812401</v>
      </c>
      <c r="I281" s="55">
        <v>813103</v>
      </c>
      <c r="J281" s="55">
        <f t="shared" si="20"/>
        <v>702</v>
      </c>
      <c r="K281" s="55">
        <v>814279</v>
      </c>
      <c r="L281" s="55">
        <f t="shared" si="21"/>
        <v>1176</v>
      </c>
      <c r="M281" s="55">
        <f>VLOOKUP(G281,'[1]01-09 al 30-09'!$G:$AI,29,FALSE)</f>
        <v>815152</v>
      </c>
      <c r="N281" s="55">
        <f t="shared" si="22"/>
        <v>873</v>
      </c>
      <c r="O281" s="55">
        <f>VLOOKUP(G281,'[1]01-09 al 30-09'!$G:$AS,39,FALSE)</f>
        <v>816169</v>
      </c>
      <c r="P281" s="55">
        <f t="shared" si="23"/>
        <v>1017</v>
      </c>
      <c r="Q281" s="55"/>
      <c r="R281" s="55"/>
      <c r="S281" s="90">
        <f t="shared" si="24"/>
        <v>3768</v>
      </c>
      <c r="T281" s="89">
        <v>46146</v>
      </c>
      <c r="U281" s="14"/>
      <c r="V281" s="108" t="s">
        <v>2375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2082</v>
      </c>
      <c r="B282" s="14" t="s">
        <v>579</v>
      </c>
      <c r="C282" s="19">
        <v>9845</v>
      </c>
      <c r="D282" s="14" t="s">
        <v>580</v>
      </c>
      <c r="E282" s="14" t="s">
        <v>417</v>
      </c>
      <c r="F282" s="14" t="s">
        <v>581</v>
      </c>
      <c r="G282" s="14" t="s">
        <v>239</v>
      </c>
      <c r="H282" s="55">
        <v>635279</v>
      </c>
      <c r="I282" s="55">
        <v>636955</v>
      </c>
      <c r="J282" s="55">
        <f t="shared" si="20"/>
        <v>1676</v>
      </c>
      <c r="K282" s="55">
        <v>638358</v>
      </c>
      <c r="L282" s="55">
        <f t="shared" si="21"/>
        <v>1403</v>
      </c>
      <c r="M282" s="55">
        <f>VLOOKUP(G282,'[1]01-09 al 30-09'!$G:$AI,29,FALSE)</f>
        <v>639814</v>
      </c>
      <c r="N282" s="55">
        <f t="shared" si="22"/>
        <v>1456</v>
      </c>
      <c r="O282" s="55">
        <f>VLOOKUP(G282,'[1]01-09 al 30-09'!$G:$AS,39,FALSE)</f>
        <v>642027</v>
      </c>
      <c r="P282" s="55">
        <f t="shared" si="23"/>
        <v>2213</v>
      </c>
      <c r="Q282" s="55"/>
      <c r="R282" s="55"/>
      <c r="S282" s="90">
        <f t="shared" si="24"/>
        <v>6748</v>
      </c>
      <c r="T282" s="89">
        <v>46146</v>
      </c>
      <c r="U282" s="14"/>
      <c r="V282" s="105" t="s">
        <v>2375</v>
      </c>
      <c r="W282" s="105" t="str">
        <f>VLOOKUP(C282,'Status oficina'!$A$2:$C$208,3,FALSE)</f>
        <v>Activa</v>
      </c>
    </row>
    <row r="283" spans="1:23" ht="13.5" customHeight="1" x14ac:dyDescent="0.25">
      <c r="A283" s="14" t="s">
        <v>868</v>
      </c>
      <c r="B283" s="14" t="s">
        <v>920</v>
      </c>
      <c r="C283" s="120">
        <v>9499</v>
      </c>
      <c r="D283" s="14" t="s">
        <v>921</v>
      </c>
      <c r="E283" s="14" t="s">
        <v>417</v>
      </c>
      <c r="F283" s="14" t="s">
        <v>1377</v>
      </c>
      <c r="G283" s="14" t="s">
        <v>153</v>
      </c>
      <c r="H283" s="55">
        <v>398205</v>
      </c>
      <c r="I283" s="55">
        <v>398716</v>
      </c>
      <c r="J283" s="55">
        <f t="shared" si="20"/>
        <v>511</v>
      </c>
      <c r="K283" s="55">
        <v>399268</v>
      </c>
      <c r="L283" s="55">
        <f t="shared" si="21"/>
        <v>552</v>
      </c>
      <c r="M283" s="55">
        <f>VLOOKUP(G283,'[1]01-09 al 30-09'!$G:$AI,29,FALSE)</f>
        <v>399816</v>
      </c>
      <c r="N283" s="55">
        <f t="shared" si="22"/>
        <v>548</v>
      </c>
      <c r="O283" s="55">
        <f>VLOOKUP(G283,'[1]01-09 al 30-09'!$G:$AS,39,FALSE)</f>
        <v>400724</v>
      </c>
      <c r="P283" s="55">
        <f t="shared" si="23"/>
        <v>908</v>
      </c>
      <c r="Q283" s="55"/>
      <c r="R283" s="55"/>
      <c r="S283" s="90">
        <f t="shared" si="24"/>
        <v>2519</v>
      </c>
      <c r="T283" s="89">
        <v>46146</v>
      </c>
      <c r="U283" s="14"/>
      <c r="V283" s="108" t="s">
        <v>2375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868</v>
      </c>
      <c r="B284" s="53" t="s">
        <v>420</v>
      </c>
      <c r="C284" s="105">
        <v>9864</v>
      </c>
      <c r="D284" s="14" t="s">
        <v>422</v>
      </c>
      <c r="E284" s="14" t="s">
        <v>417</v>
      </c>
      <c r="F284" s="14" t="s">
        <v>1068</v>
      </c>
      <c r="G284" s="14" t="s">
        <v>279</v>
      </c>
      <c r="H284" s="55">
        <v>326399</v>
      </c>
      <c r="I284" s="55">
        <v>326399</v>
      </c>
      <c r="J284" s="55">
        <f t="shared" si="20"/>
        <v>0</v>
      </c>
      <c r="K284" s="55">
        <v>326399</v>
      </c>
      <c r="L284" s="55">
        <f t="shared" si="21"/>
        <v>0</v>
      </c>
      <c r="M284" s="55">
        <f>VLOOKUP(G284,'[1]01-09 al 30-09'!$G:$AI,29,FALSE)</f>
        <v>326399</v>
      </c>
      <c r="N284" s="55">
        <f t="shared" si="22"/>
        <v>0</v>
      </c>
      <c r="O284" s="55">
        <f>VLOOKUP(G284,'[1]01-09 al 30-09'!$G:$AS,39,FALSE)</f>
        <v>326399</v>
      </c>
      <c r="P284" s="55">
        <f t="shared" si="23"/>
        <v>0</v>
      </c>
      <c r="Q284" s="55"/>
      <c r="R284" s="55"/>
      <c r="S284" s="90">
        <f t="shared" si="24"/>
        <v>0</v>
      </c>
      <c r="T284" s="89">
        <v>46146</v>
      </c>
      <c r="U284" s="14"/>
      <c r="V284" s="105" t="s">
        <v>2238</v>
      </c>
      <c r="W284" s="105" t="s">
        <v>2238</v>
      </c>
    </row>
    <row r="285" spans="1:23" ht="13.5" customHeight="1" x14ac:dyDescent="0.25">
      <c r="A285" s="53" t="s">
        <v>868</v>
      </c>
      <c r="B285" s="53" t="s">
        <v>420</v>
      </c>
      <c r="C285" s="105">
        <v>9864</v>
      </c>
      <c r="D285" s="14" t="s">
        <v>421</v>
      </c>
      <c r="E285" s="14" t="s">
        <v>413</v>
      </c>
      <c r="F285" s="14" t="s">
        <v>1067</v>
      </c>
      <c r="G285" s="14" t="s">
        <v>115</v>
      </c>
      <c r="H285" s="55">
        <v>144092</v>
      </c>
      <c r="I285" s="55">
        <v>144092</v>
      </c>
      <c r="J285" s="55">
        <f t="shared" si="20"/>
        <v>0</v>
      </c>
      <c r="K285" s="55">
        <v>144092</v>
      </c>
      <c r="L285" s="55">
        <f t="shared" si="21"/>
        <v>0</v>
      </c>
      <c r="M285" s="55">
        <f>VLOOKUP(G285,'[1]01-09 al 30-09'!$G:$AI,29,FALSE)</f>
        <v>144092</v>
      </c>
      <c r="N285" s="55">
        <f t="shared" si="22"/>
        <v>0</v>
      </c>
      <c r="O285" s="55">
        <f>VLOOKUP(G285,'[1]01-09 al 30-09'!$G:$AS,39,FALSE)</f>
        <v>144092</v>
      </c>
      <c r="P285" s="55">
        <f t="shared" si="23"/>
        <v>0</v>
      </c>
      <c r="Q285" s="55"/>
      <c r="R285" s="55"/>
      <c r="S285" s="90">
        <f t="shared" si="24"/>
        <v>0</v>
      </c>
      <c r="T285" s="89">
        <v>46146</v>
      </c>
      <c r="U285" s="14" t="s">
        <v>2452</v>
      </c>
      <c r="V285" s="105" t="s">
        <v>2238</v>
      </c>
      <c r="W285" s="105" t="s">
        <v>2238</v>
      </c>
    </row>
    <row r="286" spans="1:23" ht="13.5" customHeight="1" x14ac:dyDescent="0.25">
      <c r="A286" s="14" t="s">
        <v>2082</v>
      </c>
      <c r="B286" s="14" t="s">
        <v>559</v>
      </c>
      <c r="C286" s="120">
        <v>9370</v>
      </c>
      <c r="D286" s="54" t="s">
        <v>562</v>
      </c>
      <c r="E286" s="54" t="s">
        <v>417</v>
      </c>
      <c r="F286" s="54" t="s">
        <v>1162</v>
      </c>
      <c r="G286" s="54" t="s">
        <v>180</v>
      </c>
      <c r="H286" s="55">
        <v>614355</v>
      </c>
      <c r="I286" s="55">
        <v>615540</v>
      </c>
      <c r="J286" s="55">
        <f t="shared" si="20"/>
        <v>1185</v>
      </c>
      <c r="K286" s="55">
        <v>616656</v>
      </c>
      <c r="L286" s="55">
        <f t="shared" si="21"/>
        <v>1116</v>
      </c>
      <c r="M286" s="55">
        <f>VLOOKUP(G286,'[1]01-09 al 30-09'!$G:$AI,29,FALSE)</f>
        <v>617681</v>
      </c>
      <c r="N286" s="55">
        <f t="shared" si="22"/>
        <v>1025</v>
      </c>
      <c r="O286" s="55">
        <f>VLOOKUP(G286,'[1]01-09 al 30-09'!$G:$AS,39,FALSE)</f>
        <v>619022</v>
      </c>
      <c r="P286" s="55">
        <f t="shared" si="23"/>
        <v>1341</v>
      </c>
      <c r="Q286" s="55"/>
      <c r="R286" s="55"/>
      <c r="S286" s="90">
        <f t="shared" si="24"/>
        <v>4667</v>
      </c>
      <c r="T286" s="89">
        <v>46146</v>
      </c>
      <c r="U286" s="14"/>
      <c r="V286" s="105" t="s">
        <v>2375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2443</v>
      </c>
      <c r="B287" s="14" t="s">
        <v>852</v>
      </c>
      <c r="C287" s="120">
        <v>9289</v>
      </c>
      <c r="D287" s="14" t="s">
        <v>853</v>
      </c>
      <c r="E287" s="14" t="s">
        <v>417</v>
      </c>
      <c r="F287" s="14" t="s">
        <v>1328</v>
      </c>
      <c r="G287" s="14" t="s">
        <v>242</v>
      </c>
      <c r="H287" s="55">
        <v>377794</v>
      </c>
      <c r="I287" s="55">
        <v>378283</v>
      </c>
      <c r="J287" s="55">
        <f t="shared" si="20"/>
        <v>489</v>
      </c>
      <c r="K287" s="55">
        <v>378656</v>
      </c>
      <c r="L287" s="55">
        <f t="shared" si="21"/>
        <v>373</v>
      </c>
      <c r="M287" s="55">
        <f>VLOOKUP(G287,'[1]01-09 al 30-09'!$G:$AI,29,FALSE)</f>
        <v>378920</v>
      </c>
      <c r="N287" s="55">
        <f t="shared" si="22"/>
        <v>264</v>
      </c>
      <c r="O287" s="55">
        <f>VLOOKUP(G287,'[1]01-09 al 30-09'!$G:$AS,39,FALSE)</f>
        <v>379252</v>
      </c>
      <c r="P287" s="55">
        <f t="shared" si="23"/>
        <v>332</v>
      </c>
      <c r="Q287" s="55"/>
      <c r="R287" s="55"/>
      <c r="S287" s="90">
        <f t="shared" si="24"/>
        <v>1458</v>
      </c>
      <c r="T287" s="89">
        <v>46146</v>
      </c>
      <c r="U287" s="14"/>
      <c r="V287" s="105" t="s">
        <v>2375</v>
      </c>
      <c r="W287" s="105" t="str">
        <f>VLOOKUP(C287,'Status oficina'!$A$2:$C$208,3,FALSE)</f>
        <v>Activa</v>
      </c>
    </row>
    <row r="288" spans="1:23" ht="13.5" customHeight="1" x14ac:dyDescent="0.25">
      <c r="A288" s="54" t="s">
        <v>2082</v>
      </c>
      <c r="B288" s="14" t="s">
        <v>547</v>
      </c>
      <c r="C288" s="120">
        <v>9311</v>
      </c>
      <c r="D288" s="54" t="s">
        <v>2203</v>
      </c>
      <c r="E288" s="54" t="s">
        <v>417</v>
      </c>
      <c r="F288" s="54" t="s">
        <v>1153</v>
      </c>
      <c r="G288" s="54" t="s">
        <v>281</v>
      </c>
      <c r="H288" s="55">
        <v>156839</v>
      </c>
      <c r="I288" s="55">
        <v>157025</v>
      </c>
      <c r="J288" s="55">
        <f t="shared" si="20"/>
        <v>186</v>
      </c>
      <c r="K288" s="55">
        <v>157239</v>
      </c>
      <c r="L288" s="55">
        <f t="shared" si="21"/>
        <v>214</v>
      </c>
      <c r="M288" s="55">
        <f>VLOOKUP(G288,'[1]01-09 al 30-09'!$G:$AI,29,FALSE)</f>
        <v>157411</v>
      </c>
      <c r="N288" s="55">
        <f t="shared" si="22"/>
        <v>172</v>
      </c>
      <c r="O288" s="55">
        <f>VLOOKUP(G288,'[1]01-09 al 30-09'!$G:$AS,39,FALSE)</f>
        <v>157783</v>
      </c>
      <c r="P288" s="55">
        <f t="shared" si="23"/>
        <v>372</v>
      </c>
      <c r="Q288" s="55"/>
      <c r="R288" s="55"/>
      <c r="S288" s="90">
        <f t="shared" si="24"/>
        <v>944</v>
      </c>
      <c r="T288" s="89">
        <v>46146</v>
      </c>
      <c r="U288" s="14"/>
      <c r="V288" s="105" t="s">
        <v>2375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2443</v>
      </c>
      <c r="B289" s="14" t="s">
        <v>780</v>
      </c>
      <c r="C289" s="19">
        <v>9282</v>
      </c>
      <c r="D289" s="14" t="s">
        <v>781</v>
      </c>
      <c r="E289" s="14" t="s">
        <v>417</v>
      </c>
      <c r="F289" s="14" t="s">
        <v>1282</v>
      </c>
      <c r="G289" s="14" t="s">
        <v>16</v>
      </c>
      <c r="H289" s="55">
        <v>130465</v>
      </c>
      <c r="I289" s="55">
        <v>130683</v>
      </c>
      <c r="J289" s="55">
        <f t="shared" si="20"/>
        <v>218</v>
      </c>
      <c r="K289" s="55">
        <v>130850</v>
      </c>
      <c r="L289" s="55">
        <f t="shared" si="21"/>
        <v>167</v>
      </c>
      <c r="M289" s="55">
        <f>VLOOKUP(G289,'[1]01-09 al 30-09'!$G:$AI,29,FALSE)</f>
        <v>131099</v>
      </c>
      <c r="N289" s="55">
        <f t="shared" si="22"/>
        <v>249</v>
      </c>
      <c r="O289" s="55">
        <f>VLOOKUP(G289,'[1]01-09 al 30-09'!$G:$AS,39,FALSE)</f>
        <v>131832</v>
      </c>
      <c r="P289" s="55">
        <f t="shared" si="23"/>
        <v>733</v>
      </c>
      <c r="Q289" s="55"/>
      <c r="R289" s="55"/>
      <c r="S289" s="90">
        <f t="shared" si="24"/>
        <v>1367</v>
      </c>
      <c r="T289" s="89">
        <v>46146</v>
      </c>
      <c r="U289" s="14"/>
      <c r="V289" s="105" t="s">
        <v>2375</v>
      </c>
      <c r="W289" s="105" t="str">
        <f>VLOOKUP(C289,'Status oficina'!$A$2:$C$208,3,FALSE)</f>
        <v>Activa</v>
      </c>
    </row>
    <row r="290" spans="1:23" ht="13.5" customHeight="1" x14ac:dyDescent="0.25">
      <c r="A290" s="14" t="s">
        <v>868</v>
      </c>
      <c r="B290" s="14" t="s">
        <v>411</v>
      </c>
      <c r="C290" s="19">
        <v>9875</v>
      </c>
      <c r="D290" s="14" t="s">
        <v>412</v>
      </c>
      <c r="E290" s="14" t="s">
        <v>413</v>
      </c>
      <c r="F290" s="14" t="s">
        <v>1056</v>
      </c>
      <c r="G290" s="14" t="s">
        <v>30</v>
      </c>
      <c r="H290" s="55">
        <v>161448</v>
      </c>
      <c r="I290" s="55">
        <v>161448</v>
      </c>
      <c r="J290" s="55">
        <f t="shared" si="20"/>
        <v>0</v>
      </c>
      <c r="K290" s="55">
        <v>161448</v>
      </c>
      <c r="L290" s="55">
        <f t="shared" si="21"/>
        <v>0</v>
      </c>
      <c r="M290" s="55">
        <f>VLOOKUP(G290,'[1]01-09 al 30-09'!$G:$AI,29,FALSE)</f>
        <v>161448</v>
      </c>
      <c r="N290" s="55">
        <f t="shared" si="22"/>
        <v>0</v>
      </c>
      <c r="O290" s="55">
        <f>VLOOKUP(G290,'[1]01-09 al 30-09'!$G:$AS,39,FALSE)</f>
        <v>161448</v>
      </c>
      <c r="P290" s="55">
        <f t="shared" si="23"/>
        <v>0</v>
      </c>
      <c r="Q290" s="55"/>
      <c r="R290" s="55"/>
      <c r="S290" s="90">
        <f t="shared" si="24"/>
        <v>0</v>
      </c>
      <c r="T290" s="89">
        <v>46146</v>
      </c>
      <c r="U290" s="51" t="s">
        <v>2206</v>
      </c>
      <c r="V290" s="105" t="s">
        <v>2231</v>
      </c>
      <c r="W290" s="105" t="str">
        <f>VLOOKUP(C290,'Status oficina'!$A$2:$C$208,3,FALSE)</f>
        <v>Cierre temporal</v>
      </c>
    </row>
    <row r="291" spans="1:23" ht="13.5" customHeight="1" x14ac:dyDescent="0.25">
      <c r="A291" s="53" t="s">
        <v>868</v>
      </c>
      <c r="B291" s="53" t="s">
        <v>452</v>
      </c>
      <c r="C291" s="97">
        <v>9876</v>
      </c>
      <c r="D291" s="14" t="s">
        <v>453</v>
      </c>
      <c r="E291" s="14" t="s">
        <v>417</v>
      </c>
      <c r="F291" s="14" t="s">
        <v>1087</v>
      </c>
      <c r="G291" s="14" t="s">
        <v>221</v>
      </c>
      <c r="H291" s="55">
        <v>405747</v>
      </c>
      <c r="I291" s="55">
        <v>405747</v>
      </c>
      <c r="J291" s="55">
        <f t="shared" si="20"/>
        <v>0</v>
      </c>
      <c r="K291" s="55">
        <v>405747</v>
      </c>
      <c r="L291" s="55">
        <f t="shared" si="21"/>
        <v>0</v>
      </c>
      <c r="M291" s="55">
        <f>VLOOKUP(G291,'[1]01-09 al 30-09'!$G:$AI,29,FALSE)</f>
        <v>405747</v>
      </c>
      <c r="N291" s="55">
        <f t="shared" si="22"/>
        <v>0</v>
      </c>
      <c r="O291" s="55">
        <f>VLOOKUP(G291,'[1]01-09 al 30-09'!$G:$AS,39,FALSE)</f>
        <v>405747</v>
      </c>
      <c r="P291" s="55">
        <f t="shared" si="23"/>
        <v>0</v>
      </c>
      <c r="Q291" s="55"/>
      <c r="R291" s="55"/>
      <c r="S291" s="90">
        <f t="shared" si="24"/>
        <v>0</v>
      </c>
      <c r="T291" s="89">
        <v>46146</v>
      </c>
      <c r="U291" s="14" t="s">
        <v>2405</v>
      </c>
      <c r="V291" s="105" t="s">
        <v>2238</v>
      </c>
      <c r="W291" s="105" t="str">
        <f>VLOOKUP(C291,'Status oficina'!$A$2:$C$208,3,FALSE)</f>
        <v>Cierre definitivo</v>
      </c>
    </row>
    <row r="292" spans="1:23" ht="13.5" customHeight="1" x14ac:dyDescent="0.25">
      <c r="A292" s="53" t="s">
        <v>868</v>
      </c>
      <c r="B292" s="53" t="s">
        <v>435</v>
      </c>
      <c r="C292" s="97">
        <v>9877</v>
      </c>
      <c r="D292" s="14" t="s">
        <v>443</v>
      </c>
      <c r="E292" s="14" t="s">
        <v>417</v>
      </c>
      <c r="F292" s="14" t="s">
        <v>1082</v>
      </c>
      <c r="G292" s="14" t="s">
        <v>187</v>
      </c>
      <c r="H292" s="55">
        <v>415974</v>
      </c>
      <c r="I292" s="55">
        <v>415974</v>
      </c>
      <c r="J292" s="55">
        <f t="shared" si="20"/>
        <v>0</v>
      </c>
      <c r="K292" s="55">
        <v>415974</v>
      </c>
      <c r="L292" s="55">
        <f t="shared" si="21"/>
        <v>0</v>
      </c>
      <c r="M292" s="55">
        <f>VLOOKUP(G292,'[1]01-09 al 30-09'!$G:$AI,29,FALSE)</f>
        <v>415974</v>
      </c>
      <c r="N292" s="55">
        <f t="shared" si="22"/>
        <v>0</v>
      </c>
      <c r="O292" s="55">
        <f>VLOOKUP(G292,'[1]01-09 al 30-09'!$G:$AS,39,FALSE)</f>
        <v>415974</v>
      </c>
      <c r="P292" s="55">
        <f t="shared" si="23"/>
        <v>0</v>
      </c>
      <c r="Q292" s="55"/>
      <c r="R292" s="55"/>
      <c r="S292" s="90">
        <f t="shared" si="24"/>
        <v>0</v>
      </c>
      <c r="T292" s="89">
        <v>46146</v>
      </c>
      <c r="U292" s="42" t="s">
        <v>2445</v>
      </c>
      <c r="V292" s="105" t="s">
        <v>2238</v>
      </c>
      <c r="W292" s="105" t="s">
        <v>2238</v>
      </c>
    </row>
    <row r="293" spans="1:23" ht="13.5" customHeight="1" x14ac:dyDescent="0.25">
      <c r="A293" s="53" t="s">
        <v>868</v>
      </c>
      <c r="B293" s="53" t="s">
        <v>435</v>
      </c>
      <c r="C293" s="97">
        <v>9877</v>
      </c>
      <c r="D293" s="14" t="s">
        <v>436</v>
      </c>
      <c r="E293" s="14" t="s">
        <v>413</v>
      </c>
      <c r="F293" s="14" t="s">
        <v>1077</v>
      </c>
      <c r="G293" s="14" t="s">
        <v>90</v>
      </c>
      <c r="H293" s="55">
        <v>38208</v>
      </c>
      <c r="I293" s="55">
        <v>38208</v>
      </c>
      <c r="J293" s="55">
        <f t="shared" si="20"/>
        <v>0</v>
      </c>
      <c r="K293" s="55">
        <v>38208</v>
      </c>
      <c r="L293" s="55">
        <f t="shared" si="21"/>
        <v>0</v>
      </c>
      <c r="M293" s="55">
        <f>VLOOKUP(G293,'[1]01-09 al 30-09'!$G:$AI,29,FALSE)</f>
        <v>38208</v>
      </c>
      <c r="N293" s="55">
        <f t="shared" si="22"/>
        <v>0</v>
      </c>
      <c r="O293" s="55">
        <f>VLOOKUP(G293,'[1]01-09 al 30-09'!$G:$AS,39,FALSE)</f>
        <v>38208</v>
      </c>
      <c r="P293" s="55">
        <f t="shared" si="23"/>
        <v>0</v>
      </c>
      <c r="Q293" s="55"/>
      <c r="R293" s="55"/>
      <c r="S293" s="90">
        <f t="shared" si="24"/>
        <v>0</v>
      </c>
      <c r="T293" s="89">
        <v>46146</v>
      </c>
      <c r="U293" s="14" t="s">
        <v>2444</v>
      </c>
      <c r="V293" s="105" t="s">
        <v>2231</v>
      </c>
      <c r="W293" s="105" t="str">
        <f>VLOOKUP(C293,'Status oficina'!$A$2:$C$208,3,FALSE)</f>
        <v>Cierre definitivo</v>
      </c>
    </row>
    <row r="294" spans="1:23" ht="13.5" customHeight="1" x14ac:dyDescent="0.25">
      <c r="A294" s="14" t="s">
        <v>2443</v>
      </c>
      <c r="B294" s="14" t="s">
        <v>824</v>
      </c>
      <c r="C294" s="120">
        <v>9290</v>
      </c>
      <c r="D294" s="14" t="s">
        <v>825</v>
      </c>
      <c r="E294" s="14" t="s">
        <v>417</v>
      </c>
      <c r="F294" s="14" t="s">
        <v>1312</v>
      </c>
      <c r="G294" s="14" t="s">
        <v>250</v>
      </c>
      <c r="H294" s="55">
        <v>564737</v>
      </c>
      <c r="I294" s="55">
        <v>565637</v>
      </c>
      <c r="J294" s="55">
        <f t="shared" si="20"/>
        <v>900</v>
      </c>
      <c r="K294" s="55">
        <v>566473</v>
      </c>
      <c r="L294" s="55">
        <f t="shared" si="21"/>
        <v>836</v>
      </c>
      <c r="M294" s="55">
        <f>VLOOKUP(G294,'[1]01-09 al 30-09'!$G:$AI,29,FALSE)</f>
        <v>567179</v>
      </c>
      <c r="N294" s="55">
        <f t="shared" si="22"/>
        <v>706</v>
      </c>
      <c r="O294" s="55">
        <f>VLOOKUP(G294,'[1]01-09 al 30-09'!$G:$AS,39,FALSE)</f>
        <v>567685</v>
      </c>
      <c r="P294" s="55">
        <f t="shared" si="23"/>
        <v>506</v>
      </c>
      <c r="Q294" s="55"/>
      <c r="R294" s="55"/>
      <c r="S294" s="90">
        <f t="shared" si="24"/>
        <v>2948</v>
      </c>
      <c r="T294" s="89">
        <v>46146</v>
      </c>
      <c r="U294" s="14"/>
      <c r="V294" s="105" t="s">
        <v>2375</v>
      </c>
      <c r="W294" s="105" t="str">
        <f>VLOOKUP(C294,'Status oficina'!$A$2:$C$208,3,FALSE)</f>
        <v>Activa</v>
      </c>
    </row>
    <row r="295" spans="1:23" ht="13.5" customHeight="1" x14ac:dyDescent="0.25">
      <c r="A295" s="14" t="s">
        <v>2443</v>
      </c>
      <c r="B295" s="14" t="s">
        <v>807</v>
      </c>
      <c r="C295" s="19">
        <v>9231</v>
      </c>
      <c r="D295" s="14" t="s">
        <v>808</v>
      </c>
      <c r="E295" s="14" t="s">
        <v>417</v>
      </c>
      <c r="F295" s="14" t="s">
        <v>1301</v>
      </c>
      <c r="G295" s="14" t="s">
        <v>203</v>
      </c>
      <c r="H295" s="55">
        <v>523706</v>
      </c>
      <c r="I295" s="55">
        <v>524240</v>
      </c>
      <c r="J295" s="55">
        <f t="shared" si="20"/>
        <v>534</v>
      </c>
      <c r="K295" s="55">
        <v>524700</v>
      </c>
      <c r="L295" s="55">
        <f t="shared" si="21"/>
        <v>460</v>
      </c>
      <c r="M295" s="55">
        <f>VLOOKUP(G295,'[1]01-09 al 30-09'!$G:$AI,29,FALSE)</f>
        <v>525192</v>
      </c>
      <c r="N295" s="55">
        <f t="shared" si="22"/>
        <v>492</v>
      </c>
      <c r="O295" s="55">
        <f>VLOOKUP(G295,'[1]01-09 al 30-09'!$G:$AS,39,FALSE)</f>
        <v>526097</v>
      </c>
      <c r="P295" s="55">
        <f t="shared" si="23"/>
        <v>905</v>
      </c>
      <c r="Q295" s="55"/>
      <c r="R295" s="55"/>
      <c r="S295" s="90">
        <f t="shared" si="24"/>
        <v>2391</v>
      </c>
      <c r="T295" s="89">
        <v>46146</v>
      </c>
      <c r="U295" s="14"/>
      <c r="V295" s="105" t="s">
        <v>2375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2442</v>
      </c>
      <c r="B296" s="14" t="s">
        <v>752</v>
      </c>
      <c r="C296" s="120">
        <v>9299</v>
      </c>
      <c r="D296" s="14" t="s">
        <v>753</v>
      </c>
      <c r="E296" s="14" t="s">
        <v>417</v>
      </c>
      <c r="F296" s="14" t="s">
        <v>1267</v>
      </c>
      <c r="G296" s="14" t="s">
        <v>51</v>
      </c>
      <c r="H296" s="55">
        <v>618842</v>
      </c>
      <c r="I296" s="55">
        <v>619645</v>
      </c>
      <c r="J296" s="55">
        <f t="shared" si="20"/>
        <v>803</v>
      </c>
      <c r="K296" s="55">
        <v>620247</v>
      </c>
      <c r="L296" s="55">
        <f t="shared" si="21"/>
        <v>602</v>
      </c>
      <c r="M296" s="55">
        <f>VLOOKUP(G296,'[1]01-09 al 30-09'!$G:$AI,29,FALSE)</f>
        <v>620999</v>
      </c>
      <c r="N296" s="55">
        <f t="shared" si="22"/>
        <v>752</v>
      </c>
      <c r="O296" s="55">
        <f>VLOOKUP(G296,'[1]01-09 al 30-09'!$G:$AS,39,FALSE)</f>
        <v>621972</v>
      </c>
      <c r="P296" s="55">
        <f t="shared" si="23"/>
        <v>973</v>
      </c>
      <c r="Q296" s="55"/>
      <c r="R296" s="55"/>
      <c r="S296" s="90">
        <f t="shared" si="24"/>
        <v>3130</v>
      </c>
      <c r="T296" s="89">
        <v>46146</v>
      </c>
      <c r="U296" s="14"/>
      <c r="V296" s="105" t="s">
        <v>2375</v>
      </c>
      <c r="W296" s="105" t="str">
        <f>VLOOKUP(C296,'Status oficina'!$A$2:$C$208,3,FALSE)</f>
        <v>Activa</v>
      </c>
    </row>
    <row r="297" spans="1:23" ht="13.5" customHeight="1" x14ac:dyDescent="0.25">
      <c r="A297" s="53" t="s">
        <v>2442</v>
      </c>
      <c r="B297" s="14" t="s">
        <v>752</v>
      </c>
      <c r="C297" s="131">
        <v>9299</v>
      </c>
      <c r="D297" s="14" t="s">
        <v>2433</v>
      </c>
      <c r="E297" s="70" t="s">
        <v>413</v>
      </c>
      <c r="F297" s="14" t="s">
        <v>1135</v>
      </c>
      <c r="G297" s="14" t="s">
        <v>295</v>
      </c>
      <c r="H297" s="55">
        <v>128266</v>
      </c>
      <c r="I297" s="55">
        <v>128594</v>
      </c>
      <c r="J297" s="55">
        <f t="shared" si="20"/>
        <v>328</v>
      </c>
      <c r="K297" s="55">
        <v>128915</v>
      </c>
      <c r="L297" s="55">
        <f t="shared" si="21"/>
        <v>321</v>
      </c>
      <c r="M297" s="55">
        <f>VLOOKUP(G297,'[1]01-09 al 30-09'!$G:$AI,29,FALSE)</f>
        <v>129277</v>
      </c>
      <c r="N297" s="55">
        <f t="shared" si="22"/>
        <v>362</v>
      </c>
      <c r="O297" s="55">
        <f>VLOOKUP(G297,'[1]01-09 al 30-09'!$G:$AS,39,FALSE)</f>
        <v>129562</v>
      </c>
      <c r="P297" s="55">
        <f t="shared" si="23"/>
        <v>285</v>
      </c>
      <c r="Q297" s="55"/>
      <c r="R297" s="55"/>
      <c r="S297" s="90">
        <f t="shared" si="24"/>
        <v>1296</v>
      </c>
      <c r="T297" s="89">
        <v>46146</v>
      </c>
      <c r="U297" s="14" t="s">
        <v>2488</v>
      </c>
      <c r="V297" s="105" t="s">
        <v>2375</v>
      </c>
      <c r="W297" s="105" t="s">
        <v>2228</v>
      </c>
    </row>
    <row r="298" spans="1:23" ht="13.5" customHeight="1" x14ac:dyDescent="0.25">
      <c r="A298" s="14" t="s">
        <v>2443</v>
      </c>
      <c r="B298" s="14" t="s">
        <v>793</v>
      </c>
      <c r="C298" s="19">
        <v>9294</v>
      </c>
      <c r="D298" s="14" t="s">
        <v>794</v>
      </c>
      <c r="E298" s="14" t="s">
        <v>417</v>
      </c>
      <c r="F298" s="14" t="s">
        <v>1291</v>
      </c>
      <c r="G298" s="14" t="s">
        <v>271</v>
      </c>
      <c r="H298" s="55">
        <v>529909</v>
      </c>
      <c r="I298" s="55">
        <v>530699</v>
      </c>
      <c r="J298" s="55">
        <f t="shared" si="20"/>
        <v>790</v>
      </c>
      <c r="K298" s="55">
        <v>531507</v>
      </c>
      <c r="L298" s="55">
        <f t="shared" si="21"/>
        <v>808</v>
      </c>
      <c r="M298" s="55">
        <f>VLOOKUP(G298,'[1]01-09 al 30-09'!$G:$AI,29,FALSE)</f>
        <v>532255</v>
      </c>
      <c r="N298" s="55">
        <f t="shared" si="22"/>
        <v>748</v>
      </c>
      <c r="O298" s="55">
        <f>VLOOKUP(G298,'[1]01-09 al 30-09'!$G:$AS,39,FALSE)</f>
        <v>532961</v>
      </c>
      <c r="P298" s="55">
        <f t="shared" si="23"/>
        <v>706</v>
      </c>
      <c r="Q298" s="55"/>
      <c r="R298" s="55"/>
      <c r="S298" s="90">
        <f t="shared" si="24"/>
        <v>3052</v>
      </c>
      <c r="T298" s="89">
        <v>46146</v>
      </c>
      <c r="U298" s="14"/>
      <c r="V298" s="105" t="s">
        <v>2375</v>
      </c>
      <c r="W298" s="105" t="str">
        <f>VLOOKUP(C298,'Status oficina'!$A$2:$C$208,3,FALSE)</f>
        <v>Activa</v>
      </c>
    </row>
    <row r="299" spans="1:23" ht="13.5" customHeight="1" x14ac:dyDescent="0.25">
      <c r="A299" s="14" t="s">
        <v>868</v>
      </c>
      <c r="B299" s="14" t="s">
        <v>879</v>
      </c>
      <c r="C299" s="19">
        <v>9830</v>
      </c>
      <c r="D299" s="14" t="s">
        <v>880</v>
      </c>
      <c r="E299" s="14" t="s">
        <v>417</v>
      </c>
      <c r="F299" s="14" t="s">
        <v>1344</v>
      </c>
      <c r="G299" s="14" t="s">
        <v>31</v>
      </c>
      <c r="H299" s="55">
        <v>210796</v>
      </c>
      <c r="I299" s="55">
        <v>210796</v>
      </c>
      <c r="J299" s="55">
        <f t="shared" si="20"/>
        <v>0</v>
      </c>
      <c r="K299" s="55">
        <v>210796</v>
      </c>
      <c r="L299" s="55">
        <f t="shared" si="21"/>
        <v>0</v>
      </c>
      <c r="M299" s="55">
        <f>VLOOKUP(G299,'[1]01-09 al 30-09'!$G:$AI,29,FALSE)</f>
        <v>210796</v>
      </c>
      <c r="N299" s="55">
        <f t="shared" si="22"/>
        <v>0</v>
      </c>
      <c r="O299" s="55">
        <f>VLOOKUP(G299,'[1]01-09 al 30-09'!$G:$AS,39,FALSE)</f>
        <v>210796</v>
      </c>
      <c r="P299" s="55">
        <f t="shared" si="23"/>
        <v>0</v>
      </c>
      <c r="Q299" s="55"/>
      <c r="R299" s="55"/>
      <c r="S299" s="90">
        <f t="shared" si="24"/>
        <v>0</v>
      </c>
      <c r="T299" s="89">
        <v>46146</v>
      </c>
      <c r="U299" s="57"/>
      <c r="V299" s="105" t="s">
        <v>2375</v>
      </c>
      <c r="W299" s="105" t="str">
        <f>VLOOKUP(C299,'Status oficina'!$A$2:$C$208,3,FALSE)</f>
        <v>Cierre temporal</v>
      </c>
    </row>
    <row r="300" spans="1:23" ht="13.5" customHeight="1" x14ac:dyDescent="0.25">
      <c r="A300" s="14" t="s">
        <v>2443</v>
      </c>
      <c r="B300" s="15" t="s">
        <v>790</v>
      </c>
      <c r="C300" s="19">
        <v>9270</v>
      </c>
      <c r="D300" s="14" t="s">
        <v>791</v>
      </c>
      <c r="E300" s="15" t="s">
        <v>417</v>
      </c>
      <c r="F300" s="14" t="s">
        <v>1289</v>
      </c>
      <c r="G300" s="15" t="s">
        <v>342</v>
      </c>
      <c r="H300" s="55">
        <v>502138</v>
      </c>
      <c r="I300" s="55">
        <v>502138</v>
      </c>
      <c r="J300" s="55">
        <f t="shared" si="20"/>
        <v>0</v>
      </c>
      <c r="K300" s="55">
        <v>502138</v>
      </c>
      <c r="L300" s="55">
        <f t="shared" si="21"/>
        <v>0</v>
      </c>
      <c r="M300" s="55">
        <f>VLOOKUP(G300,'[1]01-09 al 30-09'!$G:$AI,29,FALSE)</f>
        <v>502138</v>
      </c>
      <c r="N300" s="55">
        <f t="shared" si="22"/>
        <v>0</v>
      </c>
      <c r="O300" s="55">
        <f>VLOOKUP(G300,'[1]01-09 al 30-09'!$G:$AS,39,FALSE)</f>
        <v>502138</v>
      </c>
      <c r="P300" s="55">
        <f t="shared" si="23"/>
        <v>0</v>
      </c>
      <c r="Q300" s="55"/>
      <c r="R300" s="55"/>
      <c r="S300" s="90">
        <f t="shared" si="24"/>
        <v>0</v>
      </c>
      <c r="T300" s="89">
        <v>46146</v>
      </c>
      <c r="U300" s="14" t="s">
        <v>2429</v>
      </c>
      <c r="V300" s="105" t="s">
        <v>2374</v>
      </c>
      <c r="W300" s="105" t="str">
        <f>VLOOKUP(C300,'Status oficina'!$A$2:$C$208,3,FALSE)</f>
        <v>Activa</v>
      </c>
    </row>
    <row r="301" spans="1:23" ht="13.5" customHeight="1" x14ac:dyDescent="0.25">
      <c r="A301" s="14" t="s">
        <v>2082</v>
      </c>
      <c r="B301" s="14" t="s">
        <v>540</v>
      </c>
      <c r="C301" s="120">
        <v>9330</v>
      </c>
      <c r="D301" s="14" t="s">
        <v>541</v>
      </c>
      <c r="E301" s="14" t="s">
        <v>417</v>
      </c>
      <c r="F301" s="14" t="s">
        <v>1147</v>
      </c>
      <c r="G301" s="14" t="s">
        <v>254</v>
      </c>
      <c r="H301" s="55">
        <v>869857</v>
      </c>
      <c r="I301" s="55">
        <v>871377</v>
      </c>
      <c r="J301" s="55">
        <f t="shared" si="20"/>
        <v>1520</v>
      </c>
      <c r="K301" s="55">
        <v>872655</v>
      </c>
      <c r="L301" s="55">
        <f t="shared" si="21"/>
        <v>1278</v>
      </c>
      <c r="M301" s="55">
        <f>VLOOKUP(G301,'[1]01-09 al 30-09'!$G:$AI,29,FALSE)</f>
        <v>873899</v>
      </c>
      <c r="N301" s="55">
        <f t="shared" si="22"/>
        <v>1244</v>
      </c>
      <c r="O301" s="55">
        <f>VLOOKUP(G301,'[1]01-09 al 30-09'!$G:$AS,39,FALSE)</f>
        <v>875351</v>
      </c>
      <c r="P301" s="55">
        <f t="shared" si="23"/>
        <v>1452</v>
      </c>
      <c r="Q301" s="55"/>
      <c r="R301" s="55"/>
      <c r="S301" s="90">
        <f t="shared" si="24"/>
        <v>5494</v>
      </c>
      <c r="T301" s="89">
        <v>46146</v>
      </c>
      <c r="U301" s="14"/>
      <c r="V301" s="105" t="s">
        <v>2375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2442</v>
      </c>
      <c r="B302" s="14" t="s">
        <v>740</v>
      </c>
      <c r="C302" s="120">
        <v>9906</v>
      </c>
      <c r="D302" s="14" t="s">
        <v>741</v>
      </c>
      <c r="E302" s="14" t="s">
        <v>417</v>
      </c>
      <c r="F302" s="14" t="s">
        <v>1259</v>
      </c>
      <c r="G302" s="14" t="s">
        <v>265</v>
      </c>
      <c r="H302" s="55">
        <v>492776</v>
      </c>
      <c r="I302" s="55">
        <v>493519</v>
      </c>
      <c r="J302" s="55">
        <f t="shared" si="20"/>
        <v>743</v>
      </c>
      <c r="K302" s="55">
        <v>494392</v>
      </c>
      <c r="L302" s="55">
        <f t="shared" si="21"/>
        <v>873</v>
      </c>
      <c r="M302" s="55">
        <f>VLOOKUP(G302,'[1]01-09 al 30-09'!$G:$AI,29,FALSE)</f>
        <v>495134</v>
      </c>
      <c r="N302" s="55">
        <f t="shared" si="22"/>
        <v>742</v>
      </c>
      <c r="O302" s="55">
        <f>VLOOKUP(G302,'[1]01-09 al 30-09'!$G:$AS,39,FALSE)</f>
        <v>496378</v>
      </c>
      <c r="P302" s="55">
        <f t="shared" si="23"/>
        <v>1244</v>
      </c>
      <c r="Q302" s="55"/>
      <c r="R302" s="55"/>
      <c r="S302" s="90">
        <f t="shared" si="24"/>
        <v>3602</v>
      </c>
      <c r="T302" s="89">
        <v>46146</v>
      </c>
      <c r="U302" s="14"/>
      <c r="V302" s="105" t="s">
        <v>2375</v>
      </c>
      <c r="W302" s="105" t="str">
        <f>VLOOKUP(C302,'Status oficina'!$A$2:$C$208,3,FALSE)</f>
        <v>Activa</v>
      </c>
    </row>
    <row r="303" spans="1:23" ht="13.5" customHeight="1" x14ac:dyDescent="0.25">
      <c r="A303" s="53" t="s">
        <v>2442</v>
      </c>
      <c r="B303" s="15" t="s">
        <v>738</v>
      </c>
      <c r="C303" s="22">
        <v>9345</v>
      </c>
      <c r="D303" s="14" t="s">
        <v>739</v>
      </c>
      <c r="E303" s="15" t="s">
        <v>417</v>
      </c>
      <c r="F303" s="14" t="s">
        <v>1258</v>
      </c>
      <c r="G303" s="15"/>
      <c r="H303" s="55">
        <v>401233</v>
      </c>
      <c r="I303" s="55">
        <v>401233</v>
      </c>
      <c r="J303" s="55">
        <f t="shared" si="20"/>
        <v>0</v>
      </c>
      <c r="K303" s="55">
        <v>401233</v>
      </c>
      <c r="L303" s="55">
        <f t="shared" si="21"/>
        <v>0</v>
      </c>
      <c r="M303" s="55">
        <v>401233</v>
      </c>
      <c r="N303" s="55">
        <f t="shared" si="22"/>
        <v>0</v>
      </c>
      <c r="O303" s="55">
        <v>401233</v>
      </c>
      <c r="P303" s="55">
        <f t="shared" si="23"/>
        <v>0</v>
      </c>
      <c r="Q303" s="55"/>
      <c r="R303" s="55"/>
      <c r="S303" s="90">
        <f t="shared" si="24"/>
        <v>0</v>
      </c>
      <c r="T303" s="89">
        <v>46146</v>
      </c>
      <c r="U303" s="14" t="s">
        <v>2454</v>
      </c>
      <c r="V303" s="105" t="s">
        <v>2374</v>
      </c>
      <c r="W303" s="105" t="s">
        <v>2228</v>
      </c>
    </row>
    <row r="304" spans="1:23" ht="13.5" customHeight="1" x14ac:dyDescent="0.25">
      <c r="A304" s="14" t="s">
        <v>868</v>
      </c>
      <c r="B304" s="14" t="s">
        <v>925</v>
      </c>
      <c r="C304" s="120">
        <v>9824</v>
      </c>
      <c r="D304" s="14" t="s">
        <v>926</v>
      </c>
      <c r="E304" s="14" t="s">
        <v>417</v>
      </c>
      <c r="F304" s="14" t="s">
        <v>1381</v>
      </c>
      <c r="G304" s="14" t="s">
        <v>110</v>
      </c>
      <c r="H304" s="55">
        <v>950521</v>
      </c>
      <c r="I304" s="55">
        <v>951364</v>
      </c>
      <c r="J304" s="55">
        <f t="shared" si="20"/>
        <v>843</v>
      </c>
      <c r="K304" s="55">
        <v>951868</v>
      </c>
      <c r="L304" s="55">
        <f t="shared" si="21"/>
        <v>504</v>
      </c>
      <c r="M304" s="55">
        <f>VLOOKUP(G304,'[1]01-09 al 30-09'!$G:$AI,29,FALSE)</f>
        <v>952153</v>
      </c>
      <c r="N304" s="55">
        <f t="shared" si="22"/>
        <v>285</v>
      </c>
      <c r="O304" s="55">
        <f>VLOOKUP(G304,'[1]01-09 al 30-09'!$G:$AS,39,FALSE)</f>
        <v>952546</v>
      </c>
      <c r="P304" s="55">
        <f t="shared" si="23"/>
        <v>393</v>
      </c>
      <c r="Q304" s="55"/>
      <c r="R304" s="55"/>
      <c r="S304" s="90">
        <f t="shared" si="24"/>
        <v>2025</v>
      </c>
      <c r="T304" s="89">
        <v>46146</v>
      </c>
      <c r="U304" s="14"/>
      <c r="V304" s="105" t="s">
        <v>2375</v>
      </c>
      <c r="W304" s="105" t="str">
        <f>VLOOKUP(C304,'Status oficina'!$A$2:$C$208,3,FALSE)</f>
        <v>Activa</v>
      </c>
    </row>
    <row r="305" spans="1:23" ht="13.5" customHeight="1" x14ac:dyDescent="0.25">
      <c r="A305" s="53" t="s">
        <v>2442</v>
      </c>
      <c r="B305" s="14" t="s">
        <v>750</v>
      </c>
      <c r="C305" s="120">
        <v>9349</v>
      </c>
      <c r="D305" s="14" t="s">
        <v>751</v>
      </c>
      <c r="E305" s="14" t="s">
        <v>417</v>
      </c>
      <c r="F305" s="14" t="s">
        <v>1266</v>
      </c>
      <c r="G305" s="14" t="s">
        <v>56</v>
      </c>
      <c r="H305" s="55">
        <v>384687</v>
      </c>
      <c r="I305" s="55">
        <v>384687</v>
      </c>
      <c r="J305" s="55">
        <f t="shared" si="20"/>
        <v>0</v>
      </c>
      <c r="K305" s="55">
        <v>384687</v>
      </c>
      <c r="L305" s="55">
        <f t="shared" si="21"/>
        <v>0</v>
      </c>
      <c r="M305" s="55">
        <f>VLOOKUP(G305,'[1]01-09 al 30-09'!$G:$AI,29,FALSE)</f>
        <v>384687</v>
      </c>
      <c r="N305" s="55">
        <f t="shared" si="22"/>
        <v>0</v>
      </c>
      <c r="O305" s="55">
        <f>VLOOKUP(G305,'[1]01-09 al 30-09'!$G:$AS,39,FALSE)</f>
        <v>384687</v>
      </c>
      <c r="P305" s="55">
        <f t="shared" si="23"/>
        <v>0</v>
      </c>
      <c r="Q305" s="55"/>
      <c r="R305" s="55"/>
      <c r="S305" s="90">
        <f t="shared" si="24"/>
        <v>0</v>
      </c>
      <c r="T305" s="89">
        <v>46146</v>
      </c>
      <c r="U305" s="14"/>
      <c r="V305" s="105" t="s">
        <v>2231</v>
      </c>
      <c r="W305" s="105" t="s">
        <v>2231</v>
      </c>
    </row>
    <row r="306" spans="1:23" ht="13.5" customHeight="1" x14ac:dyDescent="0.25">
      <c r="A306" s="14" t="s">
        <v>939</v>
      </c>
      <c r="B306" s="14" t="s">
        <v>1022</v>
      </c>
      <c r="C306" s="120">
        <v>9615</v>
      </c>
      <c r="D306" s="14" t="s">
        <v>1023</v>
      </c>
      <c r="E306" s="14" t="s">
        <v>417</v>
      </c>
      <c r="F306" s="14" t="s">
        <v>1442</v>
      </c>
      <c r="G306" s="14" t="s">
        <v>217</v>
      </c>
      <c r="H306" s="55">
        <v>312358</v>
      </c>
      <c r="I306" s="55">
        <v>312358</v>
      </c>
      <c r="J306" s="55">
        <f t="shared" si="20"/>
        <v>0</v>
      </c>
      <c r="K306" s="55">
        <v>312358</v>
      </c>
      <c r="L306" s="55">
        <f t="shared" si="21"/>
        <v>0</v>
      </c>
      <c r="M306" s="55">
        <f>VLOOKUP(G306,'[1]01-09 al 30-09'!$G:$AI,29,FALSE)</f>
        <v>312358</v>
      </c>
      <c r="N306" s="55">
        <f t="shared" si="22"/>
        <v>0</v>
      </c>
      <c r="O306" s="55">
        <f>VLOOKUP(G306,'[1]01-09 al 30-09'!$G:$AS,39,FALSE)</f>
        <v>312358</v>
      </c>
      <c r="P306" s="55">
        <f t="shared" si="23"/>
        <v>0</v>
      </c>
      <c r="Q306" s="55"/>
      <c r="R306" s="55"/>
      <c r="S306" s="90">
        <f t="shared" si="24"/>
        <v>0</v>
      </c>
      <c r="T306" s="89">
        <v>46146</v>
      </c>
      <c r="U306" s="14" t="s">
        <v>2456</v>
      </c>
      <c r="V306" s="105" t="s">
        <v>2375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2443</v>
      </c>
      <c r="B307" s="14" t="s">
        <v>842</v>
      </c>
      <c r="C307" s="120">
        <v>9238</v>
      </c>
      <c r="D307" s="14" t="s">
        <v>843</v>
      </c>
      <c r="E307" s="14" t="s">
        <v>417</v>
      </c>
      <c r="F307" s="14" t="s">
        <v>844</v>
      </c>
      <c r="G307" s="14" t="s">
        <v>148</v>
      </c>
      <c r="H307" s="55">
        <v>389253</v>
      </c>
      <c r="I307" s="55">
        <v>390797</v>
      </c>
      <c r="J307" s="55">
        <f t="shared" si="20"/>
        <v>1544</v>
      </c>
      <c r="K307" s="55">
        <v>392057</v>
      </c>
      <c r="L307" s="55">
        <f t="shared" si="21"/>
        <v>1260</v>
      </c>
      <c r="M307" s="55">
        <f>VLOOKUP(G307,'[1]01-09 al 30-09'!$G:$AI,29,FALSE)</f>
        <v>392878</v>
      </c>
      <c r="N307" s="55">
        <f t="shared" si="22"/>
        <v>821</v>
      </c>
      <c r="O307" s="55">
        <f>VLOOKUP(G307,'[1]01-09 al 30-09'!$G:$AS,39,FALSE)</f>
        <v>394354</v>
      </c>
      <c r="P307" s="55">
        <f t="shared" si="23"/>
        <v>1476</v>
      </c>
      <c r="Q307" s="55"/>
      <c r="R307" s="55"/>
      <c r="S307" s="90">
        <f t="shared" si="24"/>
        <v>5101</v>
      </c>
      <c r="T307" s="89">
        <v>46146</v>
      </c>
      <c r="U307" s="8"/>
      <c r="V307" s="105" t="s">
        <v>2375</v>
      </c>
      <c r="W307" s="105" t="str">
        <f>VLOOKUP(C307,'Status oficina'!$A$2:$C$208,3,FALSE)</f>
        <v>Activa</v>
      </c>
    </row>
    <row r="308" spans="1:23" ht="13.5" customHeight="1" x14ac:dyDescent="0.25">
      <c r="A308" s="14" t="s">
        <v>2082</v>
      </c>
      <c r="B308" s="14" t="s">
        <v>555</v>
      </c>
      <c r="C308" s="19">
        <v>9388</v>
      </c>
      <c r="D308" s="14" t="s">
        <v>556</v>
      </c>
      <c r="E308" s="14" t="s">
        <v>417</v>
      </c>
      <c r="F308" s="14" t="s">
        <v>1305</v>
      </c>
      <c r="G308" s="14" t="s">
        <v>6</v>
      </c>
      <c r="H308" s="55">
        <v>316998</v>
      </c>
      <c r="I308" s="55">
        <v>316998</v>
      </c>
      <c r="J308" s="55">
        <f t="shared" si="20"/>
        <v>0</v>
      </c>
      <c r="K308" s="55">
        <v>316998</v>
      </c>
      <c r="L308" s="55">
        <f t="shared" si="21"/>
        <v>0</v>
      </c>
      <c r="M308" s="55">
        <f>VLOOKUP(G308,'[1]01-09 al 30-09'!$G:$AI,29,FALSE)</f>
        <v>316998</v>
      </c>
      <c r="N308" s="55">
        <f t="shared" si="22"/>
        <v>0</v>
      </c>
      <c r="O308" s="55">
        <f>VLOOKUP(G308,'[1]01-09 al 30-09'!$G:$AS,39,FALSE)</f>
        <v>316998</v>
      </c>
      <c r="P308" s="55">
        <f t="shared" si="23"/>
        <v>0</v>
      </c>
      <c r="Q308" s="55"/>
      <c r="R308" s="55"/>
      <c r="S308" s="90">
        <f t="shared" si="24"/>
        <v>0</v>
      </c>
      <c r="T308" s="89">
        <v>46146</v>
      </c>
      <c r="U308" s="14"/>
      <c r="V308" s="105" t="s">
        <v>2231</v>
      </c>
      <c r="W308" s="105" t="s">
        <v>2231</v>
      </c>
    </row>
    <row r="309" spans="1:23" ht="13.5" customHeight="1" x14ac:dyDescent="0.25">
      <c r="A309" s="53" t="s">
        <v>868</v>
      </c>
      <c r="B309" s="53" t="s">
        <v>428</v>
      </c>
      <c r="C309" s="120">
        <v>9837</v>
      </c>
      <c r="D309" s="14" t="s">
        <v>434</v>
      </c>
      <c r="E309" s="14" t="s">
        <v>417</v>
      </c>
      <c r="F309" s="14" t="s">
        <v>1076</v>
      </c>
      <c r="G309" s="14" t="s">
        <v>149</v>
      </c>
      <c r="H309" s="55">
        <v>507438</v>
      </c>
      <c r="I309" s="55">
        <v>507842</v>
      </c>
      <c r="J309" s="55">
        <f t="shared" si="20"/>
        <v>404</v>
      </c>
      <c r="K309" s="55">
        <v>508415</v>
      </c>
      <c r="L309" s="55">
        <f t="shared" si="21"/>
        <v>573</v>
      </c>
      <c r="M309" s="55">
        <f>VLOOKUP(G309,'[1]01-09 al 30-09'!$G:$AI,29,FALSE)</f>
        <v>508607</v>
      </c>
      <c r="N309" s="55">
        <f t="shared" si="22"/>
        <v>192</v>
      </c>
      <c r="O309" s="55">
        <f>VLOOKUP(G309,'[1]01-09 al 30-09'!$G:$AS,39,FALSE)</f>
        <v>509066</v>
      </c>
      <c r="P309" s="55">
        <f t="shared" si="23"/>
        <v>459</v>
      </c>
      <c r="Q309" s="55"/>
      <c r="R309" s="55"/>
      <c r="S309" s="90">
        <f t="shared" si="24"/>
        <v>1628</v>
      </c>
      <c r="T309" s="89">
        <v>46146</v>
      </c>
      <c r="U309" s="14"/>
      <c r="V309" s="105" t="s">
        <v>2375</v>
      </c>
      <c r="W309" s="105" t="str">
        <f>VLOOKUP(C309,'Status oficina'!$A$2:$C$208,3,FALSE)</f>
        <v>Activa</v>
      </c>
    </row>
    <row r="310" spans="1:23" ht="13.5" customHeight="1" x14ac:dyDescent="0.25">
      <c r="A310" s="14" t="s">
        <v>939</v>
      </c>
      <c r="B310" s="14" t="s">
        <v>1011</v>
      </c>
      <c r="C310" s="19">
        <v>9653</v>
      </c>
      <c r="D310" s="14" t="s">
        <v>1719</v>
      </c>
      <c r="E310" s="14" t="s">
        <v>417</v>
      </c>
      <c r="F310" s="14" t="s">
        <v>1432</v>
      </c>
      <c r="G310" s="14" t="s">
        <v>21</v>
      </c>
      <c r="H310" s="55">
        <v>181950</v>
      </c>
      <c r="I310" s="55">
        <v>181950</v>
      </c>
      <c r="J310" s="55">
        <f t="shared" si="20"/>
        <v>0</v>
      </c>
      <c r="K310" s="55">
        <v>181950</v>
      </c>
      <c r="L310" s="55">
        <f t="shared" si="21"/>
        <v>0</v>
      </c>
      <c r="M310" s="55">
        <f>VLOOKUP(G310,'[1]01-09 al 30-09'!$G:$AI,29,FALSE)</f>
        <v>181950</v>
      </c>
      <c r="N310" s="55">
        <f t="shared" si="22"/>
        <v>0</v>
      </c>
      <c r="O310" s="55">
        <f>VLOOKUP(G310,'[1]01-09 al 30-09'!$G:$AS,39,FALSE)</f>
        <v>181950</v>
      </c>
      <c r="P310" s="55">
        <f t="shared" si="23"/>
        <v>0</v>
      </c>
      <c r="Q310" s="55"/>
      <c r="R310" s="55"/>
      <c r="S310" s="90">
        <f t="shared" si="24"/>
        <v>0</v>
      </c>
      <c r="T310" s="89">
        <v>46146</v>
      </c>
      <c r="U310" s="14"/>
      <c r="V310" s="105" t="s">
        <v>2231</v>
      </c>
      <c r="W310" s="105" t="s">
        <v>2231</v>
      </c>
    </row>
    <row r="311" spans="1:23" ht="13.5" customHeight="1" x14ac:dyDescent="0.25">
      <c r="A311" s="14" t="s">
        <v>2443</v>
      </c>
      <c r="B311" s="14" t="s">
        <v>784</v>
      </c>
      <c r="C311" s="19">
        <v>9911</v>
      </c>
      <c r="D311" s="14" t="s">
        <v>785</v>
      </c>
      <c r="E311" s="14" t="s">
        <v>417</v>
      </c>
      <c r="F311" s="14" t="s">
        <v>1285</v>
      </c>
      <c r="G311" s="14" t="s">
        <v>225</v>
      </c>
      <c r="H311" s="55">
        <v>413875</v>
      </c>
      <c r="I311" s="55">
        <v>414462</v>
      </c>
      <c r="J311" s="55">
        <f t="shared" si="20"/>
        <v>587</v>
      </c>
      <c r="K311" s="55">
        <v>414918</v>
      </c>
      <c r="L311" s="55">
        <f t="shared" si="21"/>
        <v>456</v>
      </c>
      <c r="M311" s="55">
        <f>VLOOKUP(G311,'[1]01-09 al 30-09'!$G:$AI,29,FALSE)</f>
        <v>415448</v>
      </c>
      <c r="N311" s="55">
        <f t="shared" si="22"/>
        <v>530</v>
      </c>
      <c r="O311" s="55">
        <f>VLOOKUP(G311,'[1]01-09 al 30-09'!$G:$AS,39,FALSE)</f>
        <v>415931</v>
      </c>
      <c r="P311" s="55">
        <f t="shared" si="23"/>
        <v>483</v>
      </c>
      <c r="Q311" s="55"/>
      <c r="R311" s="55"/>
      <c r="S311" s="90">
        <f t="shared" si="24"/>
        <v>2056</v>
      </c>
      <c r="T311" s="89">
        <v>46146</v>
      </c>
      <c r="U311" s="14"/>
      <c r="V311" s="105" t="s">
        <v>2375</v>
      </c>
      <c r="W311" s="105" t="str">
        <f>VLOOKUP(C311,'Status oficina'!$A$2:$C$208,3,FALSE)</f>
        <v>Activa</v>
      </c>
    </row>
    <row r="312" spans="1:23" ht="13.5" customHeight="1" x14ac:dyDescent="0.25">
      <c r="A312" s="14" t="s">
        <v>2443</v>
      </c>
      <c r="B312" s="14" t="s">
        <v>857</v>
      </c>
      <c r="C312" s="22">
        <v>9915</v>
      </c>
      <c r="D312" s="14" t="s">
        <v>859</v>
      </c>
      <c r="E312" s="14" t="s">
        <v>417</v>
      </c>
      <c r="F312" s="14" t="s">
        <v>1332</v>
      </c>
      <c r="G312" s="14" t="s">
        <v>188</v>
      </c>
      <c r="H312" s="55">
        <v>264946</v>
      </c>
      <c r="I312" s="55">
        <v>264946</v>
      </c>
      <c r="J312" s="55">
        <f t="shared" si="20"/>
        <v>0</v>
      </c>
      <c r="K312" s="55">
        <v>264946</v>
      </c>
      <c r="L312" s="55">
        <f t="shared" si="21"/>
        <v>0</v>
      </c>
      <c r="M312" s="55">
        <f>VLOOKUP(G312,'[1]01-09 al 30-09'!$G:$AI,29,FALSE)</f>
        <v>264946</v>
      </c>
      <c r="N312" s="55">
        <f t="shared" si="22"/>
        <v>0</v>
      </c>
      <c r="O312" s="55">
        <f>VLOOKUP(G312,'[1]01-09 al 30-09'!$G:$AS,39,FALSE)</f>
        <v>264946</v>
      </c>
      <c r="P312" s="55">
        <f t="shared" si="23"/>
        <v>0</v>
      </c>
      <c r="Q312" s="55"/>
      <c r="R312" s="55"/>
      <c r="S312" s="90">
        <f t="shared" si="24"/>
        <v>0</v>
      </c>
      <c r="T312" s="89">
        <v>46146</v>
      </c>
      <c r="U312" s="14"/>
      <c r="V312" s="105" t="s">
        <v>2231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2443</v>
      </c>
      <c r="B313" s="14" t="s">
        <v>857</v>
      </c>
      <c r="C313" s="22">
        <v>9915</v>
      </c>
      <c r="D313" s="14" t="s">
        <v>858</v>
      </c>
      <c r="E313" s="14" t="s">
        <v>413</v>
      </c>
      <c r="F313" s="14" t="s">
        <v>1331</v>
      </c>
      <c r="G313" s="14" t="s">
        <v>119</v>
      </c>
      <c r="H313" s="55">
        <v>103947</v>
      </c>
      <c r="I313" s="55">
        <v>103947</v>
      </c>
      <c r="J313" s="55">
        <f t="shared" si="20"/>
        <v>0</v>
      </c>
      <c r="K313" s="55">
        <v>103947</v>
      </c>
      <c r="L313" s="55">
        <f t="shared" si="21"/>
        <v>0</v>
      </c>
      <c r="M313" s="55">
        <f>VLOOKUP(G313,'[1]01-09 al 30-09'!$G:$AI,29,FALSE)</f>
        <v>103947</v>
      </c>
      <c r="N313" s="55">
        <f t="shared" si="22"/>
        <v>0</v>
      </c>
      <c r="O313" s="55">
        <f>VLOOKUP(G313,'[1]01-09 al 30-09'!$G:$AS,39,FALSE)</f>
        <v>103947</v>
      </c>
      <c r="P313" s="55">
        <f t="shared" si="23"/>
        <v>0</v>
      </c>
      <c r="Q313" s="55"/>
      <c r="R313" s="55"/>
      <c r="S313" s="90">
        <f t="shared" si="24"/>
        <v>0</v>
      </c>
      <c r="T313" s="89">
        <v>46146</v>
      </c>
      <c r="U313" s="14"/>
      <c r="V313" s="105" t="s">
        <v>2231</v>
      </c>
      <c r="W313" s="105" t="str">
        <f>VLOOKUP(C313,'Status oficina'!$A$2:$C$208,3,FALSE)</f>
        <v>Cierre temporal</v>
      </c>
    </row>
    <row r="314" spans="1:23" ht="13.5" customHeight="1" x14ac:dyDescent="0.25">
      <c r="A314" s="53" t="s">
        <v>2442</v>
      </c>
      <c r="B314" s="14" t="s">
        <v>2394</v>
      </c>
      <c r="C314" s="120">
        <v>9217</v>
      </c>
      <c r="D314" s="14" t="s">
        <v>689</v>
      </c>
      <c r="E314" s="14" t="s">
        <v>417</v>
      </c>
      <c r="F314" s="14" t="s">
        <v>1955</v>
      </c>
      <c r="G314" s="14" t="s">
        <v>2171</v>
      </c>
      <c r="H314" s="55">
        <v>322201</v>
      </c>
      <c r="I314" s="55">
        <v>323244</v>
      </c>
      <c r="J314" s="55">
        <f t="shared" si="20"/>
        <v>1043</v>
      </c>
      <c r="K314" s="55">
        <v>324510</v>
      </c>
      <c r="L314" s="55">
        <f t="shared" si="21"/>
        <v>1266</v>
      </c>
      <c r="M314" s="55">
        <f>VLOOKUP(G314,'[1]01-09 al 30-09'!$G:$AI,29,FALSE)</f>
        <v>325738</v>
      </c>
      <c r="N314" s="55">
        <f t="shared" si="22"/>
        <v>1228</v>
      </c>
      <c r="O314" s="55">
        <f>VLOOKUP(G314,'[1]01-09 al 30-09'!$G:$AS,39,FALSE)</f>
        <v>327404</v>
      </c>
      <c r="P314" s="55">
        <f t="shared" si="23"/>
        <v>1666</v>
      </c>
      <c r="Q314" s="55"/>
      <c r="R314" s="55"/>
      <c r="S314" s="90">
        <f t="shared" si="24"/>
        <v>5203</v>
      </c>
      <c r="T314" s="89">
        <v>46146</v>
      </c>
      <c r="U314" s="14"/>
      <c r="V314" s="105" t="s">
        <v>2375</v>
      </c>
      <c r="W314" s="105" t="str">
        <f>VLOOKUP(C314,'Status oficina'!$A$2:$C$208,3,FALSE)</f>
        <v>Activa</v>
      </c>
    </row>
    <row r="315" spans="1:23" ht="13.5" customHeight="1" x14ac:dyDescent="0.25">
      <c r="A315" s="14" t="s">
        <v>2443</v>
      </c>
      <c r="B315" s="14" t="s">
        <v>865</v>
      </c>
      <c r="C315" s="22">
        <v>9928</v>
      </c>
      <c r="D315" s="14" t="s">
        <v>866</v>
      </c>
      <c r="E315" s="14" t="s">
        <v>413</v>
      </c>
      <c r="F315" s="14" t="s">
        <v>867</v>
      </c>
      <c r="G315" s="14" t="s">
        <v>401</v>
      </c>
      <c r="H315" s="55">
        <v>96469</v>
      </c>
      <c r="I315" s="55">
        <v>96469</v>
      </c>
      <c r="J315" s="55">
        <f t="shared" si="20"/>
        <v>0</v>
      </c>
      <c r="K315" s="55">
        <v>96469</v>
      </c>
      <c r="L315" s="55">
        <f t="shared" si="21"/>
        <v>0</v>
      </c>
      <c r="M315" s="55">
        <f>VLOOKUP(G315,'[1]01-09 al 30-09'!$G:$AI,29,FALSE)</f>
        <v>96469</v>
      </c>
      <c r="N315" s="55">
        <f t="shared" si="22"/>
        <v>0</v>
      </c>
      <c r="O315" s="55">
        <f>VLOOKUP(G315,'[1]01-09 al 30-09'!$G:$AS,39,FALSE)</f>
        <v>96469</v>
      </c>
      <c r="P315" s="55">
        <f t="shared" si="23"/>
        <v>0</v>
      </c>
      <c r="Q315" s="55"/>
      <c r="R315" s="55"/>
      <c r="S315" s="90">
        <f t="shared" si="24"/>
        <v>0</v>
      </c>
      <c r="T315" s="89">
        <v>46146</v>
      </c>
      <c r="U315" s="8"/>
      <c r="V315" s="105" t="s">
        <v>2231</v>
      </c>
      <c r="W315" s="105" t="str">
        <f>VLOOKUP(C315,'Status oficina'!$A$2:$C$208,3,FALSE)</f>
        <v>Cierre temporal</v>
      </c>
    </row>
    <row r="316" spans="1:23" ht="13.5" customHeight="1" x14ac:dyDescent="0.25">
      <c r="A316" s="14" t="s">
        <v>2082</v>
      </c>
      <c r="B316" s="14" t="s">
        <v>617</v>
      </c>
      <c r="C316" s="19">
        <v>9448</v>
      </c>
      <c r="D316" s="14" t="s">
        <v>618</v>
      </c>
      <c r="E316" s="14" t="s">
        <v>417</v>
      </c>
      <c r="F316" s="14" t="s">
        <v>1058</v>
      </c>
      <c r="G316" s="14" t="s">
        <v>195</v>
      </c>
      <c r="H316" s="55">
        <v>420944</v>
      </c>
      <c r="I316" s="55">
        <v>421164</v>
      </c>
      <c r="J316" s="55">
        <f t="shared" si="20"/>
        <v>220</v>
      </c>
      <c r="K316" s="55">
        <v>422622</v>
      </c>
      <c r="L316" s="55">
        <f t="shared" si="21"/>
        <v>1458</v>
      </c>
      <c r="M316" s="55">
        <f>VLOOKUP(G316,'[1]01-09 al 30-09'!$G:$AI,29,FALSE)</f>
        <v>422941</v>
      </c>
      <c r="N316" s="55">
        <f t="shared" si="22"/>
        <v>319</v>
      </c>
      <c r="O316" s="55">
        <f>VLOOKUP(G316,'[1]01-09 al 30-09'!$G:$AS,39,FALSE)</f>
        <v>422941</v>
      </c>
      <c r="P316" s="55">
        <f t="shared" si="23"/>
        <v>0</v>
      </c>
      <c r="Q316" s="55"/>
      <c r="R316" s="55"/>
      <c r="S316" s="90">
        <f t="shared" si="24"/>
        <v>1997</v>
      </c>
      <c r="T316" s="89">
        <v>46146</v>
      </c>
      <c r="U316" s="54"/>
      <c r="V316" s="105" t="s">
        <v>2375</v>
      </c>
      <c r="W316" s="105" t="str">
        <f>VLOOKUP(C316,'Status oficina'!$A$2:$C$208,3,FALSE)</f>
        <v>Activa</v>
      </c>
    </row>
    <row r="317" spans="1:23" ht="13.5" customHeight="1" x14ac:dyDescent="0.25">
      <c r="A317" s="14" t="s">
        <v>2443</v>
      </c>
      <c r="B317" s="14" t="s">
        <v>778</v>
      </c>
      <c r="C317" s="19">
        <v>9932</v>
      </c>
      <c r="D317" s="14" t="s">
        <v>779</v>
      </c>
      <c r="E317" s="14" t="s">
        <v>413</v>
      </c>
      <c r="F317" s="14" t="s">
        <v>1281</v>
      </c>
      <c r="G317" s="14" t="s">
        <v>334</v>
      </c>
      <c r="H317" s="55">
        <v>274989</v>
      </c>
      <c r="I317" s="55">
        <v>274989</v>
      </c>
      <c r="J317" s="55">
        <f t="shared" si="20"/>
        <v>0</v>
      </c>
      <c r="K317" s="55">
        <v>274989</v>
      </c>
      <c r="L317" s="55">
        <f t="shared" si="21"/>
        <v>0</v>
      </c>
      <c r="M317" s="55">
        <f>VLOOKUP(G317,'[1]01-09 al 30-09'!$G:$AI,29,FALSE)</f>
        <v>274989</v>
      </c>
      <c r="N317" s="55">
        <f t="shared" si="22"/>
        <v>0</v>
      </c>
      <c r="O317" s="55">
        <f>VLOOKUP(G317,'[1]01-09 al 30-09'!$G:$AS,39,FALSE)</f>
        <v>274989</v>
      </c>
      <c r="P317" s="55">
        <f t="shared" si="23"/>
        <v>0</v>
      </c>
      <c r="Q317" s="55"/>
      <c r="R317" s="55"/>
      <c r="S317" s="90">
        <f t="shared" si="24"/>
        <v>0</v>
      </c>
      <c r="T317" s="89">
        <v>46146</v>
      </c>
      <c r="U317" s="14"/>
      <c r="V317" s="105" t="s">
        <v>2231</v>
      </c>
      <c r="W317" s="105" t="str">
        <f>VLOOKUP(C317,'Status oficina'!$A$2:$C$208,3,FALSE)</f>
        <v>Cierre temporal</v>
      </c>
    </row>
    <row r="318" spans="1:23" ht="13.5" customHeight="1" x14ac:dyDescent="0.25">
      <c r="A318" s="53" t="s">
        <v>868</v>
      </c>
      <c r="B318" s="53" t="s">
        <v>439</v>
      </c>
      <c r="C318" s="120">
        <v>9895</v>
      </c>
      <c r="D318" s="14" t="s">
        <v>449</v>
      </c>
      <c r="E318" s="14" t="s">
        <v>417</v>
      </c>
      <c r="F318" s="14" t="s">
        <v>450</v>
      </c>
      <c r="G318" s="14" t="s">
        <v>36</v>
      </c>
      <c r="H318" s="55">
        <v>512688</v>
      </c>
      <c r="I318" s="55">
        <v>512688</v>
      </c>
      <c r="J318" s="55">
        <f t="shared" si="20"/>
        <v>0</v>
      </c>
      <c r="K318" s="55">
        <v>512688</v>
      </c>
      <c r="L318" s="55">
        <f t="shared" si="21"/>
        <v>0</v>
      </c>
      <c r="M318" s="55">
        <f>VLOOKUP(G318,'[1]01-09 al 30-09'!$G:$AI,29,FALSE)</f>
        <v>512688</v>
      </c>
      <c r="N318" s="55">
        <f t="shared" si="22"/>
        <v>0</v>
      </c>
      <c r="O318" s="55">
        <f>VLOOKUP(G318,'[1]01-09 al 30-09'!$G:$AS,39,FALSE)</f>
        <v>512688</v>
      </c>
      <c r="P318" s="55">
        <f t="shared" si="23"/>
        <v>0</v>
      </c>
      <c r="Q318" s="55"/>
      <c r="R318" s="55"/>
      <c r="S318" s="90">
        <f t="shared" si="24"/>
        <v>0</v>
      </c>
      <c r="T318" s="89">
        <v>46146</v>
      </c>
      <c r="U318" s="14" t="s">
        <v>2455</v>
      </c>
      <c r="V318" s="105" t="s">
        <v>2238</v>
      </c>
      <c r="W318" s="105" t="str">
        <f>VLOOKUP(C318,'Status oficina'!$A$2:$C$208,3,FALSE)</f>
        <v>Cierre definitivo</v>
      </c>
    </row>
    <row r="319" spans="1:23" ht="13.5" customHeight="1" x14ac:dyDescent="0.25">
      <c r="A319" s="14" t="s">
        <v>939</v>
      </c>
      <c r="B319" s="14" t="s">
        <v>1040</v>
      </c>
      <c r="C319" s="120">
        <v>9647</v>
      </c>
      <c r="D319" s="14" t="s">
        <v>1041</v>
      </c>
      <c r="E319" s="14" t="s">
        <v>417</v>
      </c>
      <c r="F319" s="14" t="s">
        <v>1455</v>
      </c>
      <c r="G319" s="14" t="s">
        <v>126</v>
      </c>
      <c r="H319" s="55">
        <v>318056</v>
      </c>
      <c r="I319" s="55">
        <v>318448</v>
      </c>
      <c r="J319" s="55">
        <f t="shared" si="20"/>
        <v>392</v>
      </c>
      <c r="K319" s="55">
        <v>318794</v>
      </c>
      <c r="L319" s="55">
        <f t="shared" si="21"/>
        <v>346</v>
      </c>
      <c r="M319" s="55">
        <f>VLOOKUP(G319,'[1]01-09 al 30-09'!$G:$AI,29,FALSE)</f>
        <v>319202</v>
      </c>
      <c r="N319" s="55">
        <f t="shared" si="22"/>
        <v>408</v>
      </c>
      <c r="O319" s="55">
        <f>VLOOKUP(G319,'[1]01-09 al 30-09'!$G:$AS,39,FALSE)</f>
        <v>319677</v>
      </c>
      <c r="P319" s="55">
        <f t="shared" si="23"/>
        <v>475</v>
      </c>
      <c r="Q319" s="55"/>
      <c r="R319" s="55"/>
      <c r="S319" s="90">
        <f t="shared" si="24"/>
        <v>1621</v>
      </c>
      <c r="T319" s="89">
        <v>46146</v>
      </c>
      <c r="U319" s="14"/>
      <c r="V319" s="105" t="s">
        <v>2375</v>
      </c>
      <c r="W319" s="105" t="s">
        <v>2228</v>
      </c>
    </row>
    <row r="320" spans="1:23" ht="13.5" customHeight="1" x14ac:dyDescent="0.25">
      <c r="A320" s="14" t="s">
        <v>2082</v>
      </c>
      <c r="B320" s="14" t="s">
        <v>631</v>
      </c>
      <c r="C320" s="120">
        <v>9835</v>
      </c>
      <c r="D320" s="14" t="s">
        <v>632</v>
      </c>
      <c r="E320" s="14" t="s">
        <v>417</v>
      </c>
      <c r="F320" s="14" t="s">
        <v>1193</v>
      </c>
      <c r="G320" s="14" t="s">
        <v>166</v>
      </c>
      <c r="H320" s="55">
        <v>561046</v>
      </c>
      <c r="I320" s="55">
        <v>562518</v>
      </c>
      <c r="J320" s="55">
        <f t="shared" si="20"/>
        <v>1472</v>
      </c>
      <c r="K320" s="55">
        <v>564242</v>
      </c>
      <c r="L320" s="55">
        <f t="shared" si="21"/>
        <v>1724</v>
      </c>
      <c r="M320" s="55">
        <f>VLOOKUP(G320,'[1]01-09 al 30-09'!$G:$AI,29,FALSE)</f>
        <v>565757</v>
      </c>
      <c r="N320" s="55">
        <f t="shared" si="22"/>
        <v>1515</v>
      </c>
      <c r="O320" s="55">
        <f>VLOOKUP(G320,'[1]01-09 al 30-09'!$G:$AS,39,FALSE)</f>
        <v>567872</v>
      </c>
      <c r="P320" s="55">
        <f t="shared" si="23"/>
        <v>2115</v>
      </c>
      <c r="Q320" s="55"/>
      <c r="R320" s="55"/>
      <c r="S320" s="90">
        <f t="shared" si="24"/>
        <v>6826</v>
      </c>
      <c r="T320" s="89">
        <v>46146</v>
      </c>
      <c r="U320" s="14"/>
      <c r="V320" s="105" t="s">
        <v>2375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939</v>
      </c>
      <c r="B321" s="14" t="s">
        <v>980</v>
      </c>
      <c r="C321" s="123">
        <v>9655</v>
      </c>
      <c r="D321" s="14" t="s">
        <v>982</v>
      </c>
      <c r="E321" s="14" t="s">
        <v>417</v>
      </c>
      <c r="F321" s="14" t="s">
        <v>1419</v>
      </c>
      <c r="G321" s="14" t="s">
        <v>118</v>
      </c>
      <c r="H321" s="55">
        <v>1039914</v>
      </c>
      <c r="I321" s="55">
        <v>1041899</v>
      </c>
      <c r="J321" s="55">
        <f t="shared" si="20"/>
        <v>1985</v>
      </c>
      <c r="K321" s="55">
        <v>1044225</v>
      </c>
      <c r="L321" s="55">
        <f t="shared" si="21"/>
        <v>2326</v>
      </c>
      <c r="M321" s="55">
        <f>VLOOKUP(G321,'[1]01-09 al 30-09'!$G:$AI,29,FALSE)</f>
        <v>1045878</v>
      </c>
      <c r="N321" s="55">
        <f t="shared" si="22"/>
        <v>1653</v>
      </c>
      <c r="O321" s="55">
        <f>VLOOKUP(G321,'[1]01-09 al 30-09'!$G:$AS,39,FALSE)</f>
        <v>1048053</v>
      </c>
      <c r="P321" s="55">
        <f t="shared" si="23"/>
        <v>2175</v>
      </c>
      <c r="Q321" s="55"/>
      <c r="R321" s="55"/>
      <c r="S321" s="90">
        <f t="shared" si="24"/>
        <v>8139</v>
      </c>
      <c r="T321" s="89">
        <v>46146</v>
      </c>
      <c r="U321" s="14"/>
      <c r="V321" s="108" t="s">
        <v>2375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939</v>
      </c>
      <c r="B322" s="14" t="s">
        <v>1025</v>
      </c>
      <c r="C322" s="120">
        <v>9503</v>
      </c>
      <c r="D322" s="14" t="s">
        <v>1026</v>
      </c>
      <c r="E322" s="14" t="s">
        <v>417</v>
      </c>
      <c r="F322" s="14" t="s">
        <v>1444</v>
      </c>
      <c r="G322" s="12" t="s">
        <v>76</v>
      </c>
      <c r="H322" s="55">
        <v>504691</v>
      </c>
      <c r="I322" s="55">
        <v>505198</v>
      </c>
      <c r="J322" s="55">
        <f t="shared" si="20"/>
        <v>507</v>
      </c>
      <c r="K322" s="55">
        <v>505414</v>
      </c>
      <c r="L322" s="55">
        <f t="shared" si="21"/>
        <v>216</v>
      </c>
      <c r="M322" s="55">
        <f>VLOOKUP(G322,'[1]01-09 al 30-09'!$G:$AI,29,FALSE)</f>
        <v>505705</v>
      </c>
      <c r="N322" s="55">
        <f t="shared" si="22"/>
        <v>291</v>
      </c>
      <c r="O322" s="55">
        <f>VLOOKUP(G322,'[1]01-09 al 30-09'!$G:$AS,39,FALSE)</f>
        <v>506032</v>
      </c>
      <c r="P322" s="55">
        <f t="shared" si="23"/>
        <v>327</v>
      </c>
      <c r="Q322" s="55"/>
      <c r="R322" s="55"/>
      <c r="S322" s="90">
        <f t="shared" si="24"/>
        <v>1341</v>
      </c>
      <c r="T322" s="89">
        <v>46146</v>
      </c>
      <c r="U322" s="14"/>
      <c r="V322" s="108" t="s">
        <v>2375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939</v>
      </c>
      <c r="B323" s="14" t="s">
        <v>1043</v>
      </c>
      <c r="C323" s="19">
        <v>9650</v>
      </c>
      <c r="D323" s="53" t="s">
        <v>1044</v>
      </c>
      <c r="E323" s="53" t="s">
        <v>417</v>
      </c>
      <c r="F323" s="110" t="s">
        <v>1447</v>
      </c>
      <c r="G323" s="53" t="s">
        <v>120</v>
      </c>
      <c r="H323" s="55">
        <v>730752</v>
      </c>
      <c r="I323" s="55">
        <v>732156</v>
      </c>
      <c r="J323" s="55">
        <f t="shared" ref="J323:J326" si="25">I323-H323</f>
        <v>1404</v>
      </c>
      <c r="K323" s="55">
        <v>733262</v>
      </c>
      <c r="L323" s="55">
        <f t="shared" ref="L323:L326" si="26">K323-I323</f>
        <v>1106</v>
      </c>
      <c r="M323" s="55">
        <f>VLOOKUP(G323,'[1]01-09 al 30-09'!$G:$AI,29,FALSE)</f>
        <v>734386</v>
      </c>
      <c r="N323" s="55">
        <f t="shared" ref="N323:N326" si="27">M323-K323</f>
        <v>1124</v>
      </c>
      <c r="O323" s="55">
        <f>VLOOKUP(G323,'[1]01-09 al 30-09'!$G:$AS,39,FALSE)</f>
        <v>735545</v>
      </c>
      <c r="P323" s="55">
        <f t="shared" ref="P323:P326" si="28">O323-M323</f>
        <v>1159</v>
      </c>
      <c r="Q323" s="55"/>
      <c r="R323" s="55"/>
      <c r="S323" s="90">
        <f t="shared" ref="S323:S326" si="29">R323+P323+N323+L323+J323</f>
        <v>4793</v>
      </c>
      <c r="T323" s="89">
        <v>46146</v>
      </c>
      <c r="U323" s="59"/>
      <c r="V323" s="105" t="s">
        <v>2375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939</v>
      </c>
      <c r="B324" s="14" t="s">
        <v>1046</v>
      </c>
      <c r="C324" s="120">
        <v>9675</v>
      </c>
      <c r="D324" s="14" t="s">
        <v>1048</v>
      </c>
      <c r="E324" s="14" t="s">
        <v>417</v>
      </c>
      <c r="F324" s="13" t="s">
        <v>1460</v>
      </c>
      <c r="G324" s="14" t="s">
        <v>112</v>
      </c>
      <c r="H324" s="55">
        <v>408551</v>
      </c>
      <c r="I324" s="55">
        <v>409577</v>
      </c>
      <c r="J324" s="55">
        <f t="shared" si="25"/>
        <v>1026</v>
      </c>
      <c r="K324" s="55">
        <v>410497</v>
      </c>
      <c r="L324" s="55">
        <f t="shared" si="26"/>
        <v>920</v>
      </c>
      <c r="M324" s="55">
        <f>VLOOKUP(G324,'[1]01-09 al 30-09'!$G:$AI,29,FALSE)</f>
        <v>411132</v>
      </c>
      <c r="N324" s="55">
        <f t="shared" si="27"/>
        <v>635</v>
      </c>
      <c r="O324" s="55">
        <f>VLOOKUP(G324,'[1]01-09 al 30-09'!$G:$AS,39,FALSE)</f>
        <v>411687</v>
      </c>
      <c r="P324" s="55">
        <f t="shared" si="28"/>
        <v>555</v>
      </c>
      <c r="Q324" s="55"/>
      <c r="R324" s="55"/>
      <c r="S324" s="90">
        <f t="shared" si="29"/>
        <v>3136</v>
      </c>
      <c r="T324" s="89">
        <v>46146</v>
      </c>
      <c r="U324" s="14"/>
      <c r="V324" s="108" t="s">
        <v>2375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939</v>
      </c>
      <c r="B325" s="14" t="s">
        <v>1035</v>
      </c>
      <c r="C325" s="120">
        <v>9510</v>
      </c>
      <c r="D325" s="14" t="s">
        <v>1039</v>
      </c>
      <c r="E325" s="14" t="s">
        <v>417</v>
      </c>
      <c r="F325" s="13" t="s">
        <v>1452</v>
      </c>
      <c r="G325" s="14" t="s">
        <v>389</v>
      </c>
      <c r="H325" s="55">
        <v>227796</v>
      </c>
      <c r="I325" s="55">
        <v>227919</v>
      </c>
      <c r="J325" s="55">
        <f t="shared" si="25"/>
        <v>123</v>
      </c>
      <c r="K325" s="55">
        <v>228040</v>
      </c>
      <c r="L325" s="55">
        <f t="shared" si="26"/>
        <v>121</v>
      </c>
      <c r="M325" s="55">
        <f>VLOOKUP(G325,'[1]01-09 al 30-09'!$G:$AI,29,FALSE)</f>
        <v>228270</v>
      </c>
      <c r="N325" s="55">
        <f t="shared" si="27"/>
        <v>230</v>
      </c>
      <c r="O325" s="55">
        <f>VLOOKUP(G325,'[1]01-09 al 30-09'!$G:$AS,39,FALSE)</f>
        <v>228386</v>
      </c>
      <c r="P325" s="55">
        <f t="shared" si="28"/>
        <v>116</v>
      </c>
      <c r="Q325" s="55"/>
      <c r="R325" s="55"/>
      <c r="S325" s="90">
        <f t="shared" si="29"/>
        <v>590</v>
      </c>
      <c r="T325" s="89">
        <v>46146</v>
      </c>
      <c r="U325" s="14"/>
      <c r="V325" s="108" t="s">
        <v>2375</v>
      </c>
      <c r="W325" s="105" t="str">
        <f>VLOOKUP(C325,'Status oficina'!$A$2:$C$208,3,FALSE)</f>
        <v>Activa</v>
      </c>
    </row>
    <row r="326" spans="1:23" ht="13.5" customHeight="1" x14ac:dyDescent="0.25">
      <c r="A326" s="14" t="s">
        <v>939</v>
      </c>
      <c r="B326" s="14" t="s">
        <v>949</v>
      </c>
      <c r="C326" s="120">
        <v>9560</v>
      </c>
      <c r="D326" s="14" t="s">
        <v>953</v>
      </c>
      <c r="E326" s="14" t="s">
        <v>417</v>
      </c>
      <c r="F326" s="13" t="s">
        <v>1423</v>
      </c>
      <c r="G326" s="14" t="s">
        <v>189</v>
      </c>
      <c r="H326" s="55">
        <v>678235</v>
      </c>
      <c r="I326" s="55">
        <v>679868</v>
      </c>
      <c r="J326" s="55">
        <f t="shared" si="25"/>
        <v>1633</v>
      </c>
      <c r="K326" s="55">
        <v>681570</v>
      </c>
      <c r="L326" s="55">
        <f t="shared" si="26"/>
        <v>1702</v>
      </c>
      <c r="M326" s="55">
        <f>VLOOKUP(G326,'[1]01-09 al 30-09'!$G:$AI,29,FALSE)</f>
        <v>683025</v>
      </c>
      <c r="N326" s="55">
        <f t="shared" si="27"/>
        <v>1455</v>
      </c>
      <c r="O326" s="55">
        <f>VLOOKUP(G326,'[1]01-09 al 30-09'!$G:$AS,39,FALSE)</f>
        <v>684907</v>
      </c>
      <c r="P326" s="55">
        <f t="shared" si="28"/>
        <v>1882</v>
      </c>
      <c r="Q326" s="55"/>
      <c r="R326" s="55"/>
      <c r="S326" s="90">
        <f t="shared" si="29"/>
        <v>6672</v>
      </c>
      <c r="T326" s="89">
        <v>46146</v>
      </c>
      <c r="U326" s="14"/>
      <c r="V326" s="105" t="s">
        <v>2375</v>
      </c>
      <c r="W326" s="105" t="s">
        <v>2228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78" priority="1661"/>
    <cfRule type="duplicateValues" dxfId="777" priority="1662"/>
  </conditionalFormatting>
  <conditionalFormatting sqref="F208">
    <cfRule type="duplicateValues" dxfId="776" priority="1663"/>
  </conditionalFormatting>
  <conditionalFormatting sqref="F97">
    <cfRule type="duplicateValues" dxfId="775" priority="1655"/>
    <cfRule type="duplicateValues" dxfId="774" priority="1656"/>
  </conditionalFormatting>
  <conditionalFormatting sqref="F97">
    <cfRule type="duplicateValues" dxfId="773" priority="1657"/>
  </conditionalFormatting>
  <conditionalFormatting sqref="H2:T326">
    <cfRule type="cellIs" dxfId="31" priority="1654" operator="equal">
      <formula>0</formula>
    </cfRule>
  </conditionalFormatting>
  <conditionalFormatting sqref="F132">
    <cfRule type="duplicateValues" dxfId="772" priority="1640"/>
    <cfRule type="duplicateValues" dxfId="771" priority="1641"/>
  </conditionalFormatting>
  <conditionalFormatting sqref="F132">
    <cfRule type="duplicateValues" dxfId="770" priority="1642"/>
  </conditionalFormatting>
  <conditionalFormatting sqref="F28">
    <cfRule type="duplicateValues" dxfId="769" priority="1635"/>
    <cfRule type="duplicateValues" dxfId="768" priority="1636"/>
  </conditionalFormatting>
  <conditionalFormatting sqref="F28">
    <cfRule type="duplicateValues" dxfId="767" priority="1637"/>
  </conditionalFormatting>
  <conditionalFormatting sqref="F302">
    <cfRule type="duplicateValues" dxfId="766" priority="1625"/>
    <cfRule type="duplicateValues" dxfId="765" priority="1626"/>
  </conditionalFormatting>
  <conditionalFormatting sqref="F302">
    <cfRule type="duplicateValues" dxfId="764" priority="1627"/>
  </conditionalFormatting>
  <conditionalFormatting sqref="F183">
    <cfRule type="duplicateValues" dxfId="763" priority="1581"/>
    <cfRule type="duplicateValues" dxfId="762" priority="1582"/>
  </conditionalFormatting>
  <conditionalFormatting sqref="F183">
    <cfRule type="duplicateValues" dxfId="761" priority="1583"/>
  </conditionalFormatting>
  <conditionalFormatting sqref="F186">
    <cfRule type="duplicateValues" dxfId="760" priority="1577"/>
    <cfRule type="duplicateValues" dxfId="759" priority="1578"/>
  </conditionalFormatting>
  <conditionalFormatting sqref="F186">
    <cfRule type="duplicateValues" dxfId="758" priority="1579"/>
  </conditionalFormatting>
  <conditionalFormatting sqref="F323">
    <cfRule type="duplicateValues" dxfId="757" priority="1479"/>
  </conditionalFormatting>
  <conditionalFormatting sqref="F323">
    <cfRule type="duplicateValues" dxfId="756" priority="1476"/>
  </conditionalFormatting>
  <conditionalFormatting sqref="F323">
    <cfRule type="duplicateValues" dxfId="755" priority="1477"/>
    <cfRule type="duplicateValues" dxfId="754" priority="1478"/>
  </conditionalFormatting>
  <conditionalFormatting sqref="F263">
    <cfRule type="duplicateValues" dxfId="753" priority="1464"/>
  </conditionalFormatting>
  <conditionalFormatting sqref="F263">
    <cfRule type="duplicateValues" dxfId="752" priority="1465"/>
    <cfRule type="duplicateValues" dxfId="751" priority="1466"/>
  </conditionalFormatting>
  <conditionalFormatting sqref="F1">
    <cfRule type="duplicateValues" dxfId="750" priority="1100"/>
  </conditionalFormatting>
  <conditionalFormatting sqref="F324">
    <cfRule type="duplicateValues" dxfId="749" priority="397"/>
  </conditionalFormatting>
  <conditionalFormatting sqref="F324">
    <cfRule type="duplicateValues" dxfId="748" priority="394"/>
  </conditionalFormatting>
  <conditionalFormatting sqref="F324">
    <cfRule type="duplicateValues" dxfId="747" priority="395"/>
    <cfRule type="duplicateValues" dxfId="746" priority="396"/>
  </conditionalFormatting>
  <conditionalFormatting sqref="F325:F326">
    <cfRule type="duplicateValues" dxfId="745" priority="391"/>
  </conditionalFormatting>
  <conditionalFormatting sqref="F325:F326">
    <cfRule type="duplicateValues" dxfId="744" priority="388"/>
  </conditionalFormatting>
  <conditionalFormatting sqref="F325:F326">
    <cfRule type="duplicateValues" dxfId="743" priority="389"/>
    <cfRule type="duplicateValues" dxfId="742" priority="390"/>
  </conditionalFormatting>
  <conditionalFormatting sqref="F188">
    <cfRule type="duplicateValues" dxfId="741" priority="178"/>
    <cfRule type="duplicateValues" dxfId="740" priority="179"/>
  </conditionalFormatting>
  <conditionalFormatting sqref="F188">
    <cfRule type="duplicateValues" dxfId="739" priority="180"/>
  </conditionalFormatting>
  <conditionalFormatting sqref="F188">
    <cfRule type="duplicateValues" dxfId="738" priority="181"/>
  </conditionalFormatting>
  <conditionalFormatting sqref="F303:F322 F218:F230 F2:F3 F184:F185 F187 F209:F216 F264:F301 F232:F262 F10:F27 F133:F182 F29:F51 F189:F207 F98:F131 F53:F96">
    <cfRule type="duplicateValues" dxfId="737" priority="1895"/>
    <cfRule type="duplicateValues" dxfId="736" priority="1896"/>
  </conditionalFormatting>
  <conditionalFormatting sqref="F303:F322 F218:F230 F2:F3 F184:F185 F187 F209:F216 F264:F301 F232:F262 F10:F27 F133:F182 F29:F51 F189:F207 F98:F131 F53:F96">
    <cfRule type="duplicateValues" dxfId="735" priority="1925"/>
  </conditionalFormatting>
  <conditionalFormatting sqref="F52">
    <cfRule type="duplicateValues" dxfId="734" priority="73"/>
    <cfRule type="duplicateValues" dxfId="733" priority="74"/>
  </conditionalFormatting>
  <conditionalFormatting sqref="F52">
    <cfRule type="duplicateValues" dxfId="732" priority="75"/>
  </conditionalFormatting>
  <conditionalFormatting sqref="F52">
    <cfRule type="duplicateValues" dxfId="731" priority="76"/>
  </conditionalFormatting>
  <conditionalFormatting sqref="F264:F322 F184:F185 F2:F3 F232:F262 F187 F10:F51 F189:F230 F53:F182">
    <cfRule type="duplicateValues" dxfId="730" priority="1988"/>
  </conditionalFormatting>
  <conditionalFormatting sqref="F4:F9">
    <cfRule type="duplicateValues" dxfId="729" priority="1991"/>
  </conditionalFormatting>
  <conditionalFormatting sqref="F4:F9">
    <cfRule type="duplicateValues" dxfId="728" priority="1993"/>
    <cfRule type="duplicateValues" dxfId="727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409</v>
      </c>
      <c r="B1" s="112" t="s">
        <v>409</v>
      </c>
    </row>
    <row r="2" spans="1:3" x14ac:dyDescent="0.25">
      <c r="A2" s="14" t="s">
        <v>1218</v>
      </c>
      <c r="B2" s="113" t="s">
        <v>1218</v>
      </c>
      <c r="C2" t="b">
        <f>IF(A2=B2,TRUE,FALSE)</f>
        <v>1</v>
      </c>
    </row>
    <row r="3" spans="1:3" x14ac:dyDescent="0.25">
      <c r="A3" s="14" t="s">
        <v>1028</v>
      </c>
      <c r="B3" s="113" t="s">
        <v>1028</v>
      </c>
      <c r="C3" s="3" t="b">
        <f t="shared" ref="C3:C66" si="0">IF(A3=B3,TRUE,FALSE)</f>
        <v>1</v>
      </c>
    </row>
    <row r="4" spans="1:3" x14ac:dyDescent="0.25">
      <c r="A4" s="53" t="s">
        <v>1074</v>
      </c>
      <c r="B4" s="113" t="s">
        <v>1074</v>
      </c>
      <c r="C4" s="3" t="b">
        <f t="shared" si="0"/>
        <v>1</v>
      </c>
    </row>
    <row r="5" spans="1:3" x14ac:dyDescent="0.25">
      <c r="A5" s="14" t="s">
        <v>1200</v>
      </c>
      <c r="B5" s="113" t="s">
        <v>1200</v>
      </c>
      <c r="C5" s="3" t="b">
        <f t="shared" si="0"/>
        <v>1</v>
      </c>
    </row>
    <row r="6" spans="1:3" x14ac:dyDescent="0.25">
      <c r="A6" s="14" t="s">
        <v>986</v>
      </c>
      <c r="B6" s="113" t="s">
        <v>986</v>
      </c>
      <c r="C6" s="3" t="b">
        <f t="shared" si="0"/>
        <v>1</v>
      </c>
    </row>
    <row r="7" spans="1:3" x14ac:dyDescent="0.25">
      <c r="A7" s="14" t="s">
        <v>1217</v>
      </c>
      <c r="B7" s="113" t="s">
        <v>1217</v>
      </c>
      <c r="C7" s="3" t="b">
        <f t="shared" si="0"/>
        <v>1</v>
      </c>
    </row>
    <row r="8" spans="1:3" x14ac:dyDescent="0.25">
      <c r="A8" s="14" t="s">
        <v>1135</v>
      </c>
      <c r="B8" s="113" t="s">
        <v>1135</v>
      </c>
      <c r="C8" s="3" t="b">
        <f t="shared" si="0"/>
        <v>1</v>
      </c>
    </row>
    <row r="9" spans="1:3" x14ac:dyDescent="0.25">
      <c r="A9" s="14" t="s">
        <v>1993</v>
      </c>
      <c r="B9" s="113" t="s">
        <v>1993</v>
      </c>
      <c r="C9" s="3" t="b">
        <f t="shared" si="0"/>
        <v>1</v>
      </c>
    </row>
    <row r="10" spans="1:3" x14ac:dyDescent="0.25">
      <c r="A10" s="14" t="s">
        <v>1075</v>
      </c>
      <c r="B10" s="113" t="s">
        <v>1075</v>
      </c>
      <c r="C10" s="3" t="b">
        <f t="shared" si="0"/>
        <v>1</v>
      </c>
    </row>
    <row r="11" spans="1:3" x14ac:dyDescent="0.25">
      <c r="A11" s="14" t="s">
        <v>1234</v>
      </c>
      <c r="B11" s="113" t="s">
        <v>1234</v>
      </c>
      <c r="C11" s="3" t="b">
        <f t="shared" si="0"/>
        <v>1</v>
      </c>
    </row>
    <row r="12" spans="1:3" x14ac:dyDescent="0.25">
      <c r="A12" s="14" t="s">
        <v>1466</v>
      </c>
      <c r="B12" s="113" t="s">
        <v>1466</v>
      </c>
      <c r="C12" s="3" t="b">
        <f t="shared" si="0"/>
        <v>1</v>
      </c>
    </row>
    <row r="13" spans="1:3" x14ac:dyDescent="0.25">
      <c r="A13" s="14" t="s">
        <v>1215</v>
      </c>
      <c r="B13" s="113" t="s">
        <v>1215</v>
      </c>
      <c r="C13" s="3" t="b">
        <f t="shared" si="0"/>
        <v>1</v>
      </c>
    </row>
    <row r="14" spans="1:3" x14ac:dyDescent="0.25">
      <c r="A14" s="14" t="s">
        <v>2212</v>
      </c>
      <c r="B14" s="113" t="s">
        <v>2212</v>
      </c>
      <c r="C14" s="3" t="b">
        <f t="shared" si="0"/>
        <v>1</v>
      </c>
    </row>
    <row r="15" spans="1:3" x14ac:dyDescent="0.25">
      <c r="A15" s="14" t="s">
        <v>656</v>
      </c>
      <c r="B15" s="113" t="s">
        <v>656</v>
      </c>
      <c r="C15" s="3" t="b">
        <f t="shared" si="0"/>
        <v>1</v>
      </c>
    </row>
    <row r="16" spans="1:3" x14ac:dyDescent="0.25">
      <c r="A16" s="53" t="s">
        <v>1064</v>
      </c>
      <c r="B16" s="113" t="s">
        <v>1064</v>
      </c>
      <c r="C16" s="3" t="b">
        <f t="shared" si="0"/>
        <v>1</v>
      </c>
    </row>
    <row r="17" spans="1:3" x14ac:dyDescent="0.25">
      <c r="A17" s="14" t="s">
        <v>1072</v>
      </c>
      <c r="B17" s="113" t="s">
        <v>1072</v>
      </c>
      <c r="C17" s="3" t="b">
        <f t="shared" si="0"/>
        <v>1</v>
      </c>
    </row>
    <row r="18" spans="1:3" x14ac:dyDescent="0.25">
      <c r="A18" s="14" t="s">
        <v>1079</v>
      </c>
      <c r="B18" s="113" t="s">
        <v>1079</v>
      </c>
      <c r="C18" s="3" t="b">
        <f t="shared" si="0"/>
        <v>1</v>
      </c>
    </row>
    <row r="19" spans="1:3" x14ac:dyDescent="0.25">
      <c r="A19" s="14" t="s">
        <v>1081</v>
      </c>
      <c r="B19" s="113" t="s">
        <v>1081</v>
      </c>
      <c r="C19" s="3" t="b">
        <f t="shared" si="0"/>
        <v>1</v>
      </c>
    </row>
    <row r="20" spans="1:3" x14ac:dyDescent="0.25">
      <c r="A20" s="14" t="s">
        <v>1114</v>
      </c>
      <c r="B20" s="113" t="s">
        <v>1114</v>
      </c>
      <c r="C20" s="3" t="b">
        <f t="shared" si="0"/>
        <v>1</v>
      </c>
    </row>
    <row r="21" spans="1:3" x14ac:dyDescent="0.25">
      <c r="A21" s="14" t="s">
        <v>1130</v>
      </c>
      <c r="B21" s="113" t="s">
        <v>1130</v>
      </c>
      <c r="C21" s="3" t="b">
        <f t="shared" si="0"/>
        <v>1</v>
      </c>
    </row>
    <row r="22" spans="1:3" x14ac:dyDescent="0.25">
      <c r="A22" s="14" t="s">
        <v>1109</v>
      </c>
      <c r="B22" s="113" t="s">
        <v>1109</v>
      </c>
      <c r="C22" s="3" t="b">
        <f t="shared" si="0"/>
        <v>1</v>
      </c>
    </row>
    <row r="23" spans="1:3" x14ac:dyDescent="0.25">
      <c r="A23" s="14" t="s">
        <v>1303</v>
      </c>
      <c r="B23" s="113" t="s">
        <v>1303</v>
      </c>
      <c r="C23" s="3" t="b">
        <f t="shared" si="0"/>
        <v>1</v>
      </c>
    </row>
    <row r="24" spans="1:3" x14ac:dyDescent="0.25">
      <c r="A24" s="14" t="s">
        <v>1103</v>
      </c>
      <c r="B24" s="113" t="s">
        <v>1103</v>
      </c>
      <c r="C24" s="3" t="b">
        <f t="shared" si="0"/>
        <v>1</v>
      </c>
    </row>
    <row r="25" spans="1:3" x14ac:dyDescent="0.25">
      <c r="A25" s="14" t="s">
        <v>1292</v>
      </c>
      <c r="B25" s="113" t="s">
        <v>1292</v>
      </c>
      <c r="C25" s="3" t="b">
        <f t="shared" si="0"/>
        <v>1</v>
      </c>
    </row>
    <row r="26" spans="1:3" x14ac:dyDescent="0.25">
      <c r="A26" s="14" t="s">
        <v>1335</v>
      </c>
      <c r="B26" s="113" t="s">
        <v>1335</v>
      </c>
      <c r="C26" s="3" t="b">
        <f t="shared" si="0"/>
        <v>1</v>
      </c>
    </row>
    <row r="27" spans="1:3" x14ac:dyDescent="0.25">
      <c r="A27" s="14" t="s">
        <v>1251</v>
      </c>
      <c r="B27" s="113" t="s">
        <v>1251</v>
      </c>
      <c r="C27" s="3" t="b">
        <f t="shared" si="0"/>
        <v>1</v>
      </c>
    </row>
    <row r="28" spans="1:3" x14ac:dyDescent="0.25">
      <c r="A28" s="14" t="s">
        <v>1424</v>
      </c>
      <c r="B28" s="113" t="s">
        <v>1424</v>
      </c>
      <c r="C28" s="3" t="b">
        <f t="shared" si="0"/>
        <v>1</v>
      </c>
    </row>
    <row r="29" spans="1:3" x14ac:dyDescent="0.25">
      <c r="A29" s="14" t="s">
        <v>1125</v>
      </c>
      <c r="B29" s="113" t="s">
        <v>1125</v>
      </c>
      <c r="C29" s="3" t="b">
        <f t="shared" si="0"/>
        <v>1</v>
      </c>
    </row>
    <row r="30" spans="1:3" x14ac:dyDescent="0.25">
      <c r="A30" s="14" t="s">
        <v>602</v>
      </c>
      <c r="B30" s="113" t="s">
        <v>602</v>
      </c>
      <c r="C30" s="3" t="b">
        <f t="shared" si="0"/>
        <v>1</v>
      </c>
    </row>
    <row r="31" spans="1:3" x14ac:dyDescent="0.25">
      <c r="A31" s="54" t="s">
        <v>1187</v>
      </c>
      <c r="B31" s="113" t="s">
        <v>1187</v>
      </c>
      <c r="C31" s="3" t="b">
        <f t="shared" si="0"/>
        <v>1</v>
      </c>
    </row>
    <row r="32" spans="1:3" x14ac:dyDescent="0.25">
      <c r="A32" s="14" t="s">
        <v>1297</v>
      </c>
      <c r="B32" s="113" t="s">
        <v>1297</v>
      </c>
      <c r="C32" s="3" t="b">
        <f t="shared" si="0"/>
        <v>1</v>
      </c>
    </row>
    <row r="33" spans="1:3" x14ac:dyDescent="0.25">
      <c r="A33" s="14" t="s">
        <v>1263</v>
      </c>
      <c r="B33" s="113" t="s">
        <v>1263</v>
      </c>
      <c r="C33" s="3" t="b">
        <f t="shared" si="0"/>
        <v>1</v>
      </c>
    </row>
    <row r="34" spans="1:3" x14ac:dyDescent="0.25">
      <c r="A34" s="14" t="s">
        <v>1300</v>
      </c>
      <c r="B34" s="113" t="s">
        <v>1300</v>
      </c>
      <c r="C34" s="3" t="b">
        <f t="shared" si="0"/>
        <v>1</v>
      </c>
    </row>
    <row r="35" spans="1:3" x14ac:dyDescent="0.25">
      <c r="A35" s="14" t="s">
        <v>1378</v>
      </c>
      <c r="B35" s="113" t="s">
        <v>1378</v>
      </c>
      <c r="C35" s="3" t="b">
        <f t="shared" si="0"/>
        <v>1</v>
      </c>
    </row>
    <row r="36" spans="1:3" x14ac:dyDescent="0.25">
      <c r="A36" s="14" t="s">
        <v>1414</v>
      </c>
      <c r="B36" s="113" t="s">
        <v>1414</v>
      </c>
      <c r="C36" s="3" t="b">
        <f t="shared" si="0"/>
        <v>1</v>
      </c>
    </row>
    <row r="37" spans="1:3" x14ac:dyDescent="0.25">
      <c r="A37" s="14" t="s">
        <v>1352</v>
      </c>
      <c r="B37" s="113" t="s">
        <v>1352</v>
      </c>
      <c r="C37" s="3" t="b">
        <f t="shared" si="0"/>
        <v>1</v>
      </c>
    </row>
    <row r="38" spans="1:3" x14ac:dyDescent="0.25">
      <c r="A38" s="14" t="s">
        <v>1369</v>
      </c>
      <c r="B38" s="113" t="s">
        <v>1369</v>
      </c>
      <c r="C38" s="3" t="b">
        <f t="shared" si="0"/>
        <v>1</v>
      </c>
    </row>
    <row r="39" spans="1:3" x14ac:dyDescent="0.25">
      <c r="A39" s="53" t="s">
        <v>1091</v>
      </c>
      <c r="B39" s="113" t="s">
        <v>1091</v>
      </c>
      <c r="C39" s="3" t="b">
        <f t="shared" si="0"/>
        <v>1</v>
      </c>
    </row>
    <row r="40" spans="1:3" x14ac:dyDescent="0.25">
      <c r="A40" s="14" t="s">
        <v>1121</v>
      </c>
      <c r="B40" s="113" t="s">
        <v>1121</v>
      </c>
      <c r="C40" s="3" t="b">
        <f t="shared" si="0"/>
        <v>1</v>
      </c>
    </row>
    <row r="41" spans="1:3" x14ac:dyDescent="0.25">
      <c r="A41" s="14" t="s">
        <v>1990</v>
      </c>
      <c r="B41" s="113" t="s">
        <v>1990</v>
      </c>
      <c r="C41" s="3" t="b">
        <f t="shared" si="0"/>
        <v>1</v>
      </c>
    </row>
    <row r="42" spans="1:3" x14ac:dyDescent="0.25">
      <c r="A42" s="14" t="s">
        <v>1350</v>
      </c>
      <c r="B42" s="113" t="s">
        <v>1350</v>
      </c>
      <c r="C42" s="3" t="b">
        <f t="shared" si="0"/>
        <v>1</v>
      </c>
    </row>
    <row r="43" spans="1:3" x14ac:dyDescent="0.25">
      <c r="A43" s="14" t="s">
        <v>1380</v>
      </c>
      <c r="B43" s="113" t="s">
        <v>1380</v>
      </c>
      <c r="C43" s="3" t="b">
        <f t="shared" si="0"/>
        <v>1</v>
      </c>
    </row>
    <row r="44" spans="1:3" x14ac:dyDescent="0.25">
      <c r="A44" s="14" t="s">
        <v>1357</v>
      </c>
      <c r="B44" s="113" t="s">
        <v>1357</v>
      </c>
      <c r="C44" s="3" t="b">
        <f t="shared" si="0"/>
        <v>1</v>
      </c>
    </row>
    <row r="45" spans="1:3" x14ac:dyDescent="0.25">
      <c r="A45" s="14" t="s">
        <v>1202</v>
      </c>
      <c r="B45" s="113" t="s">
        <v>1202</v>
      </c>
      <c r="C45" s="3" t="b">
        <f t="shared" si="0"/>
        <v>1</v>
      </c>
    </row>
    <row r="46" spans="1:3" x14ac:dyDescent="0.25">
      <c r="A46" s="14" t="s">
        <v>1290</v>
      </c>
      <c r="B46" s="113" t="s">
        <v>1290</v>
      </c>
      <c r="C46" s="3" t="b">
        <f t="shared" si="0"/>
        <v>1</v>
      </c>
    </row>
    <row r="47" spans="1:3" x14ac:dyDescent="0.25">
      <c r="A47" s="14" t="s">
        <v>1340</v>
      </c>
      <c r="B47" s="113" t="s">
        <v>1340</v>
      </c>
      <c r="C47" s="3" t="b">
        <f t="shared" si="0"/>
        <v>1</v>
      </c>
    </row>
    <row r="48" spans="1:3" x14ac:dyDescent="0.25">
      <c r="A48" s="14" t="s">
        <v>1192</v>
      </c>
      <c r="B48" s="113" t="s">
        <v>1192</v>
      </c>
      <c r="C48" s="3" t="b">
        <f t="shared" si="0"/>
        <v>1</v>
      </c>
    </row>
    <row r="49" spans="1:3" x14ac:dyDescent="0.25">
      <c r="A49" s="14" t="s">
        <v>1396</v>
      </c>
      <c r="B49" s="113" t="s">
        <v>1396</v>
      </c>
      <c r="C49" s="3" t="b">
        <f t="shared" si="0"/>
        <v>1</v>
      </c>
    </row>
    <row r="50" spans="1:3" x14ac:dyDescent="0.25">
      <c r="A50" s="14" t="s">
        <v>1427</v>
      </c>
      <c r="B50" s="113" t="s">
        <v>1427</v>
      </c>
      <c r="C50" s="3" t="b">
        <f t="shared" si="0"/>
        <v>1</v>
      </c>
    </row>
    <row r="51" spans="1:3" x14ac:dyDescent="0.25">
      <c r="A51" s="14" t="s">
        <v>754</v>
      </c>
      <c r="B51" s="113" t="s">
        <v>754</v>
      </c>
      <c r="C51" s="3" t="b">
        <f t="shared" si="0"/>
        <v>1</v>
      </c>
    </row>
    <row r="52" spans="1:3" x14ac:dyDescent="0.25">
      <c r="A52" s="54" t="s">
        <v>1422</v>
      </c>
      <c r="B52" s="113" t="s">
        <v>1422</v>
      </c>
      <c r="C52" s="3" t="b">
        <f t="shared" si="0"/>
        <v>1</v>
      </c>
    </row>
    <row r="53" spans="1:3" x14ac:dyDescent="0.25">
      <c r="A53" s="14" t="s">
        <v>1273</v>
      </c>
      <c r="B53" s="113" t="s">
        <v>1273</v>
      </c>
      <c r="C53" s="3" t="b">
        <f t="shared" si="0"/>
        <v>1</v>
      </c>
    </row>
    <row r="54" spans="1:3" x14ac:dyDescent="0.25">
      <c r="A54" s="14" t="s">
        <v>1404</v>
      </c>
      <c r="B54" s="113" t="s">
        <v>1404</v>
      </c>
      <c r="C54" s="3" t="b">
        <f t="shared" si="0"/>
        <v>1</v>
      </c>
    </row>
    <row r="55" spans="1:3" x14ac:dyDescent="0.25">
      <c r="A55" s="14" t="s">
        <v>1318</v>
      </c>
      <c r="B55" s="113" t="s">
        <v>1318</v>
      </c>
      <c r="C55" s="3" t="b">
        <f t="shared" si="0"/>
        <v>1</v>
      </c>
    </row>
    <row r="56" spans="1:3" x14ac:dyDescent="0.25">
      <c r="A56" s="14" t="s">
        <v>1260</v>
      </c>
      <c r="B56" s="113" t="s">
        <v>1260</v>
      </c>
      <c r="C56" s="3" t="b">
        <f t="shared" si="0"/>
        <v>1</v>
      </c>
    </row>
    <row r="57" spans="1:3" x14ac:dyDescent="0.25">
      <c r="A57" s="14" t="s">
        <v>1242</v>
      </c>
      <c r="B57" s="113" t="s">
        <v>1242</v>
      </c>
      <c r="C57" s="3" t="b">
        <f t="shared" si="0"/>
        <v>1</v>
      </c>
    </row>
    <row r="58" spans="1:3" x14ac:dyDescent="0.25">
      <c r="A58" s="14" t="s">
        <v>1339</v>
      </c>
      <c r="B58" s="113" t="s">
        <v>1339</v>
      </c>
      <c r="C58" s="3" t="b">
        <f t="shared" si="0"/>
        <v>1</v>
      </c>
    </row>
    <row r="59" spans="1:3" x14ac:dyDescent="0.25">
      <c r="A59" s="14" t="s">
        <v>1276</v>
      </c>
      <c r="B59" s="113" t="s">
        <v>1276</v>
      </c>
      <c r="C59" s="3" t="b">
        <f t="shared" si="0"/>
        <v>1</v>
      </c>
    </row>
    <row r="60" spans="1:3" x14ac:dyDescent="0.25">
      <c r="A60" s="54" t="s">
        <v>549</v>
      </c>
      <c r="B60" s="113" t="s">
        <v>549</v>
      </c>
      <c r="C60" s="3" t="b">
        <f t="shared" si="0"/>
        <v>1</v>
      </c>
    </row>
    <row r="61" spans="1:3" x14ac:dyDescent="0.25">
      <c r="A61" s="14" t="s">
        <v>1334</v>
      </c>
      <c r="B61" s="113" t="s">
        <v>1334</v>
      </c>
      <c r="C61" s="3" t="b">
        <f t="shared" si="0"/>
        <v>1</v>
      </c>
    </row>
    <row r="62" spans="1:3" x14ac:dyDescent="0.25">
      <c r="A62" s="14" t="s">
        <v>1385</v>
      </c>
      <c r="B62" s="113" t="s">
        <v>1385</v>
      </c>
      <c r="C62" s="3" t="b">
        <f t="shared" si="0"/>
        <v>1</v>
      </c>
    </row>
    <row r="63" spans="1:3" x14ac:dyDescent="0.25">
      <c r="A63" s="54" t="s">
        <v>1146</v>
      </c>
      <c r="B63" s="113" t="s">
        <v>1146</v>
      </c>
      <c r="C63" s="3" t="b">
        <f t="shared" si="0"/>
        <v>1</v>
      </c>
    </row>
    <row r="64" spans="1:3" x14ac:dyDescent="0.25">
      <c r="A64" s="14" t="s">
        <v>1324</v>
      </c>
      <c r="B64" s="113" t="s">
        <v>1324</v>
      </c>
      <c r="C64" s="3" t="b">
        <f t="shared" si="0"/>
        <v>1</v>
      </c>
    </row>
    <row r="65" spans="1:3" x14ac:dyDescent="0.25">
      <c r="A65" s="14" t="s">
        <v>1197</v>
      </c>
      <c r="B65" s="113" t="s">
        <v>1197</v>
      </c>
      <c r="C65" s="3" t="b">
        <f t="shared" si="0"/>
        <v>1</v>
      </c>
    </row>
    <row r="66" spans="1:3" x14ac:dyDescent="0.25">
      <c r="A66" s="54" t="s">
        <v>1151</v>
      </c>
      <c r="B66" s="113" t="s">
        <v>1151</v>
      </c>
      <c r="C66" s="3" t="b">
        <f t="shared" si="0"/>
        <v>1</v>
      </c>
    </row>
    <row r="67" spans="1:3" x14ac:dyDescent="0.25">
      <c r="A67" s="14" t="s">
        <v>1170</v>
      </c>
      <c r="B67" s="113" t="s">
        <v>1170</v>
      </c>
      <c r="C67" s="3" t="b">
        <f t="shared" ref="C67:C130" si="1">IF(A67=B67,TRUE,FALSE)</f>
        <v>1</v>
      </c>
    </row>
    <row r="68" spans="1:3" x14ac:dyDescent="0.25">
      <c r="A68" s="14" t="s">
        <v>1174</v>
      </c>
      <c r="B68" s="113" t="s">
        <v>1174</v>
      </c>
      <c r="C68" s="3" t="b">
        <f t="shared" si="1"/>
        <v>1</v>
      </c>
    </row>
    <row r="69" spans="1:3" x14ac:dyDescent="0.25">
      <c r="A69" s="54" t="s">
        <v>1148</v>
      </c>
      <c r="B69" s="113" t="s">
        <v>1148</v>
      </c>
      <c r="C69" s="3" t="b">
        <f t="shared" si="1"/>
        <v>1</v>
      </c>
    </row>
    <row r="70" spans="1:3" x14ac:dyDescent="0.25">
      <c r="A70" s="14" t="s">
        <v>1345</v>
      </c>
      <c r="B70" s="113" t="s">
        <v>1345</v>
      </c>
      <c r="C70" s="3" t="b">
        <f t="shared" si="1"/>
        <v>1</v>
      </c>
    </row>
    <row r="71" spans="1:3" x14ac:dyDescent="0.25">
      <c r="A71" s="14" t="s">
        <v>1304</v>
      </c>
      <c r="B71" s="113" t="s">
        <v>1304</v>
      </c>
      <c r="C71" s="3" t="b">
        <f t="shared" si="1"/>
        <v>1</v>
      </c>
    </row>
    <row r="72" spans="1:3" x14ac:dyDescent="0.25">
      <c r="A72" s="14" t="s">
        <v>1391</v>
      </c>
      <c r="B72" s="113" t="s">
        <v>1391</v>
      </c>
      <c r="C72" s="3" t="b">
        <f t="shared" si="1"/>
        <v>1</v>
      </c>
    </row>
    <row r="73" spans="1:3" x14ac:dyDescent="0.25">
      <c r="A73" s="14" t="s">
        <v>820</v>
      </c>
      <c r="B73" s="113" t="s">
        <v>820</v>
      </c>
      <c r="C73" s="3" t="b">
        <f t="shared" si="1"/>
        <v>1</v>
      </c>
    </row>
    <row r="74" spans="1:3" x14ac:dyDescent="0.25">
      <c r="A74" s="14" t="s">
        <v>1991</v>
      </c>
      <c r="B74" s="113" t="s">
        <v>1991</v>
      </c>
      <c r="C74" s="3" t="b">
        <f t="shared" si="1"/>
        <v>1</v>
      </c>
    </row>
    <row r="75" spans="1:3" x14ac:dyDescent="0.25">
      <c r="A75" s="14" t="s">
        <v>1313</v>
      </c>
      <c r="B75" s="113" t="s">
        <v>1313</v>
      </c>
      <c r="C75" s="3" t="b">
        <f t="shared" si="1"/>
        <v>1</v>
      </c>
    </row>
    <row r="76" spans="1:3" x14ac:dyDescent="0.25">
      <c r="A76" s="14" t="s">
        <v>1288</v>
      </c>
      <c r="B76" s="113" t="s">
        <v>1288</v>
      </c>
      <c r="C76" s="3" t="b">
        <f t="shared" si="1"/>
        <v>1</v>
      </c>
    </row>
    <row r="77" spans="1:3" x14ac:dyDescent="0.25">
      <c r="A77" s="14" t="s">
        <v>1244</v>
      </c>
      <c r="B77" s="113" t="s">
        <v>1244</v>
      </c>
      <c r="C77" s="3" t="b">
        <f t="shared" si="1"/>
        <v>1</v>
      </c>
    </row>
    <row r="78" spans="1:3" x14ac:dyDescent="0.25">
      <c r="A78" s="14" t="s">
        <v>2069</v>
      </c>
      <c r="B78" s="113" t="s">
        <v>2069</v>
      </c>
      <c r="C78" s="3" t="b">
        <f t="shared" si="1"/>
        <v>1</v>
      </c>
    </row>
    <row r="79" spans="1:3" x14ac:dyDescent="0.25">
      <c r="A79" s="14" t="s">
        <v>1298</v>
      </c>
      <c r="B79" s="113" t="s">
        <v>1298</v>
      </c>
      <c r="C79" s="3" t="b">
        <f t="shared" si="1"/>
        <v>1</v>
      </c>
    </row>
    <row r="80" spans="1:3" x14ac:dyDescent="0.25">
      <c r="A80" s="54" t="s">
        <v>1141</v>
      </c>
      <c r="B80" s="113" t="s">
        <v>1141</v>
      </c>
      <c r="C80" s="3" t="b">
        <f t="shared" si="1"/>
        <v>1</v>
      </c>
    </row>
    <row r="81" spans="1:3" x14ac:dyDescent="0.25">
      <c r="A81" s="14" t="s">
        <v>1194</v>
      </c>
      <c r="B81" s="113" t="s">
        <v>1194</v>
      </c>
      <c r="C81" s="3" t="b">
        <f t="shared" si="1"/>
        <v>1</v>
      </c>
    </row>
    <row r="82" spans="1:3" x14ac:dyDescent="0.25">
      <c r="A82" s="14" t="s">
        <v>1185</v>
      </c>
      <c r="B82" s="113" t="s">
        <v>1185</v>
      </c>
      <c r="C82" s="3" t="b">
        <f t="shared" si="1"/>
        <v>1</v>
      </c>
    </row>
    <row r="83" spans="1:3" x14ac:dyDescent="0.25">
      <c r="A83" s="54" t="s">
        <v>1409</v>
      </c>
      <c r="B83" s="113" t="s">
        <v>1409</v>
      </c>
      <c r="C83" s="3" t="b">
        <f t="shared" si="1"/>
        <v>1</v>
      </c>
    </row>
    <row r="84" spans="1:3" x14ac:dyDescent="0.25">
      <c r="A84" s="54" t="s">
        <v>1160</v>
      </c>
      <c r="B84" s="113" t="s">
        <v>1160</v>
      </c>
      <c r="C84" s="3" t="b">
        <f t="shared" si="1"/>
        <v>1</v>
      </c>
    </row>
    <row r="85" spans="1:3" x14ac:dyDescent="0.25">
      <c r="A85" s="14" t="s">
        <v>1240</v>
      </c>
      <c r="B85" s="113" t="s">
        <v>1240</v>
      </c>
      <c r="C85" s="3" t="b">
        <f t="shared" si="1"/>
        <v>1</v>
      </c>
    </row>
    <row r="86" spans="1:3" x14ac:dyDescent="0.25">
      <c r="A86" s="14" t="s">
        <v>1239</v>
      </c>
      <c r="B86" s="113" t="s">
        <v>1239</v>
      </c>
      <c r="C86" s="3" t="b">
        <f t="shared" si="1"/>
        <v>1</v>
      </c>
    </row>
    <row r="87" spans="1:3" x14ac:dyDescent="0.25">
      <c r="A87" s="14" t="s">
        <v>1346</v>
      </c>
      <c r="B87" s="113" t="s">
        <v>1346</v>
      </c>
      <c r="C87" s="3" t="b">
        <f t="shared" si="1"/>
        <v>1</v>
      </c>
    </row>
    <row r="88" spans="1:3" x14ac:dyDescent="0.25">
      <c r="A88" s="14" t="s">
        <v>479</v>
      </c>
      <c r="B88" s="113" t="s">
        <v>479</v>
      </c>
      <c r="C88" s="3" t="b">
        <f t="shared" si="1"/>
        <v>1</v>
      </c>
    </row>
    <row r="89" spans="1:3" x14ac:dyDescent="0.25">
      <c r="A89" s="14" t="s">
        <v>1393</v>
      </c>
      <c r="B89" s="113" t="s">
        <v>1393</v>
      </c>
      <c r="C89" s="3" t="b">
        <f t="shared" si="1"/>
        <v>1</v>
      </c>
    </row>
    <row r="90" spans="1:3" x14ac:dyDescent="0.25">
      <c r="A90" s="14" t="s">
        <v>1397</v>
      </c>
      <c r="B90" s="113" t="s">
        <v>1397</v>
      </c>
      <c r="C90" s="3" t="b">
        <f t="shared" si="1"/>
        <v>1</v>
      </c>
    </row>
    <row r="91" spans="1:3" x14ac:dyDescent="0.25">
      <c r="A91" s="14" t="s">
        <v>1094</v>
      </c>
      <c r="B91" s="113" t="s">
        <v>1094</v>
      </c>
      <c r="C91" s="3" t="b">
        <f t="shared" si="1"/>
        <v>1</v>
      </c>
    </row>
    <row r="92" spans="1:3" x14ac:dyDescent="0.25">
      <c r="A92" s="14" t="s">
        <v>2007</v>
      </c>
      <c r="B92" s="113" t="s">
        <v>2007</v>
      </c>
      <c r="C92" s="3" t="b">
        <f t="shared" si="1"/>
        <v>1</v>
      </c>
    </row>
    <row r="93" spans="1:3" x14ac:dyDescent="0.25">
      <c r="A93" s="14" t="s">
        <v>1434</v>
      </c>
      <c r="B93" s="113" t="s">
        <v>1434</v>
      </c>
      <c r="C93" s="3" t="b">
        <f t="shared" si="1"/>
        <v>1</v>
      </c>
    </row>
    <row r="94" spans="1:3" x14ac:dyDescent="0.25">
      <c r="A94" s="14" t="s">
        <v>2119</v>
      </c>
      <c r="B94" s="113" t="s">
        <v>2119</v>
      </c>
      <c r="C94" s="3" t="b">
        <f t="shared" si="1"/>
        <v>1</v>
      </c>
    </row>
    <row r="95" spans="1:3" x14ac:dyDescent="0.25">
      <c r="A95" s="14" t="s">
        <v>1063</v>
      </c>
      <c r="B95" s="113" t="s">
        <v>1063</v>
      </c>
      <c r="C95" s="3" t="b">
        <f t="shared" si="1"/>
        <v>1</v>
      </c>
    </row>
    <row r="96" spans="1:3" x14ac:dyDescent="0.25">
      <c r="A96" s="14" t="s">
        <v>1425</v>
      </c>
      <c r="B96" s="113" t="s">
        <v>1425</v>
      </c>
      <c r="C96" s="3" t="b">
        <f t="shared" si="1"/>
        <v>1</v>
      </c>
    </row>
    <row r="97" spans="1:3" x14ac:dyDescent="0.25">
      <c r="A97" s="14" t="s">
        <v>1286</v>
      </c>
      <c r="B97" s="113" t="s">
        <v>1286</v>
      </c>
      <c r="C97" s="3" t="b">
        <f t="shared" si="1"/>
        <v>1</v>
      </c>
    </row>
    <row r="98" spans="1:3" x14ac:dyDescent="0.25">
      <c r="A98" s="14" t="s">
        <v>1123</v>
      </c>
      <c r="B98" s="113" t="s">
        <v>1123</v>
      </c>
      <c r="C98" s="3" t="b">
        <f t="shared" si="1"/>
        <v>1</v>
      </c>
    </row>
    <row r="99" spans="1:3" x14ac:dyDescent="0.25">
      <c r="A99" s="14" t="s">
        <v>1443</v>
      </c>
      <c r="B99" s="113" t="s">
        <v>1443</v>
      </c>
      <c r="C99" s="3" t="b">
        <f t="shared" si="1"/>
        <v>1</v>
      </c>
    </row>
    <row r="100" spans="1:3" x14ac:dyDescent="0.25">
      <c r="A100" s="14" t="s">
        <v>1420</v>
      </c>
      <c r="B100" s="113" t="s">
        <v>1420</v>
      </c>
      <c r="C100" s="3" t="b">
        <f t="shared" si="1"/>
        <v>1</v>
      </c>
    </row>
    <row r="101" spans="1:3" x14ac:dyDescent="0.25">
      <c r="A101" s="14" t="s">
        <v>1459</v>
      </c>
      <c r="B101" s="113" t="s">
        <v>1459</v>
      </c>
      <c r="C101" s="3" t="b">
        <f t="shared" si="1"/>
        <v>1</v>
      </c>
    </row>
    <row r="102" spans="1:3" x14ac:dyDescent="0.25">
      <c r="A102" s="14" t="s">
        <v>1974</v>
      </c>
      <c r="B102" s="113" t="s">
        <v>1974</v>
      </c>
      <c r="C102" s="3" t="b">
        <f t="shared" si="1"/>
        <v>1</v>
      </c>
    </row>
    <row r="103" spans="1:3" x14ac:dyDescent="0.25">
      <c r="A103" s="14" t="s">
        <v>1451</v>
      </c>
      <c r="B103" s="113" t="s">
        <v>1437</v>
      </c>
      <c r="C103" s="3" t="b">
        <f t="shared" si="1"/>
        <v>0</v>
      </c>
    </row>
    <row r="104" spans="1:3" x14ac:dyDescent="0.25">
      <c r="A104" s="14" t="s">
        <v>1437</v>
      </c>
      <c r="B104" s="113" t="s">
        <v>1007</v>
      </c>
      <c r="C104" s="3" t="b">
        <f t="shared" si="1"/>
        <v>0</v>
      </c>
    </row>
    <row r="105" spans="1:3" x14ac:dyDescent="0.25">
      <c r="A105" s="54" t="s">
        <v>1007</v>
      </c>
      <c r="B105" s="113" t="s">
        <v>2170</v>
      </c>
      <c r="C105" s="3" t="b">
        <f t="shared" si="1"/>
        <v>0</v>
      </c>
    </row>
    <row r="106" spans="1:3" x14ac:dyDescent="0.25">
      <c r="A106" s="14" t="s">
        <v>2170</v>
      </c>
      <c r="B106" s="113" t="s">
        <v>1102</v>
      </c>
      <c r="C106" s="3" t="b">
        <f t="shared" si="1"/>
        <v>0</v>
      </c>
    </row>
    <row r="107" spans="1:3" x14ac:dyDescent="0.25">
      <c r="A107" s="14" t="s">
        <v>1102</v>
      </c>
      <c r="B107" s="113" t="s">
        <v>1222</v>
      </c>
      <c r="C107" s="3" t="b">
        <f t="shared" si="1"/>
        <v>0</v>
      </c>
    </row>
    <row r="108" spans="1:3" x14ac:dyDescent="0.25">
      <c r="A108" s="14" t="s">
        <v>1222</v>
      </c>
      <c r="B108" s="113" t="s">
        <v>1229</v>
      </c>
      <c r="C108" s="3" t="b">
        <f t="shared" si="1"/>
        <v>0</v>
      </c>
    </row>
    <row r="109" spans="1:3" x14ac:dyDescent="0.25">
      <c r="A109" s="14" t="s">
        <v>1229</v>
      </c>
      <c r="B109" s="113" t="s">
        <v>1212</v>
      </c>
      <c r="C109" s="3" t="b">
        <f t="shared" si="1"/>
        <v>0</v>
      </c>
    </row>
    <row r="110" spans="1:3" x14ac:dyDescent="0.25">
      <c r="A110" s="14" t="s">
        <v>1212</v>
      </c>
      <c r="B110" s="113" t="s">
        <v>1221</v>
      </c>
      <c r="C110" s="3" t="b">
        <f t="shared" si="1"/>
        <v>0</v>
      </c>
    </row>
    <row r="111" spans="1:3" x14ac:dyDescent="0.25">
      <c r="A111" s="14" t="s">
        <v>1221</v>
      </c>
      <c r="B111" s="113" t="s">
        <v>1199</v>
      </c>
      <c r="C111" s="3" t="b">
        <f t="shared" si="1"/>
        <v>0</v>
      </c>
    </row>
    <row r="112" spans="1:3" x14ac:dyDescent="0.25">
      <c r="A112" s="10" t="s">
        <v>1199</v>
      </c>
      <c r="B112" s="113" t="s">
        <v>1080</v>
      </c>
      <c r="C112" s="3" t="b">
        <f t="shared" si="1"/>
        <v>0</v>
      </c>
    </row>
    <row r="113" spans="1:3" x14ac:dyDescent="0.25">
      <c r="A113" s="14" t="s">
        <v>1080</v>
      </c>
      <c r="B113" s="113" t="s">
        <v>1204</v>
      </c>
      <c r="C113" s="3" t="b">
        <f t="shared" si="1"/>
        <v>0</v>
      </c>
    </row>
    <row r="114" spans="1:3" x14ac:dyDescent="0.25">
      <c r="A114" s="14" t="s">
        <v>1204</v>
      </c>
      <c r="B114" s="113" t="s">
        <v>1235</v>
      </c>
      <c r="C114" s="3" t="b">
        <f t="shared" si="1"/>
        <v>0</v>
      </c>
    </row>
    <row r="115" spans="1:3" x14ac:dyDescent="0.25">
      <c r="A115" s="14" t="s">
        <v>1235</v>
      </c>
      <c r="B115" s="113" t="s">
        <v>1071</v>
      </c>
      <c r="C115" s="3" t="b">
        <f t="shared" si="1"/>
        <v>0</v>
      </c>
    </row>
    <row r="116" spans="1:3" x14ac:dyDescent="0.25">
      <c r="A116" s="14" t="s">
        <v>1071</v>
      </c>
      <c r="B116" s="113" t="s">
        <v>1214</v>
      </c>
      <c r="C116" s="3" t="b">
        <f t="shared" si="1"/>
        <v>0</v>
      </c>
    </row>
    <row r="117" spans="1:3" x14ac:dyDescent="0.25">
      <c r="A117" s="14" t="s">
        <v>1214</v>
      </c>
      <c r="B117" s="113" t="s">
        <v>1233</v>
      </c>
      <c r="C117" s="3" t="b">
        <f t="shared" si="1"/>
        <v>0</v>
      </c>
    </row>
    <row r="118" spans="1:3" x14ac:dyDescent="0.25">
      <c r="A118" s="14" t="s">
        <v>1233</v>
      </c>
      <c r="B118" s="113" t="s">
        <v>1090</v>
      </c>
      <c r="C118" s="3" t="b">
        <f t="shared" si="1"/>
        <v>0</v>
      </c>
    </row>
    <row r="119" spans="1:3" x14ac:dyDescent="0.25">
      <c r="A119" s="14" t="s">
        <v>1090</v>
      </c>
      <c r="B119" s="113" t="s">
        <v>1211</v>
      </c>
      <c r="C119" s="3" t="b">
        <f t="shared" si="1"/>
        <v>0</v>
      </c>
    </row>
    <row r="120" spans="1:3" x14ac:dyDescent="0.25">
      <c r="A120" s="14" t="s">
        <v>1211</v>
      </c>
      <c r="B120" s="113" t="s">
        <v>1078</v>
      </c>
      <c r="C120" s="3" t="b">
        <f t="shared" si="1"/>
        <v>0</v>
      </c>
    </row>
    <row r="121" spans="1:3" x14ac:dyDescent="0.25">
      <c r="A121" s="14" t="s">
        <v>1078</v>
      </c>
      <c r="B121" s="113" t="s">
        <v>1129</v>
      </c>
      <c r="C121" s="3" t="b">
        <f t="shared" si="1"/>
        <v>0</v>
      </c>
    </row>
    <row r="122" spans="1:3" x14ac:dyDescent="0.25">
      <c r="A122" s="14" t="s">
        <v>1129</v>
      </c>
      <c r="B122" s="113" t="s">
        <v>1208</v>
      </c>
      <c r="C122" s="3" t="b">
        <f t="shared" si="1"/>
        <v>0</v>
      </c>
    </row>
    <row r="123" spans="1:3" x14ac:dyDescent="0.25">
      <c r="A123" s="14" t="s">
        <v>1208</v>
      </c>
      <c r="B123" s="113" t="s">
        <v>1201</v>
      </c>
      <c r="C123" s="3" t="b">
        <f t="shared" si="1"/>
        <v>0</v>
      </c>
    </row>
    <row r="124" spans="1:3" x14ac:dyDescent="0.25">
      <c r="A124" s="14" t="s">
        <v>1201</v>
      </c>
      <c r="B124" s="113" t="s">
        <v>1059</v>
      </c>
      <c r="C124" s="3" t="b">
        <f t="shared" si="1"/>
        <v>0</v>
      </c>
    </row>
    <row r="125" spans="1:3" x14ac:dyDescent="0.25">
      <c r="A125" s="14" t="s">
        <v>1059</v>
      </c>
      <c r="B125" s="113" t="s">
        <v>1101</v>
      </c>
      <c r="C125" s="3" t="b">
        <f t="shared" si="1"/>
        <v>0</v>
      </c>
    </row>
    <row r="126" spans="1:3" x14ac:dyDescent="0.25">
      <c r="A126" s="14" t="s">
        <v>1101</v>
      </c>
      <c r="B126" s="113" t="s">
        <v>1110</v>
      </c>
      <c r="C126" s="3" t="b">
        <f t="shared" si="1"/>
        <v>0</v>
      </c>
    </row>
    <row r="127" spans="1:3" x14ac:dyDescent="0.25">
      <c r="A127" s="14" t="s">
        <v>1110</v>
      </c>
      <c r="B127" s="113" t="s">
        <v>1115</v>
      </c>
      <c r="C127" s="3" t="b">
        <f t="shared" si="1"/>
        <v>0</v>
      </c>
    </row>
    <row r="128" spans="1:3" x14ac:dyDescent="0.25">
      <c r="A128" s="14" t="s">
        <v>1115</v>
      </c>
      <c r="B128" s="113" t="s">
        <v>1092</v>
      </c>
      <c r="C128" s="3" t="b">
        <f t="shared" si="1"/>
        <v>0</v>
      </c>
    </row>
    <row r="129" spans="1:3" x14ac:dyDescent="0.25">
      <c r="A129" s="14" t="s">
        <v>1092</v>
      </c>
      <c r="B129" s="113" t="s">
        <v>1095</v>
      </c>
      <c r="C129" s="3" t="b">
        <f t="shared" si="1"/>
        <v>0</v>
      </c>
    </row>
    <row r="130" spans="1:3" x14ac:dyDescent="0.25">
      <c r="A130" s="14" t="s">
        <v>1095</v>
      </c>
      <c r="B130" s="113" t="s">
        <v>1111</v>
      </c>
      <c r="C130" s="3" t="b">
        <f t="shared" si="1"/>
        <v>0</v>
      </c>
    </row>
    <row r="131" spans="1:3" x14ac:dyDescent="0.25">
      <c r="A131" s="14" t="s">
        <v>1111</v>
      </c>
      <c r="B131" s="113" t="s">
        <v>1120</v>
      </c>
      <c r="C131" s="3" t="b">
        <f t="shared" ref="C131:C194" si="2">IF(A131=B131,TRUE,FALSE)</f>
        <v>0</v>
      </c>
    </row>
    <row r="132" spans="1:3" x14ac:dyDescent="0.25">
      <c r="A132" s="14" t="s">
        <v>1120</v>
      </c>
      <c r="B132" s="113" t="s">
        <v>1128</v>
      </c>
      <c r="C132" s="3" t="b">
        <f t="shared" si="2"/>
        <v>0</v>
      </c>
    </row>
    <row r="133" spans="1:3" x14ac:dyDescent="0.25">
      <c r="A133" s="14" t="s">
        <v>1128</v>
      </c>
      <c r="B133" s="113" t="s">
        <v>1126</v>
      </c>
      <c r="C133" s="3" t="b">
        <f t="shared" si="2"/>
        <v>0</v>
      </c>
    </row>
    <row r="134" spans="1:3" x14ac:dyDescent="0.25">
      <c r="A134" s="14" t="s">
        <v>1126</v>
      </c>
      <c r="B134" s="113" t="s">
        <v>1137</v>
      </c>
      <c r="C134" s="3" t="b">
        <f t="shared" si="2"/>
        <v>0</v>
      </c>
    </row>
    <row r="135" spans="1:3" x14ac:dyDescent="0.25">
      <c r="A135" s="14" t="s">
        <v>1137</v>
      </c>
      <c r="B135" s="113" t="s">
        <v>1122</v>
      </c>
      <c r="C135" s="3" t="b">
        <f t="shared" si="2"/>
        <v>0</v>
      </c>
    </row>
    <row r="136" spans="1:3" x14ac:dyDescent="0.25">
      <c r="A136" s="14" t="s">
        <v>1122</v>
      </c>
      <c r="B136" s="113" t="s">
        <v>1131</v>
      </c>
      <c r="C136" s="3" t="b">
        <f t="shared" si="2"/>
        <v>0</v>
      </c>
    </row>
    <row r="137" spans="1:3" x14ac:dyDescent="0.25">
      <c r="A137" s="14" t="s">
        <v>1131</v>
      </c>
      <c r="B137" s="113" t="s">
        <v>1104</v>
      </c>
      <c r="C137" s="3" t="b">
        <f t="shared" si="2"/>
        <v>0</v>
      </c>
    </row>
    <row r="138" spans="1:3" x14ac:dyDescent="0.25">
      <c r="A138" s="14" t="s">
        <v>1104</v>
      </c>
      <c r="B138" s="113" t="s">
        <v>1269</v>
      </c>
      <c r="C138" s="3" t="b">
        <f t="shared" si="2"/>
        <v>0</v>
      </c>
    </row>
    <row r="139" spans="1:3" x14ac:dyDescent="0.25">
      <c r="A139" s="14" t="s">
        <v>1269</v>
      </c>
      <c r="B139" s="113" t="s">
        <v>1257</v>
      </c>
      <c r="C139" s="3" t="b">
        <f t="shared" si="2"/>
        <v>0</v>
      </c>
    </row>
    <row r="140" spans="1:3" x14ac:dyDescent="0.25">
      <c r="A140" s="14" t="s">
        <v>1257</v>
      </c>
      <c r="B140" s="113" t="s">
        <v>1150</v>
      </c>
      <c r="C140" s="3" t="b">
        <f t="shared" si="2"/>
        <v>0</v>
      </c>
    </row>
    <row r="141" spans="1:3" x14ac:dyDescent="0.25">
      <c r="A141" s="14" t="s">
        <v>1150</v>
      </c>
      <c r="B141" s="113" t="s">
        <v>1065</v>
      </c>
      <c r="C141" s="3" t="b">
        <f t="shared" si="2"/>
        <v>0</v>
      </c>
    </row>
    <row r="142" spans="1:3" x14ac:dyDescent="0.25">
      <c r="A142" s="14" t="s">
        <v>1065</v>
      </c>
      <c r="B142" s="113" t="s">
        <v>1132</v>
      </c>
      <c r="C142" s="3" t="b">
        <f t="shared" si="2"/>
        <v>0</v>
      </c>
    </row>
    <row r="143" spans="1:3" x14ac:dyDescent="0.25">
      <c r="A143" s="14" t="s">
        <v>1132</v>
      </c>
      <c r="B143" s="113" t="s">
        <v>1070</v>
      </c>
      <c r="C143" s="3" t="b">
        <f t="shared" si="2"/>
        <v>0</v>
      </c>
    </row>
    <row r="144" spans="1:3" x14ac:dyDescent="0.25">
      <c r="A144" s="14" t="s">
        <v>1070</v>
      </c>
      <c r="B144" s="113" t="s">
        <v>1419</v>
      </c>
      <c r="C144" s="3" t="b">
        <f t="shared" si="2"/>
        <v>0</v>
      </c>
    </row>
    <row r="145" spans="1:3" x14ac:dyDescent="0.25">
      <c r="A145" s="14" t="s">
        <v>1419</v>
      </c>
      <c r="B145" s="113" t="s">
        <v>1237</v>
      </c>
      <c r="C145" s="3" t="b">
        <f t="shared" si="2"/>
        <v>0</v>
      </c>
    </row>
    <row r="146" spans="1:3" x14ac:dyDescent="0.25">
      <c r="A146" s="14" t="s">
        <v>1237</v>
      </c>
      <c r="B146" s="113" t="s">
        <v>1311</v>
      </c>
      <c r="C146" s="3" t="b">
        <f t="shared" si="2"/>
        <v>0</v>
      </c>
    </row>
    <row r="147" spans="1:3" x14ac:dyDescent="0.25">
      <c r="A147" s="14" t="s">
        <v>1311</v>
      </c>
      <c r="B147" s="113" t="s">
        <v>1145</v>
      </c>
      <c r="C147" s="3" t="b">
        <f t="shared" si="2"/>
        <v>0</v>
      </c>
    </row>
    <row r="148" spans="1:3" x14ac:dyDescent="0.25">
      <c r="A148" s="14" t="s">
        <v>1145</v>
      </c>
      <c r="B148" s="113" t="s">
        <v>1468</v>
      </c>
      <c r="C148" s="3" t="b">
        <f t="shared" si="2"/>
        <v>0</v>
      </c>
    </row>
    <row r="149" spans="1:3" x14ac:dyDescent="0.25">
      <c r="A149" s="14" t="s">
        <v>1468</v>
      </c>
      <c r="B149" s="113" t="s">
        <v>1445</v>
      </c>
      <c r="C149" s="3" t="b">
        <f t="shared" si="2"/>
        <v>0</v>
      </c>
    </row>
    <row r="150" spans="1:3" x14ac:dyDescent="0.25">
      <c r="A150" s="14" t="s">
        <v>1445</v>
      </c>
      <c r="B150" s="113" t="s">
        <v>1144</v>
      </c>
      <c r="C150" s="3" t="b">
        <f t="shared" si="2"/>
        <v>0</v>
      </c>
    </row>
    <row r="151" spans="1:3" x14ac:dyDescent="0.25">
      <c r="A151" s="14" t="s">
        <v>1144</v>
      </c>
      <c r="B151" s="113" t="s">
        <v>942</v>
      </c>
      <c r="C151" s="3" t="b">
        <f t="shared" si="2"/>
        <v>0</v>
      </c>
    </row>
    <row r="152" spans="1:3" x14ac:dyDescent="0.25">
      <c r="A152" s="14" t="s">
        <v>942</v>
      </c>
      <c r="B152" s="113" t="s">
        <v>1161</v>
      </c>
      <c r="C152" s="3" t="b">
        <f t="shared" si="2"/>
        <v>0</v>
      </c>
    </row>
    <row r="153" spans="1:3" x14ac:dyDescent="0.25">
      <c r="A153" s="14" t="s">
        <v>1161</v>
      </c>
      <c r="B153" s="113" t="s">
        <v>1188</v>
      </c>
      <c r="C153" s="3" t="b">
        <f t="shared" si="2"/>
        <v>0</v>
      </c>
    </row>
    <row r="154" spans="1:3" x14ac:dyDescent="0.25">
      <c r="A154" s="14" t="s">
        <v>1188</v>
      </c>
      <c r="B154" s="113" t="s">
        <v>1175</v>
      </c>
      <c r="C154" s="3" t="b">
        <f t="shared" si="2"/>
        <v>0</v>
      </c>
    </row>
    <row r="155" spans="1:3" x14ac:dyDescent="0.25">
      <c r="A155" s="14" t="s">
        <v>1175</v>
      </c>
      <c r="B155" s="113" t="s">
        <v>1411</v>
      </c>
      <c r="C155" s="3" t="b">
        <f t="shared" si="2"/>
        <v>0</v>
      </c>
    </row>
    <row r="156" spans="1:3" x14ac:dyDescent="0.25">
      <c r="A156" s="14" t="s">
        <v>1411</v>
      </c>
      <c r="B156" s="113" t="s">
        <v>1191</v>
      </c>
      <c r="C156" s="3" t="b">
        <f t="shared" si="2"/>
        <v>0</v>
      </c>
    </row>
    <row r="157" spans="1:3" x14ac:dyDescent="0.25">
      <c r="A157" s="14" t="s">
        <v>1191</v>
      </c>
      <c r="B157" s="113" t="s">
        <v>1341</v>
      </c>
      <c r="C157" s="3" t="b">
        <f t="shared" si="2"/>
        <v>0</v>
      </c>
    </row>
    <row r="158" spans="1:3" x14ac:dyDescent="0.25">
      <c r="A158" s="14" t="s">
        <v>1341</v>
      </c>
      <c r="B158" s="113" t="s">
        <v>1426</v>
      </c>
      <c r="C158" s="3" t="b">
        <f t="shared" si="2"/>
        <v>0</v>
      </c>
    </row>
    <row r="159" spans="1:3" x14ac:dyDescent="0.25">
      <c r="A159" s="14" t="s">
        <v>1426</v>
      </c>
      <c r="B159" s="113" t="s">
        <v>1407</v>
      </c>
      <c r="C159" s="3" t="b">
        <f t="shared" si="2"/>
        <v>0</v>
      </c>
    </row>
    <row r="160" spans="1:3" x14ac:dyDescent="0.25">
      <c r="A160" s="14" t="s">
        <v>1407</v>
      </c>
      <c r="B160" s="113" t="s">
        <v>1073</v>
      </c>
      <c r="C160" s="3" t="b">
        <f t="shared" si="2"/>
        <v>0</v>
      </c>
    </row>
    <row r="161" spans="1:3" x14ac:dyDescent="0.25">
      <c r="A161" s="14" t="s">
        <v>1073</v>
      </c>
      <c r="B161" s="113" t="s">
        <v>581</v>
      </c>
      <c r="C161" s="3" t="b">
        <f t="shared" si="2"/>
        <v>0</v>
      </c>
    </row>
    <row r="162" spans="1:3" x14ac:dyDescent="0.25">
      <c r="A162" s="14" t="s">
        <v>581</v>
      </c>
      <c r="B162" s="113" t="s">
        <v>1139</v>
      </c>
      <c r="C162" s="3" t="b">
        <f t="shared" si="2"/>
        <v>0</v>
      </c>
    </row>
    <row r="163" spans="1:3" x14ac:dyDescent="0.25">
      <c r="A163" s="14" t="s">
        <v>1139</v>
      </c>
      <c r="B163" s="113" t="s">
        <v>1083</v>
      </c>
      <c r="C163" s="3" t="b">
        <f t="shared" si="2"/>
        <v>0</v>
      </c>
    </row>
    <row r="164" spans="1:3" x14ac:dyDescent="0.25">
      <c r="A164" s="14" t="s">
        <v>1083</v>
      </c>
      <c r="B164" s="113" t="s">
        <v>1089</v>
      </c>
      <c r="C164" s="3" t="b">
        <f t="shared" si="2"/>
        <v>0</v>
      </c>
    </row>
    <row r="165" spans="1:3" x14ac:dyDescent="0.25">
      <c r="A165" s="14" t="s">
        <v>1089</v>
      </c>
      <c r="B165" s="113" t="s">
        <v>1402</v>
      </c>
      <c r="C165" s="3" t="b">
        <f t="shared" si="2"/>
        <v>0</v>
      </c>
    </row>
    <row r="166" spans="1:3" x14ac:dyDescent="0.25">
      <c r="A166" s="14" t="s">
        <v>1402</v>
      </c>
      <c r="B166" s="113" t="s">
        <v>1066</v>
      </c>
      <c r="C166" s="3" t="b">
        <f t="shared" si="2"/>
        <v>0</v>
      </c>
    </row>
    <row r="167" spans="1:3" x14ac:dyDescent="0.25">
      <c r="A167" s="14" t="s">
        <v>1066</v>
      </c>
      <c r="B167" s="113" t="s">
        <v>1138</v>
      </c>
      <c r="C167" s="3" t="b">
        <f t="shared" si="2"/>
        <v>0</v>
      </c>
    </row>
    <row r="168" spans="1:3" x14ac:dyDescent="0.25">
      <c r="A168" s="14" t="s">
        <v>1138</v>
      </c>
      <c r="B168" s="113" t="s">
        <v>1347</v>
      </c>
      <c r="C168" s="3" t="b">
        <f t="shared" si="2"/>
        <v>0</v>
      </c>
    </row>
    <row r="169" spans="1:3" x14ac:dyDescent="0.25">
      <c r="A169" s="14" t="s">
        <v>1347</v>
      </c>
      <c r="B169" s="113" t="s">
        <v>590</v>
      </c>
      <c r="C169" s="3" t="b">
        <f t="shared" si="2"/>
        <v>0</v>
      </c>
    </row>
    <row r="170" spans="1:3" x14ac:dyDescent="0.25">
      <c r="A170" s="14" t="s">
        <v>590</v>
      </c>
      <c r="B170" s="113" t="s">
        <v>1274</v>
      </c>
      <c r="C170" s="3" t="b">
        <f t="shared" si="2"/>
        <v>0</v>
      </c>
    </row>
    <row r="171" spans="1:3" x14ac:dyDescent="0.25">
      <c r="A171" s="14" t="s">
        <v>1274</v>
      </c>
      <c r="B171" s="113" t="s">
        <v>1368</v>
      </c>
      <c r="C171" s="3" t="b">
        <f t="shared" si="2"/>
        <v>0</v>
      </c>
    </row>
    <row r="172" spans="1:3" x14ac:dyDescent="0.25">
      <c r="A172" s="14" t="s">
        <v>1368</v>
      </c>
      <c r="B172" s="113" t="s">
        <v>1450</v>
      </c>
      <c r="C172" s="3" t="b">
        <f t="shared" si="2"/>
        <v>0</v>
      </c>
    </row>
    <row r="173" spans="1:3" x14ac:dyDescent="0.25">
      <c r="A173" s="14" t="s">
        <v>1450</v>
      </c>
      <c r="B173" s="113" t="s">
        <v>1005</v>
      </c>
      <c r="C173" s="3" t="b">
        <f t="shared" si="2"/>
        <v>0</v>
      </c>
    </row>
    <row r="174" spans="1:3" x14ac:dyDescent="0.25">
      <c r="A174" s="54" t="s">
        <v>1005</v>
      </c>
      <c r="B174" s="113" t="s">
        <v>1394</v>
      </c>
      <c r="C174" s="3" t="b">
        <f t="shared" si="2"/>
        <v>0</v>
      </c>
    </row>
    <row r="175" spans="1:3" x14ac:dyDescent="0.25">
      <c r="A175" s="14" t="s">
        <v>1394</v>
      </c>
      <c r="B175" s="113" t="s">
        <v>1356</v>
      </c>
      <c r="C175" s="3" t="b">
        <f t="shared" si="2"/>
        <v>0</v>
      </c>
    </row>
    <row r="176" spans="1:3" x14ac:dyDescent="0.25">
      <c r="A176" s="14" t="s">
        <v>1356</v>
      </c>
      <c r="B176" s="113" t="s">
        <v>1241</v>
      </c>
      <c r="C176" s="3" t="b">
        <f t="shared" si="2"/>
        <v>0</v>
      </c>
    </row>
    <row r="177" spans="1:3" x14ac:dyDescent="0.25">
      <c r="A177" s="14" t="s">
        <v>1241</v>
      </c>
      <c r="B177" s="113" t="s">
        <v>1441</v>
      </c>
      <c r="C177" s="3" t="b">
        <f t="shared" si="2"/>
        <v>0</v>
      </c>
    </row>
    <row r="178" spans="1:3" x14ac:dyDescent="0.25">
      <c r="A178" s="14" t="s">
        <v>1441</v>
      </c>
      <c r="B178" s="113" t="s">
        <v>1243</v>
      </c>
      <c r="C178" s="3" t="b">
        <f t="shared" si="2"/>
        <v>0</v>
      </c>
    </row>
    <row r="179" spans="1:3" x14ac:dyDescent="0.25">
      <c r="A179" s="14" t="s">
        <v>1243</v>
      </c>
      <c r="B179" s="113" t="s">
        <v>1365</v>
      </c>
      <c r="C179" s="3" t="b">
        <f t="shared" si="2"/>
        <v>0</v>
      </c>
    </row>
    <row r="180" spans="1:3" x14ac:dyDescent="0.25">
      <c r="A180" s="14" t="s">
        <v>1365</v>
      </c>
      <c r="B180" s="113" t="s">
        <v>1140</v>
      </c>
      <c r="C180" s="3" t="b">
        <f t="shared" si="2"/>
        <v>0</v>
      </c>
    </row>
    <row r="181" spans="1:3" x14ac:dyDescent="0.25">
      <c r="A181" s="54" t="s">
        <v>1140</v>
      </c>
      <c r="B181" s="113" t="s">
        <v>1167</v>
      </c>
      <c r="C181" s="3" t="b">
        <f t="shared" si="2"/>
        <v>0</v>
      </c>
    </row>
    <row r="182" spans="1:3" x14ac:dyDescent="0.25">
      <c r="A182" s="54" t="s">
        <v>1167</v>
      </c>
      <c r="B182" s="113" t="s">
        <v>1149</v>
      </c>
      <c r="C182" s="3" t="b">
        <f t="shared" si="2"/>
        <v>0</v>
      </c>
    </row>
    <row r="183" spans="1:3" x14ac:dyDescent="0.25">
      <c r="A183" s="54" t="s">
        <v>1149</v>
      </c>
      <c r="B183" s="113" t="s">
        <v>1295</v>
      </c>
      <c r="C183" s="3" t="b">
        <f t="shared" si="2"/>
        <v>0</v>
      </c>
    </row>
    <row r="184" spans="1:3" x14ac:dyDescent="0.25">
      <c r="A184" s="14" t="s">
        <v>1295</v>
      </c>
      <c r="B184" s="113" t="s">
        <v>1247</v>
      </c>
      <c r="C184" s="3" t="b">
        <f t="shared" si="2"/>
        <v>0</v>
      </c>
    </row>
    <row r="185" spans="1:3" x14ac:dyDescent="0.25">
      <c r="A185" s="14" t="s">
        <v>1247</v>
      </c>
      <c r="B185" s="113" t="s">
        <v>1454</v>
      </c>
      <c r="C185" s="3" t="b">
        <f t="shared" si="2"/>
        <v>0</v>
      </c>
    </row>
    <row r="186" spans="1:3" x14ac:dyDescent="0.25">
      <c r="A186" s="14" t="s">
        <v>1454</v>
      </c>
      <c r="B186" s="113" t="s">
        <v>1358</v>
      </c>
      <c r="C186" s="3" t="b">
        <f t="shared" si="2"/>
        <v>0</v>
      </c>
    </row>
    <row r="187" spans="1:3" x14ac:dyDescent="0.25">
      <c r="A187" s="14" t="s">
        <v>1358</v>
      </c>
      <c r="B187" s="113" t="s">
        <v>1389</v>
      </c>
      <c r="C187" s="3" t="b">
        <f t="shared" si="2"/>
        <v>0</v>
      </c>
    </row>
    <row r="188" spans="1:3" x14ac:dyDescent="0.25">
      <c r="A188" s="14" t="s">
        <v>1389</v>
      </c>
      <c r="B188" s="113" t="s">
        <v>1405</v>
      </c>
      <c r="C188" s="3" t="b">
        <f t="shared" si="2"/>
        <v>0</v>
      </c>
    </row>
    <row r="189" spans="1:3" x14ac:dyDescent="0.25">
      <c r="A189" s="14" t="s">
        <v>1405</v>
      </c>
      <c r="B189" s="113" t="s">
        <v>1238</v>
      </c>
      <c r="C189" s="3" t="b">
        <f t="shared" si="2"/>
        <v>0</v>
      </c>
    </row>
    <row r="190" spans="1:3" x14ac:dyDescent="0.25">
      <c r="A190" s="14" t="s">
        <v>1238</v>
      </c>
      <c r="B190" s="113" t="s">
        <v>1327</v>
      </c>
      <c r="C190" s="3" t="b">
        <f t="shared" si="2"/>
        <v>0</v>
      </c>
    </row>
    <row r="191" spans="1:3" x14ac:dyDescent="0.25">
      <c r="A191" s="14" t="s">
        <v>1327</v>
      </c>
      <c r="B191" s="113" t="s">
        <v>1320</v>
      </c>
      <c r="C191" s="3" t="b">
        <f t="shared" si="2"/>
        <v>0</v>
      </c>
    </row>
    <row r="192" spans="1:3" x14ac:dyDescent="0.25">
      <c r="A192" s="14" t="s">
        <v>1320</v>
      </c>
      <c r="B192" s="113" t="s">
        <v>1249</v>
      </c>
      <c r="C192" s="3" t="b">
        <f t="shared" si="2"/>
        <v>0</v>
      </c>
    </row>
    <row r="193" spans="1:3" x14ac:dyDescent="0.25">
      <c r="A193" s="14" t="s">
        <v>1249</v>
      </c>
      <c r="B193" s="113" t="s">
        <v>2164</v>
      </c>
      <c r="C193" s="3" t="b">
        <f t="shared" si="2"/>
        <v>0</v>
      </c>
    </row>
    <row r="194" spans="1:3" x14ac:dyDescent="0.25">
      <c r="A194" s="54" t="s">
        <v>2164</v>
      </c>
      <c r="B194" s="113" t="s">
        <v>1190</v>
      </c>
      <c r="C194" s="3" t="b">
        <f t="shared" si="2"/>
        <v>0</v>
      </c>
    </row>
    <row r="195" spans="1:3" x14ac:dyDescent="0.25">
      <c r="A195" s="14" t="s">
        <v>1190</v>
      </c>
      <c r="B195" s="113" t="s">
        <v>1316</v>
      </c>
      <c r="C195" s="3" t="b">
        <f t="shared" ref="C195:C249" si="3">IF(A195=B195,TRUE,FALSE)</f>
        <v>0</v>
      </c>
    </row>
    <row r="196" spans="1:3" x14ac:dyDescent="0.25">
      <c r="A196" s="14" t="s">
        <v>1316</v>
      </c>
      <c r="B196" s="113" t="s">
        <v>1370</v>
      </c>
      <c r="C196" s="3" t="b">
        <f t="shared" si="3"/>
        <v>0</v>
      </c>
    </row>
    <row r="197" spans="1:3" x14ac:dyDescent="0.25">
      <c r="A197" s="14" t="s">
        <v>1370</v>
      </c>
      <c r="B197" s="113" t="s">
        <v>1261</v>
      </c>
      <c r="C197" s="3" t="b">
        <f t="shared" si="3"/>
        <v>0</v>
      </c>
    </row>
    <row r="198" spans="1:3" x14ac:dyDescent="0.25">
      <c r="A198" s="14" t="s">
        <v>1261</v>
      </c>
      <c r="B198" s="113" t="s">
        <v>1168</v>
      </c>
      <c r="C198" s="3" t="b">
        <f t="shared" si="3"/>
        <v>0</v>
      </c>
    </row>
    <row r="199" spans="1:3" x14ac:dyDescent="0.25">
      <c r="A199" s="14" t="s">
        <v>1168</v>
      </c>
      <c r="B199" s="113" t="s">
        <v>1173</v>
      </c>
      <c r="C199" s="3" t="b">
        <f t="shared" si="3"/>
        <v>0</v>
      </c>
    </row>
    <row r="200" spans="1:3" x14ac:dyDescent="0.25">
      <c r="A200" s="14" t="s">
        <v>1173</v>
      </c>
      <c r="B200" s="113" t="s">
        <v>1386</v>
      </c>
      <c r="C200" s="3" t="b">
        <f t="shared" si="3"/>
        <v>0</v>
      </c>
    </row>
    <row r="201" spans="1:3" x14ac:dyDescent="0.25">
      <c r="A201" s="14" t="s">
        <v>1386</v>
      </c>
      <c r="B201" s="113" t="s">
        <v>1351</v>
      </c>
      <c r="C201" s="3" t="b">
        <f t="shared" si="3"/>
        <v>0</v>
      </c>
    </row>
    <row r="202" spans="1:3" x14ac:dyDescent="0.25">
      <c r="A202" s="14" t="s">
        <v>1351</v>
      </c>
      <c r="B202" s="113" t="s">
        <v>1308</v>
      </c>
      <c r="C202" s="3" t="b">
        <f t="shared" si="3"/>
        <v>0</v>
      </c>
    </row>
    <row r="203" spans="1:3" x14ac:dyDescent="0.25">
      <c r="A203" s="14" t="s">
        <v>1308</v>
      </c>
      <c r="B203" s="113" t="s">
        <v>1379</v>
      </c>
      <c r="C203" s="3" t="b">
        <f t="shared" si="3"/>
        <v>0</v>
      </c>
    </row>
    <row r="204" spans="1:3" x14ac:dyDescent="0.25">
      <c r="A204" s="14" t="s">
        <v>1379</v>
      </c>
      <c r="B204" s="113" t="s">
        <v>1250</v>
      </c>
      <c r="C204" s="3" t="b">
        <f t="shared" si="3"/>
        <v>0</v>
      </c>
    </row>
    <row r="205" spans="1:3" x14ac:dyDescent="0.25">
      <c r="A205" s="14" t="s">
        <v>1250</v>
      </c>
      <c r="B205" s="113" t="s">
        <v>1372</v>
      </c>
      <c r="C205" s="3" t="b">
        <f t="shared" si="3"/>
        <v>0</v>
      </c>
    </row>
    <row r="206" spans="1:3" x14ac:dyDescent="0.25">
      <c r="A206" s="14" t="s">
        <v>1372</v>
      </c>
      <c r="B206" s="113" t="s">
        <v>1388</v>
      </c>
      <c r="C206" s="3" t="b">
        <f t="shared" si="3"/>
        <v>0</v>
      </c>
    </row>
    <row r="207" spans="1:3" x14ac:dyDescent="0.25">
      <c r="A207" s="14" t="s">
        <v>1388</v>
      </c>
      <c r="B207" s="113" t="s">
        <v>1195</v>
      </c>
      <c r="C207" s="3" t="b">
        <f t="shared" si="3"/>
        <v>0</v>
      </c>
    </row>
    <row r="208" spans="1:3" x14ac:dyDescent="0.25">
      <c r="A208" s="14" t="s">
        <v>1195</v>
      </c>
      <c r="B208" s="113" t="s">
        <v>1417</v>
      </c>
      <c r="C208" s="3" t="b">
        <f t="shared" si="3"/>
        <v>0</v>
      </c>
    </row>
    <row r="209" spans="1:3" x14ac:dyDescent="0.25">
      <c r="A209" s="14" t="s">
        <v>1417</v>
      </c>
      <c r="B209" s="113" t="s">
        <v>1279</v>
      </c>
      <c r="C209" s="3" t="b">
        <f t="shared" si="3"/>
        <v>0</v>
      </c>
    </row>
    <row r="210" spans="1:3" x14ac:dyDescent="0.25">
      <c r="A210" s="14" t="s">
        <v>1279</v>
      </c>
      <c r="B210" s="113" t="s">
        <v>1375</v>
      </c>
      <c r="C210" s="3" t="b">
        <f t="shared" si="3"/>
        <v>0</v>
      </c>
    </row>
    <row r="211" spans="1:3" x14ac:dyDescent="0.25">
      <c r="A211" s="14" t="s">
        <v>1375</v>
      </c>
      <c r="B211" s="113" t="s">
        <v>1373</v>
      </c>
      <c r="C211" s="3" t="b">
        <f t="shared" si="3"/>
        <v>0</v>
      </c>
    </row>
    <row r="212" spans="1:3" x14ac:dyDescent="0.25">
      <c r="A212" s="14" t="s">
        <v>1373</v>
      </c>
      <c r="B212" s="113" t="s">
        <v>1363</v>
      </c>
      <c r="C212" s="3" t="b">
        <f t="shared" si="3"/>
        <v>0</v>
      </c>
    </row>
    <row r="213" spans="1:3" x14ac:dyDescent="0.25">
      <c r="A213" s="14" t="s">
        <v>1363</v>
      </c>
      <c r="B213" s="113" t="s">
        <v>1453</v>
      </c>
      <c r="C213" s="3" t="b">
        <f t="shared" si="3"/>
        <v>0</v>
      </c>
    </row>
    <row r="214" spans="1:3" x14ac:dyDescent="0.25">
      <c r="A214" s="14" t="s">
        <v>1453</v>
      </c>
      <c r="B214" s="113" t="s">
        <v>588</v>
      </c>
      <c r="C214" s="3" t="b">
        <f t="shared" si="3"/>
        <v>0</v>
      </c>
    </row>
    <row r="215" spans="1:3" x14ac:dyDescent="0.25">
      <c r="A215" s="14" t="s">
        <v>588</v>
      </c>
      <c r="B215" s="113" t="s">
        <v>1193</v>
      </c>
      <c r="C215" s="3" t="b">
        <f t="shared" si="3"/>
        <v>0</v>
      </c>
    </row>
    <row r="216" spans="1:3" x14ac:dyDescent="0.25">
      <c r="A216" s="14" t="s">
        <v>1193</v>
      </c>
      <c r="B216" s="113" t="s">
        <v>1377</v>
      </c>
      <c r="C216" s="3" t="b">
        <f t="shared" si="3"/>
        <v>0</v>
      </c>
    </row>
    <row r="217" spans="1:3" x14ac:dyDescent="0.25">
      <c r="A217" s="14" t="s">
        <v>1377</v>
      </c>
      <c r="B217" s="113" t="s">
        <v>1162</v>
      </c>
      <c r="C217" s="3" t="b">
        <f t="shared" si="3"/>
        <v>0</v>
      </c>
    </row>
    <row r="218" spans="1:3" x14ac:dyDescent="0.25">
      <c r="A218" s="54" t="s">
        <v>1162</v>
      </c>
      <c r="B218" s="113" t="s">
        <v>1328</v>
      </c>
      <c r="C218" s="3" t="b">
        <f t="shared" si="3"/>
        <v>0</v>
      </c>
    </row>
    <row r="219" spans="1:3" x14ac:dyDescent="0.25">
      <c r="A219" s="14" t="s">
        <v>1328</v>
      </c>
      <c r="B219" s="113" t="s">
        <v>1153</v>
      </c>
      <c r="C219" s="3" t="b">
        <f t="shared" si="3"/>
        <v>0</v>
      </c>
    </row>
    <row r="220" spans="1:3" x14ac:dyDescent="0.25">
      <c r="A220" s="54" t="s">
        <v>1153</v>
      </c>
      <c r="B220" s="113" t="s">
        <v>1282</v>
      </c>
      <c r="C220" s="3" t="b">
        <f t="shared" si="3"/>
        <v>0</v>
      </c>
    </row>
    <row r="221" spans="1:3" x14ac:dyDescent="0.25">
      <c r="A221" s="14" t="s">
        <v>1282</v>
      </c>
      <c r="B221" s="113" t="s">
        <v>1312</v>
      </c>
      <c r="C221" s="3" t="b">
        <f t="shared" si="3"/>
        <v>0</v>
      </c>
    </row>
    <row r="222" spans="1:3" x14ac:dyDescent="0.25">
      <c r="A222" s="14" t="s">
        <v>1312</v>
      </c>
      <c r="B222" s="113" t="s">
        <v>1301</v>
      </c>
      <c r="C222" s="3" t="b">
        <f t="shared" si="3"/>
        <v>0</v>
      </c>
    </row>
    <row r="223" spans="1:3" x14ac:dyDescent="0.25">
      <c r="A223" s="14" t="s">
        <v>1301</v>
      </c>
      <c r="B223" s="113" t="s">
        <v>1267</v>
      </c>
      <c r="C223" s="3" t="b">
        <f t="shared" si="3"/>
        <v>0</v>
      </c>
    </row>
    <row r="224" spans="1:3" x14ac:dyDescent="0.25">
      <c r="A224" s="14" t="s">
        <v>1267</v>
      </c>
      <c r="B224" s="113" t="s">
        <v>1291</v>
      </c>
      <c r="C224" s="3" t="b">
        <f t="shared" si="3"/>
        <v>0</v>
      </c>
    </row>
    <row r="225" spans="1:3" x14ac:dyDescent="0.25">
      <c r="A225" s="14" t="s">
        <v>1291</v>
      </c>
      <c r="B225" s="113" t="s">
        <v>1344</v>
      </c>
      <c r="C225" s="3" t="b">
        <f t="shared" si="3"/>
        <v>0</v>
      </c>
    </row>
    <row r="226" spans="1:3" x14ac:dyDescent="0.25">
      <c r="A226" s="14" t="s">
        <v>1344</v>
      </c>
      <c r="B226" s="113" t="s">
        <v>1289</v>
      </c>
      <c r="C226" s="3" t="b">
        <f t="shared" si="3"/>
        <v>0</v>
      </c>
    </row>
    <row r="227" spans="1:3" x14ac:dyDescent="0.25">
      <c r="A227" s="14" t="s">
        <v>1289</v>
      </c>
      <c r="B227" s="113" t="s">
        <v>1147</v>
      </c>
      <c r="C227" s="3" t="b">
        <f t="shared" si="3"/>
        <v>0</v>
      </c>
    </row>
    <row r="228" spans="1:3" x14ac:dyDescent="0.25">
      <c r="A228" s="14" t="s">
        <v>1147</v>
      </c>
      <c r="B228" s="113" t="s">
        <v>1259</v>
      </c>
      <c r="C228" s="3" t="b">
        <f t="shared" si="3"/>
        <v>0</v>
      </c>
    </row>
    <row r="229" spans="1:3" x14ac:dyDescent="0.25">
      <c r="A229" s="14" t="s">
        <v>1259</v>
      </c>
      <c r="B229" s="113" t="s">
        <v>1258</v>
      </c>
      <c r="C229" s="3" t="b">
        <f t="shared" si="3"/>
        <v>0</v>
      </c>
    </row>
    <row r="230" spans="1:3" x14ac:dyDescent="0.25">
      <c r="A230" s="14" t="s">
        <v>1258</v>
      </c>
      <c r="B230" s="113" t="s">
        <v>1381</v>
      </c>
      <c r="C230" s="3" t="b">
        <f t="shared" si="3"/>
        <v>0</v>
      </c>
    </row>
    <row r="231" spans="1:3" x14ac:dyDescent="0.25">
      <c r="A231" s="14" t="s">
        <v>1381</v>
      </c>
      <c r="B231" s="113" t="s">
        <v>1266</v>
      </c>
      <c r="C231" s="3" t="b">
        <f t="shared" si="3"/>
        <v>0</v>
      </c>
    </row>
    <row r="232" spans="1:3" x14ac:dyDescent="0.25">
      <c r="A232" s="14" t="s">
        <v>1266</v>
      </c>
      <c r="B232" s="113" t="s">
        <v>1442</v>
      </c>
      <c r="C232" s="3" t="b">
        <f t="shared" si="3"/>
        <v>0</v>
      </c>
    </row>
    <row r="233" spans="1:3" x14ac:dyDescent="0.25">
      <c r="A233" s="14" t="s">
        <v>1442</v>
      </c>
      <c r="B233" s="113" t="s">
        <v>844</v>
      </c>
      <c r="C233" s="3" t="b">
        <f t="shared" si="3"/>
        <v>0</v>
      </c>
    </row>
    <row r="234" spans="1:3" x14ac:dyDescent="0.25">
      <c r="A234" s="14" t="s">
        <v>844</v>
      </c>
      <c r="B234" s="113" t="s">
        <v>1305</v>
      </c>
      <c r="C234" s="3" t="b">
        <f t="shared" si="3"/>
        <v>0</v>
      </c>
    </row>
    <row r="235" spans="1:3" x14ac:dyDescent="0.25">
      <c r="A235" s="14" t="s">
        <v>1305</v>
      </c>
      <c r="B235" s="113" t="s">
        <v>1076</v>
      </c>
      <c r="C235" s="3" t="b">
        <f t="shared" si="3"/>
        <v>0</v>
      </c>
    </row>
    <row r="236" spans="1:3" x14ac:dyDescent="0.25">
      <c r="A236" s="14" t="s">
        <v>1076</v>
      </c>
      <c r="B236" s="113" t="s">
        <v>1432</v>
      </c>
      <c r="C236" s="3" t="b">
        <f t="shared" si="3"/>
        <v>0</v>
      </c>
    </row>
    <row r="237" spans="1:3" x14ac:dyDescent="0.25">
      <c r="A237" s="14" t="s">
        <v>1432</v>
      </c>
      <c r="B237" s="113" t="s">
        <v>1285</v>
      </c>
      <c r="C237" s="3" t="b">
        <f t="shared" si="3"/>
        <v>0</v>
      </c>
    </row>
    <row r="238" spans="1:3" x14ac:dyDescent="0.25">
      <c r="A238" s="14" t="s">
        <v>1285</v>
      </c>
      <c r="B238" s="113" t="s">
        <v>1955</v>
      </c>
      <c r="C238" s="3" t="b">
        <f t="shared" si="3"/>
        <v>0</v>
      </c>
    </row>
    <row r="239" spans="1:3" x14ac:dyDescent="0.25">
      <c r="A239" s="14" t="s">
        <v>1955</v>
      </c>
      <c r="B239" s="113" t="s">
        <v>1058</v>
      </c>
      <c r="C239" s="3" t="b">
        <f t="shared" si="3"/>
        <v>0</v>
      </c>
    </row>
    <row r="240" spans="1:3" x14ac:dyDescent="0.25">
      <c r="A240" s="14" t="s">
        <v>1058</v>
      </c>
      <c r="B240" s="113" t="s">
        <v>450</v>
      </c>
      <c r="C240" s="3" t="b">
        <f t="shared" si="3"/>
        <v>0</v>
      </c>
    </row>
    <row r="241" spans="1:3" x14ac:dyDescent="0.25">
      <c r="A241" s="14" t="s">
        <v>450</v>
      </c>
      <c r="B241" s="113" t="s">
        <v>1455</v>
      </c>
      <c r="C241" s="3" t="b">
        <f t="shared" si="3"/>
        <v>0</v>
      </c>
    </row>
    <row r="242" spans="1:3" x14ac:dyDescent="0.25">
      <c r="A242" s="14" t="s">
        <v>1455</v>
      </c>
      <c r="B242" s="113" t="s">
        <v>1439</v>
      </c>
      <c r="C242" s="3" t="b">
        <f t="shared" si="3"/>
        <v>0</v>
      </c>
    </row>
    <row r="243" spans="1:3" x14ac:dyDescent="0.25">
      <c r="A243" s="14" t="s">
        <v>1439</v>
      </c>
      <c r="B243" s="113" t="s">
        <v>1060</v>
      </c>
      <c r="C243" s="3" t="b">
        <f t="shared" si="3"/>
        <v>0</v>
      </c>
    </row>
    <row r="244" spans="1:3" x14ac:dyDescent="0.25">
      <c r="A244" s="54" t="s">
        <v>1060</v>
      </c>
      <c r="B244" s="113" t="s">
        <v>1444</v>
      </c>
      <c r="C244" s="3" t="b">
        <f t="shared" si="3"/>
        <v>0</v>
      </c>
    </row>
    <row r="245" spans="1:3" x14ac:dyDescent="0.25">
      <c r="A245" s="14" t="s">
        <v>1444</v>
      </c>
      <c r="B245" s="113" t="s">
        <v>1447</v>
      </c>
      <c r="C245" s="3" t="b">
        <f t="shared" si="3"/>
        <v>0</v>
      </c>
    </row>
    <row r="246" spans="1:3" x14ac:dyDescent="0.25">
      <c r="A246" s="110" t="s">
        <v>1447</v>
      </c>
      <c r="B246" s="113" t="s">
        <v>1460</v>
      </c>
      <c r="C246" s="3" t="b">
        <f t="shared" si="3"/>
        <v>0</v>
      </c>
    </row>
    <row r="247" spans="1:3" x14ac:dyDescent="0.25">
      <c r="A247" s="13" t="s">
        <v>1460</v>
      </c>
      <c r="B247" s="113" t="s">
        <v>1452</v>
      </c>
      <c r="C247" s="3" t="b">
        <f t="shared" si="3"/>
        <v>0</v>
      </c>
    </row>
    <row r="248" spans="1:3" x14ac:dyDescent="0.25">
      <c r="A248" s="13" t="s">
        <v>1452</v>
      </c>
      <c r="B248" s="113" t="s">
        <v>1423</v>
      </c>
      <c r="C248" s="3" t="b">
        <f t="shared" si="3"/>
        <v>0</v>
      </c>
    </row>
    <row r="249" spans="1:3" x14ac:dyDescent="0.25">
      <c r="A249" s="13" t="s">
        <v>1423</v>
      </c>
      <c r="C249" s="3" t="b">
        <f t="shared" si="3"/>
        <v>0</v>
      </c>
    </row>
  </sheetData>
  <conditionalFormatting sqref="A4:A7">
    <cfRule type="duplicateValues" dxfId="726" priority="38"/>
  </conditionalFormatting>
  <conditionalFormatting sqref="A4:A7">
    <cfRule type="duplicateValues" dxfId="725" priority="39"/>
    <cfRule type="duplicateValues" dxfId="724" priority="40"/>
  </conditionalFormatting>
  <conditionalFormatting sqref="A1">
    <cfRule type="duplicateValues" dxfId="723" priority="37"/>
  </conditionalFormatting>
  <conditionalFormatting sqref="A230:A245 A208:A228 A176:A206 A165:A174 A156:A163 A148:A149 A151:A154 A110:A146 A29:A108 A8:A27 A2:A3">
    <cfRule type="duplicateValues" dxfId="722" priority="41"/>
    <cfRule type="duplicateValues" dxfId="721" priority="42"/>
  </conditionalFormatting>
  <conditionalFormatting sqref="A230:A245 A208:A228 A176:A206 A165:A174 A156:A163 A148:A149 A151:A154 A110:A146 A29:A108 A8:A27 A2:A3">
    <cfRule type="duplicateValues" dxfId="720" priority="43"/>
  </conditionalFormatting>
  <conditionalFormatting sqref="A208:A245 A176:A206 A156:A174 A148:A149 A151:A154 A8:A146 A2:A3">
    <cfRule type="duplicateValues" dxfId="719" priority="44"/>
  </conditionalFormatting>
  <conditionalFormatting sqref="A28">
    <cfRule type="duplicateValues" dxfId="718" priority="34"/>
    <cfRule type="duplicateValues" dxfId="717" priority="35"/>
  </conditionalFormatting>
  <conditionalFormatting sqref="A28">
    <cfRule type="duplicateValues" dxfId="716" priority="36"/>
  </conditionalFormatting>
  <conditionalFormatting sqref="A109">
    <cfRule type="duplicateValues" dxfId="715" priority="31"/>
    <cfRule type="duplicateValues" dxfId="714" priority="32"/>
  </conditionalFormatting>
  <conditionalFormatting sqref="A109">
    <cfRule type="duplicateValues" dxfId="713" priority="33"/>
  </conditionalFormatting>
  <conditionalFormatting sqref="A147">
    <cfRule type="duplicateValues" dxfId="712" priority="28"/>
    <cfRule type="duplicateValues" dxfId="711" priority="29"/>
  </conditionalFormatting>
  <conditionalFormatting sqref="A147">
    <cfRule type="duplicateValues" dxfId="710" priority="30"/>
  </conditionalFormatting>
  <conditionalFormatting sqref="A150">
    <cfRule type="duplicateValues" dxfId="709" priority="25"/>
    <cfRule type="duplicateValues" dxfId="708" priority="26"/>
  </conditionalFormatting>
  <conditionalFormatting sqref="A150">
    <cfRule type="duplicateValues" dxfId="707" priority="27"/>
  </conditionalFormatting>
  <conditionalFormatting sqref="A155">
    <cfRule type="duplicateValues" dxfId="706" priority="22"/>
  </conditionalFormatting>
  <conditionalFormatting sqref="A155">
    <cfRule type="duplicateValues" dxfId="705" priority="23"/>
    <cfRule type="duplicateValues" dxfId="704" priority="24"/>
  </conditionalFormatting>
  <conditionalFormatting sqref="A164">
    <cfRule type="duplicateValues" dxfId="703" priority="19"/>
    <cfRule type="duplicateValues" dxfId="702" priority="20"/>
  </conditionalFormatting>
  <conditionalFormatting sqref="A164">
    <cfRule type="duplicateValues" dxfId="701" priority="21"/>
  </conditionalFormatting>
  <conditionalFormatting sqref="A207">
    <cfRule type="duplicateValues" dxfId="700" priority="16"/>
  </conditionalFormatting>
  <conditionalFormatting sqref="A207">
    <cfRule type="duplicateValues" dxfId="699" priority="17"/>
    <cfRule type="duplicateValues" dxfId="698" priority="18"/>
  </conditionalFormatting>
  <conditionalFormatting sqref="A229">
    <cfRule type="duplicateValues" dxfId="697" priority="13"/>
    <cfRule type="duplicateValues" dxfId="696" priority="14"/>
  </conditionalFormatting>
  <conditionalFormatting sqref="A229">
    <cfRule type="duplicateValues" dxfId="695" priority="15"/>
  </conditionalFormatting>
  <conditionalFormatting sqref="A246">
    <cfRule type="duplicateValues" dxfId="694" priority="12"/>
  </conditionalFormatting>
  <conditionalFormatting sqref="A246">
    <cfRule type="duplicateValues" dxfId="693" priority="9"/>
  </conditionalFormatting>
  <conditionalFormatting sqref="A246">
    <cfRule type="duplicateValues" dxfId="692" priority="10"/>
    <cfRule type="duplicateValues" dxfId="691" priority="11"/>
  </conditionalFormatting>
  <conditionalFormatting sqref="A247">
    <cfRule type="duplicateValues" dxfId="690" priority="8"/>
  </conditionalFormatting>
  <conditionalFormatting sqref="A247">
    <cfRule type="duplicateValues" dxfId="689" priority="5"/>
  </conditionalFormatting>
  <conditionalFormatting sqref="A247">
    <cfRule type="duplicateValues" dxfId="688" priority="6"/>
    <cfRule type="duplicateValues" dxfId="687" priority="7"/>
  </conditionalFormatting>
  <conditionalFormatting sqref="A248:A249">
    <cfRule type="duplicateValues" dxfId="686" priority="4"/>
  </conditionalFormatting>
  <conditionalFormatting sqref="A248:A249">
    <cfRule type="duplicateValues" dxfId="685" priority="1"/>
  </conditionalFormatting>
  <conditionalFormatting sqref="A248:A249">
    <cfRule type="duplicateValues" dxfId="684" priority="2"/>
    <cfRule type="duplicateValues" dxfId="683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2224</v>
      </c>
      <c r="B1" s="102" t="s">
        <v>2225</v>
      </c>
      <c r="C1" s="102" t="s">
        <v>2226</v>
      </c>
    </row>
    <row r="2" spans="1:3" hidden="1" x14ac:dyDescent="0.25">
      <c r="A2" s="70">
        <v>9203</v>
      </c>
      <c r="B2" s="70" t="s">
        <v>653</v>
      </c>
      <c r="C2" s="70" t="s">
        <v>2238</v>
      </c>
    </row>
    <row r="3" spans="1:3" hidden="1" x14ac:dyDescent="0.25">
      <c r="A3" s="70">
        <v>9211</v>
      </c>
      <c r="B3" s="70" t="s">
        <v>2229</v>
      </c>
      <c r="C3" s="70" t="s">
        <v>2228</v>
      </c>
    </row>
    <row r="4" spans="1:3" hidden="1" x14ac:dyDescent="0.25">
      <c r="A4" s="70">
        <v>9212</v>
      </c>
      <c r="B4" s="70" t="s">
        <v>2230</v>
      </c>
      <c r="C4" s="70" t="s">
        <v>2231</v>
      </c>
    </row>
    <row r="5" spans="1:3" hidden="1" x14ac:dyDescent="0.25">
      <c r="A5" s="70">
        <v>9213</v>
      </c>
      <c r="B5" s="70" t="s">
        <v>691</v>
      </c>
      <c r="C5" s="70" t="s">
        <v>2228</v>
      </c>
    </row>
    <row r="6" spans="1:3" hidden="1" x14ac:dyDescent="0.25">
      <c r="A6" s="70">
        <v>9214</v>
      </c>
      <c r="B6" s="70" t="s">
        <v>2232</v>
      </c>
      <c r="C6" s="70" t="s">
        <v>2231</v>
      </c>
    </row>
    <row r="7" spans="1:3" hidden="1" x14ac:dyDescent="0.25">
      <c r="A7" s="70">
        <v>9217</v>
      </c>
      <c r="B7" s="70" t="s">
        <v>688</v>
      </c>
      <c r="C7" s="70" t="s">
        <v>2228</v>
      </c>
    </row>
    <row r="8" spans="1:3" hidden="1" x14ac:dyDescent="0.25">
      <c r="A8" s="70">
        <v>9218</v>
      </c>
      <c r="B8" s="70" t="s">
        <v>2233</v>
      </c>
      <c r="C8" s="70" t="s">
        <v>2228</v>
      </c>
    </row>
    <row r="9" spans="1:3" hidden="1" x14ac:dyDescent="0.25">
      <c r="A9" s="70">
        <v>9219</v>
      </c>
      <c r="B9" s="70" t="s">
        <v>2234</v>
      </c>
      <c r="C9" s="70" t="s">
        <v>2228</v>
      </c>
    </row>
    <row r="10" spans="1:3" hidden="1" x14ac:dyDescent="0.25">
      <c r="A10" s="70">
        <v>9221</v>
      </c>
      <c r="B10" s="70" t="s">
        <v>768</v>
      </c>
      <c r="C10" s="70" t="s">
        <v>2238</v>
      </c>
    </row>
    <row r="11" spans="1:3" hidden="1" x14ac:dyDescent="0.25">
      <c r="A11" s="70">
        <v>9224</v>
      </c>
      <c r="B11" s="70" t="s">
        <v>667</v>
      </c>
      <c r="C11" s="70" t="s">
        <v>2228</v>
      </c>
    </row>
    <row r="12" spans="1:3" hidden="1" x14ac:dyDescent="0.25">
      <c r="A12" s="70">
        <v>9225</v>
      </c>
      <c r="B12" s="70" t="s">
        <v>836</v>
      </c>
      <c r="C12" s="70" t="s">
        <v>2228</v>
      </c>
    </row>
    <row r="13" spans="1:3" hidden="1" x14ac:dyDescent="0.25">
      <c r="A13" s="70">
        <v>9226</v>
      </c>
      <c r="B13" s="70" t="s">
        <v>714</v>
      </c>
      <c r="C13" s="70" t="s">
        <v>2228</v>
      </c>
    </row>
    <row r="14" spans="1:3" hidden="1" x14ac:dyDescent="0.25">
      <c r="A14" s="70">
        <v>9227</v>
      </c>
      <c r="B14" s="70" t="s">
        <v>821</v>
      </c>
      <c r="C14" s="70" t="s">
        <v>2228</v>
      </c>
    </row>
    <row r="15" spans="1:3" hidden="1" x14ac:dyDescent="0.25">
      <c r="A15" s="70">
        <v>9228</v>
      </c>
      <c r="B15" s="70" t="s">
        <v>830</v>
      </c>
      <c r="C15" s="70" t="s">
        <v>2228</v>
      </c>
    </row>
    <row r="16" spans="1:3" hidden="1" x14ac:dyDescent="0.25">
      <c r="A16" s="70">
        <v>9229</v>
      </c>
      <c r="B16" s="70" t="s">
        <v>2235</v>
      </c>
      <c r="C16" s="70" t="s">
        <v>2231</v>
      </c>
    </row>
    <row r="17" spans="1:3" hidden="1" x14ac:dyDescent="0.25">
      <c r="A17" s="104">
        <v>9229</v>
      </c>
      <c r="B17" s="70" t="s">
        <v>2371</v>
      </c>
      <c r="C17" s="103" t="s">
        <v>2228</v>
      </c>
    </row>
    <row r="18" spans="1:3" hidden="1" x14ac:dyDescent="0.25">
      <c r="A18" s="70">
        <v>9231</v>
      </c>
      <c r="B18" s="70" t="s">
        <v>807</v>
      </c>
      <c r="C18" s="70" t="s">
        <v>2228</v>
      </c>
    </row>
    <row r="19" spans="1:3" hidden="1" x14ac:dyDescent="0.25">
      <c r="A19" s="70">
        <v>9232</v>
      </c>
      <c r="B19" s="70" t="s">
        <v>698</v>
      </c>
      <c r="C19" s="70" t="s">
        <v>2228</v>
      </c>
    </row>
    <row r="20" spans="1:3" hidden="1" x14ac:dyDescent="0.25">
      <c r="A20" s="70">
        <v>9234</v>
      </c>
      <c r="B20" s="70" t="s">
        <v>661</v>
      </c>
      <c r="C20" s="70" t="s">
        <v>2231</v>
      </c>
    </row>
    <row r="21" spans="1:3" hidden="1" x14ac:dyDescent="0.25">
      <c r="A21" s="70">
        <v>9238</v>
      </c>
      <c r="B21" s="70" t="s">
        <v>842</v>
      </c>
      <c r="C21" s="70" t="s">
        <v>2228</v>
      </c>
    </row>
    <row r="22" spans="1:3" hidden="1" x14ac:dyDescent="0.25">
      <c r="A22" s="70">
        <v>9241</v>
      </c>
      <c r="B22" s="70" t="s">
        <v>2236</v>
      </c>
      <c r="C22" s="70" t="s">
        <v>2231</v>
      </c>
    </row>
    <row r="23" spans="1:3" hidden="1" x14ac:dyDescent="0.25">
      <c r="A23" s="70">
        <v>9246</v>
      </c>
      <c r="B23" s="70" t="s">
        <v>727</v>
      </c>
      <c r="C23" s="70" t="s">
        <v>2228</v>
      </c>
    </row>
    <row r="24" spans="1:3" hidden="1" x14ac:dyDescent="0.25">
      <c r="A24" s="70">
        <v>9250</v>
      </c>
      <c r="B24" s="70" t="s">
        <v>717</v>
      </c>
      <c r="C24" s="70" t="s">
        <v>2228</v>
      </c>
    </row>
    <row r="25" spans="1:3" hidden="1" x14ac:dyDescent="0.25">
      <c r="A25" s="70">
        <v>9252</v>
      </c>
      <c r="B25" s="70" t="s">
        <v>2237</v>
      </c>
      <c r="C25" s="70" t="s">
        <v>2238</v>
      </c>
    </row>
    <row r="26" spans="1:3" hidden="1" x14ac:dyDescent="0.25">
      <c r="A26" s="70">
        <v>9253</v>
      </c>
      <c r="B26" s="70" t="s">
        <v>2239</v>
      </c>
      <c r="C26" s="70" t="s">
        <v>2238</v>
      </c>
    </row>
    <row r="27" spans="1:3" hidden="1" x14ac:dyDescent="0.25">
      <c r="A27" s="70">
        <v>9259</v>
      </c>
      <c r="B27" s="70" t="s">
        <v>677</v>
      </c>
      <c r="C27" s="70" t="s">
        <v>2228</v>
      </c>
    </row>
    <row r="28" spans="1:3" hidden="1" x14ac:dyDescent="0.25">
      <c r="A28" s="70">
        <v>9260</v>
      </c>
      <c r="B28" s="70" t="s">
        <v>2240</v>
      </c>
      <c r="C28" s="70" t="s">
        <v>2228</v>
      </c>
    </row>
    <row r="29" spans="1:3" hidden="1" x14ac:dyDescent="0.25">
      <c r="A29" s="70">
        <v>9261</v>
      </c>
      <c r="B29" s="70" t="s">
        <v>2241</v>
      </c>
      <c r="C29" s="70" t="s">
        <v>2228</v>
      </c>
    </row>
    <row r="30" spans="1:3" hidden="1" x14ac:dyDescent="0.25">
      <c r="A30" s="70">
        <v>9263</v>
      </c>
      <c r="B30" s="70" t="s">
        <v>712</v>
      </c>
      <c r="C30" s="70" t="s">
        <v>2228</v>
      </c>
    </row>
    <row r="31" spans="1:3" hidden="1" x14ac:dyDescent="0.25">
      <c r="A31" s="70">
        <v>9264</v>
      </c>
      <c r="B31" s="70" t="s">
        <v>2242</v>
      </c>
      <c r="C31" s="70" t="s">
        <v>2228</v>
      </c>
    </row>
    <row r="32" spans="1:3" hidden="1" x14ac:dyDescent="0.25">
      <c r="A32" s="70">
        <v>9268</v>
      </c>
      <c r="B32" s="70" t="s">
        <v>2243</v>
      </c>
      <c r="C32" s="70" t="s">
        <v>2231</v>
      </c>
    </row>
    <row r="33" spans="1:3" hidden="1" x14ac:dyDescent="0.25">
      <c r="A33" s="70">
        <v>9269</v>
      </c>
      <c r="B33" s="70" t="s">
        <v>2244</v>
      </c>
      <c r="C33" s="70" t="s">
        <v>2231</v>
      </c>
    </row>
    <row r="34" spans="1:3" hidden="1" x14ac:dyDescent="0.25">
      <c r="A34" s="70">
        <v>9270</v>
      </c>
      <c r="B34" s="70" t="s">
        <v>2245</v>
      </c>
      <c r="C34" s="70" t="s">
        <v>2228</v>
      </c>
    </row>
    <row r="35" spans="1:3" hidden="1" x14ac:dyDescent="0.25">
      <c r="A35" s="70">
        <v>9271</v>
      </c>
      <c r="B35" s="70" t="s">
        <v>797</v>
      </c>
      <c r="C35" s="70" t="s">
        <v>2228</v>
      </c>
    </row>
    <row r="36" spans="1:3" hidden="1" x14ac:dyDescent="0.25">
      <c r="A36" s="70">
        <v>9272</v>
      </c>
      <c r="B36" s="70" t="s">
        <v>2246</v>
      </c>
      <c r="C36" s="70" t="s">
        <v>2228</v>
      </c>
    </row>
    <row r="37" spans="1:3" hidden="1" x14ac:dyDescent="0.25">
      <c r="A37" s="70">
        <v>9276</v>
      </c>
      <c r="B37" s="70" t="s">
        <v>725</v>
      </c>
      <c r="C37" s="70" t="s">
        <v>2228</v>
      </c>
    </row>
    <row r="38" spans="1:3" hidden="1" x14ac:dyDescent="0.25">
      <c r="A38" s="70">
        <v>9282</v>
      </c>
      <c r="B38" s="70" t="s">
        <v>2247</v>
      </c>
      <c r="C38" s="70" t="s">
        <v>2228</v>
      </c>
    </row>
    <row r="39" spans="1:3" hidden="1" x14ac:dyDescent="0.25">
      <c r="A39" s="70">
        <v>9283</v>
      </c>
      <c r="B39" s="70" t="s">
        <v>2248</v>
      </c>
      <c r="C39" s="70" t="s">
        <v>2231</v>
      </c>
    </row>
    <row r="40" spans="1:3" hidden="1" x14ac:dyDescent="0.25">
      <c r="A40" s="70">
        <v>9284</v>
      </c>
      <c r="B40" s="70" t="s">
        <v>832</v>
      </c>
      <c r="C40" s="70" t="s">
        <v>2231</v>
      </c>
    </row>
    <row r="41" spans="1:3" hidden="1" x14ac:dyDescent="0.25">
      <c r="A41" s="70">
        <v>9285</v>
      </c>
      <c r="B41" s="70" t="s">
        <v>2249</v>
      </c>
      <c r="C41" s="70" t="s">
        <v>2238</v>
      </c>
    </row>
    <row r="42" spans="1:3" hidden="1" x14ac:dyDescent="0.25">
      <c r="A42" s="70">
        <v>9289</v>
      </c>
      <c r="B42" s="70" t="s">
        <v>2250</v>
      </c>
      <c r="C42" s="70" t="s">
        <v>2228</v>
      </c>
    </row>
    <row r="43" spans="1:3" hidden="1" x14ac:dyDescent="0.25">
      <c r="A43" s="70">
        <v>9290</v>
      </c>
      <c r="B43" s="70" t="s">
        <v>824</v>
      </c>
      <c r="C43" s="70" t="s">
        <v>2228</v>
      </c>
    </row>
    <row r="44" spans="1:3" hidden="1" x14ac:dyDescent="0.25">
      <c r="A44" s="70">
        <v>9291</v>
      </c>
      <c r="B44" s="70" t="s">
        <v>817</v>
      </c>
      <c r="C44" s="70" t="s">
        <v>2228</v>
      </c>
    </row>
    <row r="45" spans="1:3" hidden="1" x14ac:dyDescent="0.25">
      <c r="A45" s="70">
        <v>9292</v>
      </c>
      <c r="B45" s="70" t="s">
        <v>2133</v>
      </c>
      <c r="C45" s="70" t="s">
        <v>2228</v>
      </c>
    </row>
    <row r="46" spans="1:3" hidden="1" x14ac:dyDescent="0.25">
      <c r="A46" s="70">
        <v>9294</v>
      </c>
      <c r="B46" s="70" t="s">
        <v>793</v>
      </c>
      <c r="C46" s="70" t="s">
        <v>2228</v>
      </c>
    </row>
    <row r="47" spans="1:3" hidden="1" x14ac:dyDescent="0.25">
      <c r="A47" s="70">
        <v>9295</v>
      </c>
      <c r="B47" s="70" t="s">
        <v>2251</v>
      </c>
      <c r="C47" s="70" t="s">
        <v>2238</v>
      </c>
    </row>
    <row r="48" spans="1:3" hidden="1" x14ac:dyDescent="0.25">
      <c r="A48" s="70">
        <v>9297</v>
      </c>
      <c r="B48" s="70" t="s">
        <v>733</v>
      </c>
      <c r="C48" s="70" t="s">
        <v>2231</v>
      </c>
    </row>
    <row r="49" spans="1:3" hidden="1" x14ac:dyDescent="0.25">
      <c r="A49" s="70">
        <v>9298</v>
      </c>
      <c r="B49" s="70" t="s">
        <v>2252</v>
      </c>
      <c r="C49" s="70" t="s">
        <v>2238</v>
      </c>
    </row>
    <row r="50" spans="1:3" hidden="1" x14ac:dyDescent="0.25">
      <c r="A50" s="70">
        <v>9299</v>
      </c>
      <c r="B50" s="70" t="s">
        <v>752</v>
      </c>
      <c r="C50" s="70" t="s">
        <v>2228</v>
      </c>
    </row>
    <row r="51" spans="1:3" hidden="1" x14ac:dyDescent="0.25">
      <c r="A51" s="70">
        <v>9304</v>
      </c>
      <c r="B51" s="70" t="s">
        <v>2253</v>
      </c>
      <c r="C51" s="70" t="s">
        <v>2231</v>
      </c>
    </row>
    <row r="52" spans="1:3" hidden="1" x14ac:dyDescent="0.25">
      <c r="A52" s="70">
        <v>9311</v>
      </c>
      <c r="B52" s="70" t="s">
        <v>2254</v>
      </c>
      <c r="C52" s="70" t="s">
        <v>2228</v>
      </c>
    </row>
    <row r="53" spans="1:3" hidden="1" x14ac:dyDescent="0.25">
      <c r="A53" s="70">
        <v>9312</v>
      </c>
      <c r="B53" s="70" t="s">
        <v>2255</v>
      </c>
      <c r="C53" s="70" t="s">
        <v>2228</v>
      </c>
    </row>
    <row r="54" spans="1:3" hidden="1" x14ac:dyDescent="0.25">
      <c r="A54" s="70">
        <v>9330</v>
      </c>
      <c r="B54" s="70" t="s">
        <v>540</v>
      </c>
      <c r="C54" s="70" t="s">
        <v>2228</v>
      </c>
    </row>
    <row r="55" spans="1:3" hidden="1" x14ac:dyDescent="0.25">
      <c r="A55" s="70">
        <v>9336</v>
      </c>
      <c r="B55" s="70" t="s">
        <v>2256</v>
      </c>
      <c r="C55" s="70" t="s">
        <v>2231</v>
      </c>
    </row>
    <row r="56" spans="1:3" hidden="1" x14ac:dyDescent="0.25">
      <c r="A56" s="70">
        <v>9340</v>
      </c>
      <c r="B56" s="70" t="s">
        <v>524</v>
      </c>
      <c r="C56" s="70" t="s">
        <v>2228</v>
      </c>
    </row>
    <row r="57" spans="1:3" hidden="1" x14ac:dyDescent="0.25">
      <c r="A57" s="70">
        <v>9341</v>
      </c>
      <c r="B57" s="70" t="s">
        <v>2257</v>
      </c>
      <c r="C57" s="70" t="s">
        <v>2238</v>
      </c>
    </row>
    <row r="58" spans="1:3" hidden="1" x14ac:dyDescent="0.25">
      <c r="A58" s="70">
        <v>9345</v>
      </c>
      <c r="B58" s="70" t="s">
        <v>738</v>
      </c>
      <c r="C58" s="70" t="s">
        <v>2228</v>
      </c>
    </row>
    <row r="59" spans="1:3" hidden="1" x14ac:dyDescent="0.25">
      <c r="A59" s="70">
        <v>9349</v>
      </c>
      <c r="B59" s="70" t="s">
        <v>750</v>
      </c>
      <c r="C59" s="70" t="s">
        <v>2231</v>
      </c>
    </row>
    <row r="60" spans="1:3" hidden="1" x14ac:dyDescent="0.25">
      <c r="A60" s="70">
        <v>9350</v>
      </c>
      <c r="B60" s="70" t="s">
        <v>2258</v>
      </c>
      <c r="C60" s="70" t="s">
        <v>2231</v>
      </c>
    </row>
    <row r="61" spans="1:3" hidden="1" x14ac:dyDescent="0.25">
      <c r="A61" s="70">
        <v>9360</v>
      </c>
      <c r="B61" s="70" t="s">
        <v>2259</v>
      </c>
      <c r="C61" s="70" t="s">
        <v>2228</v>
      </c>
    </row>
    <row r="62" spans="1:3" hidden="1" x14ac:dyDescent="0.25">
      <c r="A62" s="70">
        <v>9370</v>
      </c>
      <c r="B62" s="70" t="s">
        <v>2260</v>
      </c>
      <c r="C62" s="70" t="s">
        <v>2228</v>
      </c>
    </row>
    <row r="63" spans="1:3" hidden="1" x14ac:dyDescent="0.25">
      <c r="A63" s="70">
        <v>9374</v>
      </c>
      <c r="B63" s="70" t="s">
        <v>2261</v>
      </c>
      <c r="C63" s="70" t="s">
        <v>2238</v>
      </c>
    </row>
    <row r="64" spans="1:3" hidden="1" x14ac:dyDescent="0.25">
      <c r="A64" s="70">
        <v>9388</v>
      </c>
      <c r="B64" s="70" t="s">
        <v>555</v>
      </c>
      <c r="C64" s="70" t="s">
        <v>2228</v>
      </c>
    </row>
    <row r="65" spans="1:3" hidden="1" x14ac:dyDescent="0.25">
      <c r="A65" s="70">
        <v>9390</v>
      </c>
      <c r="B65" s="70" t="s">
        <v>568</v>
      </c>
      <c r="C65" s="70" t="s">
        <v>2238</v>
      </c>
    </row>
    <row r="66" spans="1:3" hidden="1" x14ac:dyDescent="0.25">
      <c r="A66" s="70">
        <v>9391</v>
      </c>
      <c r="B66" s="70" t="s">
        <v>2262</v>
      </c>
      <c r="C66" s="70" t="s">
        <v>2228</v>
      </c>
    </row>
    <row r="67" spans="1:3" hidden="1" x14ac:dyDescent="0.25">
      <c r="A67" s="70">
        <v>9392</v>
      </c>
      <c r="B67" s="70" t="s">
        <v>526</v>
      </c>
      <c r="C67" s="70" t="s">
        <v>2228</v>
      </c>
    </row>
    <row r="68" spans="1:3" hidden="1" x14ac:dyDescent="0.25">
      <c r="A68" s="70">
        <v>9393</v>
      </c>
      <c r="B68" s="70" t="s">
        <v>2263</v>
      </c>
      <c r="C68" s="70" t="s">
        <v>2228</v>
      </c>
    </row>
    <row r="69" spans="1:3" hidden="1" x14ac:dyDescent="0.25">
      <c r="A69" s="70">
        <v>9394</v>
      </c>
      <c r="B69" s="70" t="s">
        <v>2264</v>
      </c>
      <c r="C69" s="70" t="s">
        <v>2228</v>
      </c>
    </row>
    <row r="70" spans="1:3" hidden="1" x14ac:dyDescent="0.25">
      <c r="A70" s="70">
        <v>9396</v>
      </c>
      <c r="B70" s="70" t="s">
        <v>2265</v>
      </c>
      <c r="C70" s="70" t="s">
        <v>2228</v>
      </c>
    </row>
    <row r="71" spans="1:3" hidden="1" x14ac:dyDescent="0.25">
      <c r="A71" s="70">
        <v>9397</v>
      </c>
      <c r="B71" s="70" t="s">
        <v>538</v>
      </c>
      <c r="C71" s="70" t="s">
        <v>2228</v>
      </c>
    </row>
    <row r="72" spans="1:3" hidden="1" x14ac:dyDescent="0.25">
      <c r="A72" s="70">
        <v>9398</v>
      </c>
      <c r="B72" s="70" t="s">
        <v>2266</v>
      </c>
      <c r="C72" s="70" t="s">
        <v>2228</v>
      </c>
    </row>
    <row r="73" spans="1:3" hidden="1" x14ac:dyDescent="0.25">
      <c r="A73" s="70">
        <v>9402</v>
      </c>
      <c r="B73" s="70" t="s">
        <v>2267</v>
      </c>
      <c r="C73" s="70" t="s">
        <v>2238</v>
      </c>
    </row>
    <row r="74" spans="1:3" hidden="1" x14ac:dyDescent="0.25">
      <c r="A74" s="70">
        <v>9405</v>
      </c>
      <c r="B74" s="70" t="s">
        <v>511</v>
      </c>
      <c r="C74" s="70" t="s">
        <v>2228</v>
      </c>
    </row>
    <row r="75" spans="1:3" hidden="1" x14ac:dyDescent="0.25">
      <c r="A75" s="70">
        <v>9408</v>
      </c>
      <c r="B75" s="70" t="s">
        <v>608</v>
      </c>
      <c r="C75" s="70" t="s">
        <v>2231</v>
      </c>
    </row>
    <row r="76" spans="1:3" hidden="1" x14ac:dyDescent="0.25">
      <c r="A76" s="70">
        <v>9410</v>
      </c>
      <c r="B76" s="70" t="s">
        <v>2268</v>
      </c>
      <c r="C76" s="70" t="s">
        <v>2228</v>
      </c>
    </row>
    <row r="77" spans="1:3" hidden="1" x14ac:dyDescent="0.25">
      <c r="A77" s="70">
        <v>9414</v>
      </c>
      <c r="B77" s="70" t="s">
        <v>2269</v>
      </c>
      <c r="C77" s="70" t="s">
        <v>2238</v>
      </c>
    </row>
    <row r="78" spans="1:3" hidden="1" x14ac:dyDescent="0.25">
      <c r="A78" s="70">
        <v>9415</v>
      </c>
      <c r="B78" s="70" t="s">
        <v>2270</v>
      </c>
      <c r="C78" s="70" t="s">
        <v>2231</v>
      </c>
    </row>
    <row r="79" spans="1:3" hidden="1" x14ac:dyDescent="0.25">
      <c r="A79" s="70">
        <v>9420</v>
      </c>
      <c r="B79" s="70" t="s">
        <v>2271</v>
      </c>
      <c r="C79" s="70" t="s">
        <v>2238</v>
      </c>
    </row>
    <row r="80" spans="1:3" hidden="1" x14ac:dyDescent="0.25">
      <c r="A80" s="70">
        <v>9425</v>
      </c>
      <c r="B80" s="70" t="s">
        <v>2272</v>
      </c>
      <c r="C80" s="70" t="s">
        <v>2228</v>
      </c>
    </row>
    <row r="81" spans="1:3" hidden="1" x14ac:dyDescent="0.25">
      <c r="A81" s="70">
        <v>9429</v>
      </c>
      <c r="B81" s="70" t="s">
        <v>2273</v>
      </c>
      <c r="C81" s="70" t="s">
        <v>2228</v>
      </c>
    </row>
    <row r="82" spans="1:3" hidden="1" x14ac:dyDescent="0.25">
      <c r="A82" s="70">
        <v>9430</v>
      </c>
      <c r="B82" s="70" t="s">
        <v>2274</v>
      </c>
      <c r="C82" s="70" t="s">
        <v>2228</v>
      </c>
    </row>
    <row r="83" spans="1:3" hidden="1" x14ac:dyDescent="0.25">
      <c r="A83" s="70">
        <v>9440</v>
      </c>
      <c r="B83" s="70" t="s">
        <v>465</v>
      </c>
      <c r="C83" s="70" t="s">
        <v>2228</v>
      </c>
    </row>
    <row r="84" spans="1:3" hidden="1" x14ac:dyDescent="0.25">
      <c r="A84" s="70">
        <v>9441</v>
      </c>
      <c r="B84" s="70" t="s">
        <v>2275</v>
      </c>
      <c r="C84" s="70" t="s">
        <v>2228</v>
      </c>
    </row>
    <row r="85" spans="1:3" hidden="1" x14ac:dyDescent="0.25">
      <c r="A85" s="70">
        <v>9444</v>
      </c>
      <c r="B85" s="70" t="s">
        <v>2276</v>
      </c>
      <c r="C85" s="70" t="s">
        <v>2228</v>
      </c>
    </row>
    <row r="86" spans="1:3" hidden="1" x14ac:dyDescent="0.25">
      <c r="A86" s="70">
        <v>9445</v>
      </c>
      <c r="B86" s="70" t="s">
        <v>2277</v>
      </c>
      <c r="C86" s="70" t="s">
        <v>2231</v>
      </c>
    </row>
    <row r="87" spans="1:3" hidden="1" x14ac:dyDescent="0.25">
      <c r="A87" s="70">
        <v>9446</v>
      </c>
      <c r="B87" s="70" t="s">
        <v>2278</v>
      </c>
      <c r="C87" s="70" t="s">
        <v>2228</v>
      </c>
    </row>
    <row r="88" spans="1:3" hidden="1" x14ac:dyDescent="0.25">
      <c r="A88" s="70">
        <v>9448</v>
      </c>
      <c r="B88" s="70" t="s">
        <v>2279</v>
      </c>
      <c r="C88" s="70" t="s">
        <v>2228</v>
      </c>
    </row>
    <row r="89" spans="1:3" hidden="1" x14ac:dyDescent="0.25">
      <c r="A89" s="70">
        <v>9461</v>
      </c>
      <c r="B89" s="70" t="s">
        <v>2280</v>
      </c>
      <c r="C89" s="70" t="s">
        <v>2228</v>
      </c>
    </row>
    <row r="90" spans="1:3" hidden="1" x14ac:dyDescent="0.25">
      <c r="A90" s="70">
        <v>9467</v>
      </c>
      <c r="B90" s="70" t="s">
        <v>2281</v>
      </c>
      <c r="C90" s="70" t="s">
        <v>2228</v>
      </c>
    </row>
    <row r="91" spans="1:3" hidden="1" x14ac:dyDescent="0.25">
      <c r="A91" s="70">
        <v>9469</v>
      </c>
      <c r="B91" s="70" t="s">
        <v>494</v>
      </c>
      <c r="C91" s="70" t="s">
        <v>2238</v>
      </c>
    </row>
    <row r="92" spans="1:3" hidden="1" x14ac:dyDescent="0.25">
      <c r="A92" s="70">
        <v>9470</v>
      </c>
      <c r="B92" s="70" t="s">
        <v>498</v>
      </c>
      <c r="C92" s="70" t="s">
        <v>2228</v>
      </c>
    </row>
    <row r="93" spans="1:3" hidden="1" x14ac:dyDescent="0.25">
      <c r="A93" s="70">
        <v>9471</v>
      </c>
      <c r="B93" s="70" t="s">
        <v>2282</v>
      </c>
      <c r="C93" s="70" t="s">
        <v>2231</v>
      </c>
    </row>
    <row r="94" spans="1:3" hidden="1" x14ac:dyDescent="0.25">
      <c r="A94" s="70">
        <v>9472</v>
      </c>
      <c r="B94" s="70" t="s">
        <v>506</v>
      </c>
      <c r="C94" s="70" t="s">
        <v>2228</v>
      </c>
    </row>
    <row r="95" spans="1:3" hidden="1" x14ac:dyDescent="0.25">
      <c r="A95" s="70">
        <v>9474</v>
      </c>
      <c r="B95" s="70" t="s">
        <v>2283</v>
      </c>
      <c r="C95" s="70" t="s">
        <v>2238</v>
      </c>
    </row>
    <row r="96" spans="1:3" hidden="1" x14ac:dyDescent="0.25">
      <c r="A96" s="70">
        <v>9477</v>
      </c>
      <c r="B96" s="70" t="s">
        <v>2284</v>
      </c>
      <c r="C96" s="70" t="s">
        <v>2231</v>
      </c>
    </row>
    <row r="97" spans="1:3" hidden="1" x14ac:dyDescent="0.25">
      <c r="A97" s="70">
        <v>9485</v>
      </c>
      <c r="B97" s="70" t="s">
        <v>2285</v>
      </c>
      <c r="C97" s="70" t="s">
        <v>2228</v>
      </c>
    </row>
    <row r="98" spans="1:3" hidden="1" x14ac:dyDescent="0.25">
      <c r="A98" s="70">
        <v>9499</v>
      </c>
      <c r="B98" s="70" t="s">
        <v>2286</v>
      </c>
      <c r="C98" s="70" t="s">
        <v>2228</v>
      </c>
    </row>
    <row r="99" spans="1:3" hidden="1" x14ac:dyDescent="0.25">
      <c r="A99" s="70">
        <v>9503</v>
      </c>
      <c r="B99" s="70" t="s">
        <v>2287</v>
      </c>
      <c r="C99" s="70" t="s">
        <v>2228</v>
      </c>
    </row>
    <row r="100" spans="1:3" hidden="1" x14ac:dyDescent="0.25">
      <c r="A100" s="70">
        <v>9504</v>
      </c>
      <c r="B100" s="70" t="s">
        <v>2288</v>
      </c>
      <c r="C100" s="70" t="s">
        <v>2238</v>
      </c>
    </row>
    <row r="101" spans="1:3" hidden="1" x14ac:dyDescent="0.25">
      <c r="A101" s="70">
        <v>9510</v>
      </c>
      <c r="B101" s="70" t="s">
        <v>2289</v>
      </c>
      <c r="C101" s="70" t="s">
        <v>2228</v>
      </c>
    </row>
    <row r="102" spans="1:3" hidden="1" x14ac:dyDescent="0.25">
      <c r="A102" s="70">
        <v>9518</v>
      </c>
      <c r="B102" s="70" t="s">
        <v>2290</v>
      </c>
      <c r="C102" s="70" t="s">
        <v>2231</v>
      </c>
    </row>
    <row r="103" spans="1:3" hidden="1" x14ac:dyDescent="0.25">
      <c r="A103" s="70">
        <v>9530</v>
      </c>
      <c r="B103" s="70" t="s">
        <v>2291</v>
      </c>
      <c r="C103" s="70" t="s">
        <v>2228</v>
      </c>
    </row>
    <row r="104" spans="1:3" hidden="1" x14ac:dyDescent="0.25">
      <c r="A104" s="70">
        <v>9536</v>
      </c>
      <c r="B104" s="70" t="s">
        <v>2292</v>
      </c>
      <c r="C104" s="70" t="s">
        <v>2228</v>
      </c>
    </row>
    <row r="105" spans="1:3" hidden="1" x14ac:dyDescent="0.25">
      <c r="A105" s="70">
        <v>9538</v>
      </c>
      <c r="B105" s="70" t="s">
        <v>2293</v>
      </c>
      <c r="C105" s="70" t="s">
        <v>2231</v>
      </c>
    </row>
    <row r="106" spans="1:3" hidden="1" x14ac:dyDescent="0.25">
      <c r="A106" s="70">
        <v>9540</v>
      </c>
      <c r="B106" s="70" t="s">
        <v>969</v>
      </c>
      <c r="C106" s="70" t="s">
        <v>2228</v>
      </c>
    </row>
    <row r="107" spans="1:3" hidden="1" x14ac:dyDescent="0.25">
      <c r="A107" s="70">
        <v>9541</v>
      </c>
      <c r="B107" s="70" t="s">
        <v>2294</v>
      </c>
      <c r="C107" s="70" t="s">
        <v>2231</v>
      </c>
    </row>
    <row r="108" spans="1:3" hidden="1" x14ac:dyDescent="0.25">
      <c r="A108" s="70">
        <v>9543</v>
      </c>
      <c r="B108" s="70" t="s">
        <v>2295</v>
      </c>
      <c r="C108" s="70" t="s">
        <v>2231</v>
      </c>
    </row>
    <row r="109" spans="1:3" hidden="1" x14ac:dyDescent="0.25">
      <c r="A109" s="70">
        <v>9550</v>
      </c>
      <c r="B109" s="70" t="s">
        <v>2296</v>
      </c>
      <c r="C109" s="70" t="s">
        <v>2231</v>
      </c>
    </row>
    <row r="110" spans="1:3" hidden="1" x14ac:dyDescent="0.25">
      <c r="A110" s="70">
        <v>9555</v>
      </c>
      <c r="B110" s="70" t="s">
        <v>2297</v>
      </c>
      <c r="C110" s="70" t="s">
        <v>2228</v>
      </c>
    </row>
    <row r="111" spans="1:3" hidden="1" x14ac:dyDescent="0.25">
      <c r="A111" s="70">
        <v>9560</v>
      </c>
      <c r="B111" s="70" t="s">
        <v>949</v>
      </c>
      <c r="C111" s="70" t="s">
        <v>2228</v>
      </c>
    </row>
    <row r="112" spans="1:3" hidden="1" x14ac:dyDescent="0.25">
      <c r="A112" s="70">
        <v>9565</v>
      </c>
      <c r="B112" s="70" t="s">
        <v>2298</v>
      </c>
      <c r="C112" s="70" t="s">
        <v>2231</v>
      </c>
    </row>
    <row r="113" spans="1:3" hidden="1" x14ac:dyDescent="0.25">
      <c r="A113" s="70">
        <v>9566</v>
      </c>
      <c r="B113" s="70" t="s">
        <v>2299</v>
      </c>
      <c r="C113" s="70" t="s">
        <v>2231</v>
      </c>
    </row>
    <row r="114" spans="1:3" hidden="1" x14ac:dyDescent="0.25">
      <c r="A114" s="70">
        <v>9567</v>
      </c>
      <c r="B114" s="70" t="s">
        <v>2300</v>
      </c>
      <c r="C114" s="70" t="s">
        <v>2228</v>
      </c>
    </row>
    <row r="115" spans="1:3" hidden="1" x14ac:dyDescent="0.25">
      <c r="A115" s="70">
        <v>9570</v>
      </c>
      <c r="B115" s="70" t="s">
        <v>2301</v>
      </c>
      <c r="C115" s="70" t="s">
        <v>2228</v>
      </c>
    </row>
    <row r="116" spans="1:3" hidden="1" x14ac:dyDescent="0.25">
      <c r="A116" s="70">
        <v>9580</v>
      </c>
      <c r="B116" s="70" t="s">
        <v>943</v>
      </c>
      <c r="C116" s="70" t="s">
        <v>2228</v>
      </c>
    </row>
    <row r="117" spans="1:3" hidden="1" x14ac:dyDescent="0.25">
      <c r="A117" s="70">
        <v>9610</v>
      </c>
      <c r="B117" s="70" t="s">
        <v>2302</v>
      </c>
      <c r="C117" s="70" t="s">
        <v>2228</v>
      </c>
    </row>
    <row r="118" spans="1:3" hidden="1" x14ac:dyDescent="0.25">
      <c r="A118" s="70">
        <v>9611</v>
      </c>
      <c r="B118" s="70" t="s">
        <v>2303</v>
      </c>
      <c r="C118" s="70" t="s">
        <v>2231</v>
      </c>
    </row>
    <row r="119" spans="1:3" hidden="1" x14ac:dyDescent="0.25">
      <c r="A119" s="70">
        <v>9612</v>
      </c>
      <c r="B119" s="70" t="s">
        <v>1031</v>
      </c>
      <c r="C119" s="70" t="s">
        <v>2228</v>
      </c>
    </row>
    <row r="120" spans="1:3" hidden="1" x14ac:dyDescent="0.25">
      <c r="A120" s="70">
        <v>9615</v>
      </c>
      <c r="B120" s="70" t="s">
        <v>2304</v>
      </c>
      <c r="C120" s="70" t="s">
        <v>2228</v>
      </c>
    </row>
    <row r="121" spans="1:3" hidden="1" x14ac:dyDescent="0.25">
      <c r="A121" s="70">
        <v>9630</v>
      </c>
      <c r="B121" s="70" t="s">
        <v>2305</v>
      </c>
      <c r="C121" s="70" t="s">
        <v>2228</v>
      </c>
    </row>
    <row r="122" spans="1:3" hidden="1" x14ac:dyDescent="0.25">
      <c r="A122" s="70">
        <v>9640</v>
      </c>
      <c r="B122" s="70" t="s">
        <v>2306</v>
      </c>
      <c r="C122" s="70" t="s">
        <v>2231</v>
      </c>
    </row>
    <row r="123" spans="1:3" x14ac:dyDescent="0.25">
      <c r="A123" s="70">
        <v>9647</v>
      </c>
      <c r="B123" s="70" t="s">
        <v>2307</v>
      </c>
      <c r="C123" s="70" t="s">
        <v>2228</v>
      </c>
    </row>
    <row r="124" spans="1:3" hidden="1" x14ac:dyDescent="0.25">
      <c r="A124" s="70">
        <v>9650</v>
      </c>
      <c r="B124" s="70" t="s">
        <v>2308</v>
      </c>
      <c r="C124" s="70" t="s">
        <v>2228</v>
      </c>
    </row>
    <row r="125" spans="1:3" hidden="1" x14ac:dyDescent="0.25">
      <c r="A125" s="70">
        <v>9653</v>
      </c>
      <c r="B125" s="70" t="s">
        <v>1011</v>
      </c>
      <c r="C125" s="70" t="s">
        <v>2228</v>
      </c>
    </row>
    <row r="126" spans="1:3" hidden="1" x14ac:dyDescent="0.25">
      <c r="A126" s="70">
        <v>9654</v>
      </c>
      <c r="B126" s="70" t="s">
        <v>2309</v>
      </c>
      <c r="C126" s="70" t="s">
        <v>2231</v>
      </c>
    </row>
    <row r="127" spans="1:3" hidden="1" x14ac:dyDescent="0.25">
      <c r="A127" s="70">
        <v>9655</v>
      </c>
      <c r="B127" s="70" t="s">
        <v>980</v>
      </c>
      <c r="C127" s="70" t="s">
        <v>2228</v>
      </c>
    </row>
    <row r="128" spans="1:3" hidden="1" x14ac:dyDescent="0.25">
      <c r="A128" s="70">
        <v>9658</v>
      </c>
      <c r="B128" s="70" t="s">
        <v>2310</v>
      </c>
      <c r="C128" s="70" t="s">
        <v>2231</v>
      </c>
    </row>
    <row r="129" spans="1:3" hidden="1" x14ac:dyDescent="0.25">
      <c r="A129" s="70">
        <v>9660</v>
      </c>
      <c r="B129" s="70" t="s">
        <v>2311</v>
      </c>
      <c r="C129" s="70" t="s">
        <v>2231</v>
      </c>
    </row>
    <row r="130" spans="1:3" hidden="1" x14ac:dyDescent="0.25">
      <c r="A130" s="70">
        <v>9663</v>
      </c>
      <c r="B130" s="70" t="s">
        <v>2312</v>
      </c>
      <c r="C130" s="70" t="s">
        <v>2238</v>
      </c>
    </row>
    <row r="131" spans="1:3" hidden="1" x14ac:dyDescent="0.25">
      <c r="A131" s="70">
        <v>9665</v>
      </c>
      <c r="B131" s="70" t="s">
        <v>2313</v>
      </c>
      <c r="C131" s="70" t="s">
        <v>2231</v>
      </c>
    </row>
    <row r="132" spans="1:3" hidden="1" x14ac:dyDescent="0.25">
      <c r="A132" s="70">
        <v>9670</v>
      </c>
      <c r="B132" s="70" t="s">
        <v>2314</v>
      </c>
      <c r="C132" s="70" t="s">
        <v>2231</v>
      </c>
    </row>
    <row r="133" spans="1:3" hidden="1" x14ac:dyDescent="0.25">
      <c r="A133" s="70">
        <v>9675</v>
      </c>
      <c r="B133" s="70" t="s">
        <v>2315</v>
      </c>
      <c r="C133" s="70" t="s">
        <v>2228</v>
      </c>
    </row>
    <row r="134" spans="1:3" hidden="1" x14ac:dyDescent="0.25">
      <c r="A134" s="70">
        <v>9678</v>
      </c>
      <c r="B134" s="70" t="s">
        <v>2316</v>
      </c>
      <c r="C134" s="70" t="s">
        <v>2231</v>
      </c>
    </row>
    <row r="135" spans="1:3" hidden="1" x14ac:dyDescent="0.25">
      <c r="A135" s="70">
        <v>9801</v>
      </c>
      <c r="B135" s="70" t="s">
        <v>2317</v>
      </c>
      <c r="C135" s="70" t="s">
        <v>2231</v>
      </c>
    </row>
    <row r="136" spans="1:3" hidden="1" x14ac:dyDescent="0.25">
      <c r="A136" s="70">
        <v>9805</v>
      </c>
      <c r="B136" s="70" t="s">
        <v>2318</v>
      </c>
      <c r="C136" s="70" t="s">
        <v>2228</v>
      </c>
    </row>
    <row r="137" spans="1:3" hidden="1" x14ac:dyDescent="0.25">
      <c r="A137" s="70">
        <v>9811</v>
      </c>
      <c r="B137" s="70" t="s">
        <v>2319</v>
      </c>
      <c r="C137" s="70" t="s">
        <v>2231</v>
      </c>
    </row>
    <row r="138" spans="1:3" hidden="1" x14ac:dyDescent="0.25">
      <c r="A138" s="70">
        <v>9813</v>
      </c>
      <c r="B138" s="70" t="s">
        <v>2320</v>
      </c>
      <c r="C138" s="70" t="s">
        <v>2228</v>
      </c>
    </row>
    <row r="139" spans="1:3" hidden="1" x14ac:dyDescent="0.25">
      <c r="A139" s="70">
        <v>9814</v>
      </c>
      <c r="B139" s="70" t="s">
        <v>2321</v>
      </c>
      <c r="C139" s="70" t="s">
        <v>2228</v>
      </c>
    </row>
    <row r="140" spans="1:3" hidden="1" x14ac:dyDescent="0.25">
      <c r="A140" s="70">
        <v>9815</v>
      </c>
      <c r="B140" s="70" t="s">
        <v>881</v>
      </c>
      <c r="C140" s="70" t="s">
        <v>2228</v>
      </c>
    </row>
    <row r="141" spans="1:3" hidden="1" x14ac:dyDescent="0.25">
      <c r="A141" s="70">
        <v>9816</v>
      </c>
      <c r="B141" s="70" t="s">
        <v>2322</v>
      </c>
      <c r="C141" s="70" t="s">
        <v>2228</v>
      </c>
    </row>
    <row r="142" spans="1:3" hidden="1" x14ac:dyDescent="0.25">
      <c r="A142" s="70">
        <v>9817</v>
      </c>
      <c r="B142" s="70" t="s">
        <v>913</v>
      </c>
      <c r="C142" s="70" t="s">
        <v>2228</v>
      </c>
    </row>
    <row r="143" spans="1:3" hidden="1" x14ac:dyDescent="0.25">
      <c r="A143" s="70">
        <v>9818</v>
      </c>
      <c r="B143" s="70" t="s">
        <v>2323</v>
      </c>
      <c r="C143" s="70" t="s">
        <v>2228</v>
      </c>
    </row>
    <row r="144" spans="1:3" hidden="1" x14ac:dyDescent="0.25">
      <c r="A144" s="70">
        <v>9820</v>
      </c>
      <c r="B144" s="70" t="s">
        <v>2324</v>
      </c>
      <c r="C144" s="70" t="s">
        <v>2228</v>
      </c>
    </row>
    <row r="145" spans="1:3" hidden="1" x14ac:dyDescent="0.25">
      <c r="A145" s="70">
        <v>9821</v>
      </c>
      <c r="B145" s="70" t="s">
        <v>2325</v>
      </c>
      <c r="C145" s="70" t="s">
        <v>2238</v>
      </c>
    </row>
    <row r="146" spans="1:3" hidden="1" x14ac:dyDescent="0.25">
      <c r="A146" s="70">
        <v>9822</v>
      </c>
      <c r="B146" s="70" t="s">
        <v>432</v>
      </c>
      <c r="C146" s="70" t="s">
        <v>2228</v>
      </c>
    </row>
    <row r="147" spans="1:3" hidden="1" x14ac:dyDescent="0.25">
      <c r="A147" s="70">
        <v>9824</v>
      </c>
      <c r="B147" s="70" t="s">
        <v>925</v>
      </c>
      <c r="C147" s="70" t="s">
        <v>2228</v>
      </c>
    </row>
    <row r="148" spans="1:3" hidden="1" x14ac:dyDescent="0.25">
      <c r="A148" s="70">
        <v>9826</v>
      </c>
      <c r="B148" s="70" t="s">
        <v>888</v>
      </c>
      <c r="C148" s="70" t="s">
        <v>2228</v>
      </c>
    </row>
    <row r="149" spans="1:3" hidden="1" x14ac:dyDescent="0.25">
      <c r="A149" s="70">
        <v>9827</v>
      </c>
      <c r="B149" s="70" t="s">
        <v>2326</v>
      </c>
      <c r="C149" s="70" t="s">
        <v>2228</v>
      </c>
    </row>
    <row r="150" spans="1:3" hidden="1" x14ac:dyDescent="0.25">
      <c r="A150" s="70">
        <v>9830</v>
      </c>
      <c r="B150" s="70" t="s">
        <v>2327</v>
      </c>
      <c r="C150" s="70" t="s">
        <v>2231</v>
      </c>
    </row>
    <row r="151" spans="1:3" hidden="1" x14ac:dyDescent="0.25">
      <c r="A151" s="70">
        <v>9831</v>
      </c>
      <c r="B151" s="70" t="s">
        <v>2328</v>
      </c>
      <c r="C151" s="70" t="s">
        <v>2228</v>
      </c>
    </row>
    <row r="152" spans="1:3" hidden="1" x14ac:dyDescent="0.25">
      <c r="A152" s="70">
        <v>9832</v>
      </c>
      <c r="B152" s="70" t="s">
        <v>619</v>
      </c>
      <c r="C152" s="70" t="s">
        <v>2228</v>
      </c>
    </row>
    <row r="153" spans="1:3" hidden="1" x14ac:dyDescent="0.25">
      <c r="A153" s="70">
        <v>9833</v>
      </c>
      <c r="B153" s="70" t="s">
        <v>600</v>
      </c>
      <c r="C153" s="70" t="s">
        <v>2228</v>
      </c>
    </row>
    <row r="154" spans="1:3" hidden="1" x14ac:dyDescent="0.25">
      <c r="A154" s="70">
        <v>9834</v>
      </c>
      <c r="B154" s="70" t="s">
        <v>583</v>
      </c>
      <c r="C154" s="70" t="s">
        <v>2228</v>
      </c>
    </row>
    <row r="155" spans="1:3" hidden="1" x14ac:dyDescent="0.25">
      <c r="A155" s="70">
        <v>9835</v>
      </c>
      <c r="B155" s="70" t="s">
        <v>631</v>
      </c>
      <c r="C155" s="70" t="s">
        <v>2228</v>
      </c>
    </row>
    <row r="156" spans="1:3" hidden="1" x14ac:dyDescent="0.25">
      <c r="A156" s="70">
        <v>9836</v>
      </c>
      <c r="B156" s="70" t="s">
        <v>2329</v>
      </c>
      <c r="C156" s="70" t="s">
        <v>2228</v>
      </c>
    </row>
    <row r="157" spans="1:3" hidden="1" x14ac:dyDescent="0.25">
      <c r="A157" s="70">
        <v>9837</v>
      </c>
      <c r="B157" s="70" t="s">
        <v>428</v>
      </c>
      <c r="C157" s="70" t="s">
        <v>2228</v>
      </c>
    </row>
    <row r="158" spans="1:3" hidden="1" x14ac:dyDescent="0.25">
      <c r="A158" s="70">
        <v>9838</v>
      </c>
      <c r="B158" s="70" t="s">
        <v>2330</v>
      </c>
      <c r="C158" s="70" t="s">
        <v>2228</v>
      </c>
    </row>
    <row r="159" spans="1:3" hidden="1" x14ac:dyDescent="0.25">
      <c r="A159" s="70">
        <v>9841</v>
      </c>
      <c r="B159" s="70" t="s">
        <v>2331</v>
      </c>
      <c r="C159" s="70" t="s">
        <v>2231</v>
      </c>
    </row>
    <row r="160" spans="1:3" hidden="1" x14ac:dyDescent="0.25">
      <c r="A160" s="70">
        <v>9842</v>
      </c>
      <c r="B160" s="70" t="s">
        <v>615</v>
      </c>
      <c r="C160" s="70" t="s">
        <v>2231</v>
      </c>
    </row>
    <row r="161" spans="1:3" hidden="1" x14ac:dyDescent="0.25">
      <c r="A161" s="70">
        <v>9843</v>
      </c>
      <c r="B161" s="70" t="s">
        <v>2332</v>
      </c>
      <c r="C161" s="70" t="s">
        <v>2238</v>
      </c>
    </row>
    <row r="162" spans="1:3" hidden="1" x14ac:dyDescent="0.25">
      <c r="A162" s="70">
        <v>9844</v>
      </c>
      <c r="B162" s="70" t="s">
        <v>2333</v>
      </c>
      <c r="C162" s="70" t="s">
        <v>2231</v>
      </c>
    </row>
    <row r="163" spans="1:3" hidden="1" x14ac:dyDescent="0.25">
      <c r="A163" s="70">
        <v>9845</v>
      </c>
      <c r="B163" s="70" t="s">
        <v>579</v>
      </c>
      <c r="C163" s="70" t="s">
        <v>2228</v>
      </c>
    </row>
    <row r="164" spans="1:3" hidden="1" x14ac:dyDescent="0.25">
      <c r="A164" s="70">
        <v>9847</v>
      </c>
      <c r="B164" s="70" t="s">
        <v>2334</v>
      </c>
      <c r="C164" s="70" t="s">
        <v>2238</v>
      </c>
    </row>
    <row r="165" spans="1:3" hidden="1" x14ac:dyDescent="0.25">
      <c r="A165" s="70">
        <v>9848</v>
      </c>
      <c r="B165" s="70" t="s">
        <v>2335</v>
      </c>
      <c r="C165" s="70" t="s">
        <v>2238</v>
      </c>
    </row>
    <row r="166" spans="1:3" hidden="1" x14ac:dyDescent="0.25">
      <c r="A166" s="70">
        <v>9849</v>
      </c>
      <c r="B166" s="70" t="s">
        <v>2336</v>
      </c>
      <c r="C166" s="70" t="s">
        <v>2238</v>
      </c>
    </row>
    <row r="167" spans="1:3" hidden="1" x14ac:dyDescent="0.25">
      <c r="A167" s="70">
        <v>9849</v>
      </c>
      <c r="B167" s="70" t="s">
        <v>899</v>
      </c>
      <c r="C167" s="70" t="s">
        <v>2238</v>
      </c>
    </row>
    <row r="168" spans="1:3" hidden="1" x14ac:dyDescent="0.25">
      <c r="A168" s="70">
        <v>9853</v>
      </c>
      <c r="B168" s="70" t="s">
        <v>2337</v>
      </c>
      <c r="C168" s="70" t="s">
        <v>2228</v>
      </c>
    </row>
    <row r="169" spans="1:3" hidden="1" x14ac:dyDescent="0.25">
      <c r="A169" s="70">
        <v>9854</v>
      </c>
      <c r="B169" s="70" t="s">
        <v>892</v>
      </c>
      <c r="C169" s="70" t="s">
        <v>2228</v>
      </c>
    </row>
    <row r="170" spans="1:3" hidden="1" x14ac:dyDescent="0.25">
      <c r="A170" s="70">
        <v>9855</v>
      </c>
      <c r="B170" s="70" t="s">
        <v>2338</v>
      </c>
      <c r="C170" s="70" t="s">
        <v>2228</v>
      </c>
    </row>
    <row r="171" spans="1:3" hidden="1" x14ac:dyDescent="0.25">
      <c r="A171" s="70">
        <v>9857</v>
      </c>
      <c r="B171" s="70" t="s">
        <v>2339</v>
      </c>
      <c r="C171" s="70" t="s">
        <v>2228</v>
      </c>
    </row>
    <row r="172" spans="1:3" hidden="1" x14ac:dyDescent="0.25">
      <c r="A172" s="70">
        <v>9858</v>
      </c>
      <c r="B172" s="70" t="s">
        <v>2340</v>
      </c>
      <c r="C172" s="70" t="s">
        <v>2228</v>
      </c>
    </row>
    <row r="173" spans="1:3" hidden="1" x14ac:dyDescent="0.25">
      <c r="A173" s="70">
        <v>9859</v>
      </c>
      <c r="B173" s="70" t="s">
        <v>2341</v>
      </c>
      <c r="C173" s="70" t="s">
        <v>2238</v>
      </c>
    </row>
    <row r="174" spans="1:3" hidden="1" x14ac:dyDescent="0.25">
      <c r="A174" s="70">
        <v>9864</v>
      </c>
      <c r="B174" s="70" t="s">
        <v>2342</v>
      </c>
      <c r="C174" s="70" t="s">
        <v>2231</v>
      </c>
    </row>
    <row r="175" spans="1:3" hidden="1" x14ac:dyDescent="0.25">
      <c r="A175" s="70">
        <v>9868</v>
      </c>
      <c r="B175" s="70" t="s">
        <v>2343</v>
      </c>
      <c r="C175" s="70" t="s">
        <v>2228</v>
      </c>
    </row>
    <row r="176" spans="1:3" hidden="1" x14ac:dyDescent="0.25">
      <c r="A176" s="70">
        <v>9869</v>
      </c>
      <c r="B176" s="70" t="s">
        <v>441</v>
      </c>
      <c r="C176" s="70" t="s">
        <v>2228</v>
      </c>
    </row>
    <row r="177" spans="1:3" hidden="1" x14ac:dyDescent="0.25">
      <c r="A177" s="70">
        <v>9873</v>
      </c>
      <c r="B177" s="70" t="s">
        <v>2344</v>
      </c>
      <c r="C177" s="70" t="s">
        <v>2231</v>
      </c>
    </row>
    <row r="178" spans="1:3" hidden="1" x14ac:dyDescent="0.25">
      <c r="A178" s="70">
        <v>9874</v>
      </c>
      <c r="B178" s="70" t="s">
        <v>418</v>
      </c>
      <c r="C178" s="70" t="s">
        <v>2228</v>
      </c>
    </row>
    <row r="179" spans="1:3" hidden="1" x14ac:dyDescent="0.25">
      <c r="A179" s="70">
        <v>9875</v>
      </c>
      <c r="B179" s="70" t="s">
        <v>2345</v>
      </c>
      <c r="C179" s="70" t="s">
        <v>2231</v>
      </c>
    </row>
    <row r="180" spans="1:3" hidden="1" x14ac:dyDescent="0.25">
      <c r="A180" s="70">
        <v>9876</v>
      </c>
      <c r="B180" s="70" t="s">
        <v>2346</v>
      </c>
      <c r="C180" s="70" t="s">
        <v>2238</v>
      </c>
    </row>
    <row r="181" spans="1:3" hidden="1" x14ac:dyDescent="0.25">
      <c r="A181" s="70">
        <v>9877</v>
      </c>
      <c r="B181" s="70" t="s">
        <v>2347</v>
      </c>
      <c r="C181" s="70" t="s">
        <v>2238</v>
      </c>
    </row>
    <row r="182" spans="1:3" hidden="1" x14ac:dyDescent="0.25">
      <c r="A182" s="70">
        <v>9878</v>
      </c>
      <c r="B182" s="70" t="s">
        <v>2348</v>
      </c>
      <c r="C182" s="70" t="s">
        <v>2228</v>
      </c>
    </row>
    <row r="183" spans="1:3" hidden="1" x14ac:dyDescent="0.25">
      <c r="A183" s="70">
        <v>9884</v>
      </c>
      <c r="B183" s="70" t="s">
        <v>896</v>
      </c>
      <c r="C183" s="70" t="s">
        <v>2228</v>
      </c>
    </row>
    <row r="184" spans="1:3" hidden="1" x14ac:dyDescent="0.25">
      <c r="A184" s="70">
        <v>9892</v>
      </c>
      <c r="B184" s="70" t="s">
        <v>431</v>
      </c>
      <c r="C184" s="70" t="s">
        <v>2228</v>
      </c>
    </row>
    <row r="185" spans="1:3" hidden="1" x14ac:dyDescent="0.25">
      <c r="A185" s="70">
        <v>9895</v>
      </c>
      <c r="B185" s="70" t="s">
        <v>2349</v>
      </c>
      <c r="C185" s="70" t="s">
        <v>2238</v>
      </c>
    </row>
    <row r="186" spans="1:3" hidden="1" x14ac:dyDescent="0.25">
      <c r="A186" s="70">
        <v>9905</v>
      </c>
      <c r="B186" s="70" t="s">
        <v>2350</v>
      </c>
      <c r="C186" s="70" t="s">
        <v>2238</v>
      </c>
    </row>
    <row r="187" spans="1:3" hidden="1" x14ac:dyDescent="0.25">
      <c r="A187" s="70">
        <v>9906</v>
      </c>
      <c r="B187" s="70" t="s">
        <v>2351</v>
      </c>
      <c r="C187" s="70" t="s">
        <v>2228</v>
      </c>
    </row>
    <row r="188" spans="1:3" hidden="1" x14ac:dyDescent="0.25">
      <c r="A188" s="70">
        <v>9907</v>
      </c>
      <c r="B188" s="70" t="s">
        <v>2352</v>
      </c>
      <c r="C188" s="70" t="s">
        <v>2228</v>
      </c>
    </row>
    <row r="189" spans="1:3" hidden="1" x14ac:dyDescent="0.25">
      <c r="A189" s="70">
        <v>9908</v>
      </c>
      <c r="B189" s="70" t="s">
        <v>775</v>
      </c>
      <c r="C189" s="70" t="s">
        <v>2228</v>
      </c>
    </row>
    <row r="190" spans="1:3" hidden="1" x14ac:dyDescent="0.25">
      <c r="A190" s="70">
        <v>9911</v>
      </c>
      <c r="B190" s="70" t="s">
        <v>2353</v>
      </c>
      <c r="C190" s="70" t="s">
        <v>2228</v>
      </c>
    </row>
    <row r="191" spans="1:3" hidden="1" x14ac:dyDescent="0.25">
      <c r="A191" s="70">
        <v>9914</v>
      </c>
      <c r="B191" s="70" t="s">
        <v>2354</v>
      </c>
      <c r="C191" s="70" t="s">
        <v>2228</v>
      </c>
    </row>
    <row r="192" spans="1:3" hidden="1" x14ac:dyDescent="0.25">
      <c r="A192" s="70">
        <v>9915</v>
      </c>
      <c r="B192" s="70" t="s">
        <v>2355</v>
      </c>
      <c r="C192" s="70" t="s">
        <v>2231</v>
      </c>
    </row>
    <row r="193" spans="1:3" hidden="1" x14ac:dyDescent="0.25">
      <c r="A193" s="70">
        <v>9927</v>
      </c>
      <c r="B193" s="70" t="s">
        <v>2356</v>
      </c>
      <c r="C193" s="70" t="s">
        <v>2228</v>
      </c>
    </row>
    <row r="194" spans="1:3" hidden="1" x14ac:dyDescent="0.25">
      <c r="A194" s="70">
        <v>9928</v>
      </c>
      <c r="B194" s="70" t="s">
        <v>2357</v>
      </c>
      <c r="C194" s="70" t="s">
        <v>2231</v>
      </c>
    </row>
    <row r="195" spans="1:3" hidden="1" x14ac:dyDescent="0.25">
      <c r="A195" s="70">
        <v>9929</v>
      </c>
      <c r="B195" s="70" t="s">
        <v>2358</v>
      </c>
      <c r="C195" s="70" t="s">
        <v>2228</v>
      </c>
    </row>
    <row r="196" spans="1:3" hidden="1" x14ac:dyDescent="0.25">
      <c r="A196" s="70">
        <v>9932</v>
      </c>
      <c r="B196" s="70" t="s">
        <v>2359</v>
      </c>
      <c r="C196" s="70" t="s">
        <v>2231</v>
      </c>
    </row>
    <row r="197" spans="1:3" hidden="1" x14ac:dyDescent="0.25">
      <c r="A197" s="70">
        <v>9933</v>
      </c>
      <c r="B197" s="70" t="s">
        <v>2360</v>
      </c>
      <c r="C197" s="70" t="s">
        <v>2238</v>
      </c>
    </row>
    <row r="198" spans="1:3" hidden="1" x14ac:dyDescent="0.25">
      <c r="A198" s="70">
        <v>9935</v>
      </c>
      <c r="B198" s="70" t="s">
        <v>2361</v>
      </c>
      <c r="C198" s="70" t="s">
        <v>2228</v>
      </c>
    </row>
    <row r="199" spans="1:3" hidden="1" x14ac:dyDescent="0.25">
      <c r="A199" s="70">
        <v>9936</v>
      </c>
      <c r="B199" s="70" t="s">
        <v>700</v>
      </c>
      <c r="C199" s="70" t="s">
        <v>2228</v>
      </c>
    </row>
    <row r="200" spans="1:3" hidden="1" x14ac:dyDescent="0.25">
      <c r="A200" s="70">
        <v>9937</v>
      </c>
      <c r="B200" s="70" t="s">
        <v>2362</v>
      </c>
      <c r="C200" s="70" t="s">
        <v>2238</v>
      </c>
    </row>
    <row r="201" spans="1:3" hidden="1" x14ac:dyDescent="0.25">
      <c r="A201" s="70">
        <v>9940</v>
      </c>
      <c r="B201" s="70" t="s">
        <v>2363</v>
      </c>
      <c r="C201" s="70" t="s">
        <v>2228</v>
      </c>
    </row>
    <row r="202" spans="1:3" hidden="1" x14ac:dyDescent="0.25">
      <c r="A202" s="70">
        <v>9941</v>
      </c>
      <c r="B202" s="70" t="s">
        <v>2364</v>
      </c>
      <c r="C202" s="70" t="s">
        <v>2238</v>
      </c>
    </row>
    <row r="203" spans="1:3" hidden="1" x14ac:dyDescent="0.25">
      <c r="A203" s="70">
        <v>9947</v>
      </c>
      <c r="B203" s="70" t="s">
        <v>2365</v>
      </c>
      <c r="C203" s="70" t="s">
        <v>2238</v>
      </c>
    </row>
    <row r="204" spans="1:3" hidden="1" x14ac:dyDescent="0.25">
      <c r="A204" s="70">
        <v>9948</v>
      </c>
      <c r="B204" s="70" t="s">
        <v>2366</v>
      </c>
      <c r="C204" s="70" t="s">
        <v>2228</v>
      </c>
    </row>
    <row r="205" spans="1:3" hidden="1" x14ac:dyDescent="0.25">
      <c r="A205" s="70">
        <v>9955</v>
      </c>
      <c r="B205" s="70" t="s">
        <v>2367</v>
      </c>
      <c r="C205" s="70" t="s">
        <v>2238</v>
      </c>
    </row>
    <row r="206" spans="1:3" hidden="1" x14ac:dyDescent="0.25">
      <c r="A206" s="70">
        <v>9963</v>
      </c>
      <c r="B206" s="70" t="s">
        <v>414</v>
      </c>
      <c r="C206" s="70" t="s">
        <v>2228</v>
      </c>
    </row>
    <row r="207" spans="1:3" hidden="1" x14ac:dyDescent="0.25">
      <c r="A207" s="70">
        <v>9964</v>
      </c>
      <c r="B207" s="70" t="s">
        <v>2368</v>
      </c>
      <c r="C207" s="70" t="s">
        <v>2238</v>
      </c>
    </row>
    <row r="208" spans="1:3" hidden="1" x14ac:dyDescent="0.25">
      <c r="A208" s="104" t="s">
        <v>2369</v>
      </c>
      <c r="B208" s="70" t="s">
        <v>2370</v>
      </c>
      <c r="C208" s="103" t="s">
        <v>2227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8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8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404</v>
      </c>
      <c r="B1" s="30" t="s">
        <v>405</v>
      </c>
      <c r="C1" s="30" t="s">
        <v>406</v>
      </c>
      <c r="D1" s="30" t="s">
        <v>407</v>
      </c>
      <c r="E1" s="30" t="s">
        <v>408</v>
      </c>
      <c r="F1" s="30" t="s">
        <v>409</v>
      </c>
      <c r="G1" s="30" t="s">
        <v>0</v>
      </c>
      <c r="H1" s="30">
        <v>42643</v>
      </c>
      <c r="I1" s="30" t="s">
        <v>1472</v>
      </c>
      <c r="J1" s="30" t="s">
        <v>1473</v>
      </c>
      <c r="K1" s="30" t="s">
        <v>1474</v>
      </c>
      <c r="L1" s="30" t="s">
        <v>1475</v>
      </c>
      <c r="M1" s="30" t="s">
        <v>1476</v>
      </c>
      <c r="N1" s="30" t="s">
        <v>1477</v>
      </c>
      <c r="O1" s="30" t="s">
        <v>1478</v>
      </c>
      <c r="P1" s="30" t="s">
        <v>1479</v>
      </c>
      <c r="Q1" s="30">
        <v>42674</v>
      </c>
      <c r="R1" s="30" t="s">
        <v>1480</v>
      </c>
      <c r="S1" s="30" t="s">
        <v>395</v>
      </c>
      <c r="T1" s="30" t="s">
        <v>379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702</v>
      </c>
      <c r="B2" s="14" t="s">
        <v>1481</v>
      </c>
      <c r="C2" s="20">
        <v>9262</v>
      </c>
      <c r="D2" s="14" t="s">
        <v>1482</v>
      </c>
      <c r="E2" s="14" t="s">
        <v>413</v>
      </c>
      <c r="F2" s="14" t="s">
        <v>1934</v>
      </c>
      <c r="G2" s="14" t="s">
        <v>1483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767</v>
      </c>
      <c r="B3" s="14" t="s">
        <v>1485</v>
      </c>
      <c r="C3" s="20">
        <v>9296</v>
      </c>
      <c r="D3" s="14" t="s">
        <v>1486</v>
      </c>
      <c r="E3" s="14" t="s">
        <v>417</v>
      </c>
      <c r="F3" s="14" t="s">
        <v>1051</v>
      </c>
      <c r="G3" s="14" t="s">
        <v>1487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767</v>
      </c>
      <c r="B4" s="14" t="s">
        <v>1485</v>
      </c>
      <c r="C4" s="20">
        <v>9296</v>
      </c>
      <c r="D4" s="14" t="s">
        <v>1489</v>
      </c>
      <c r="E4" s="14" t="s">
        <v>413</v>
      </c>
      <c r="F4" s="14" t="s">
        <v>1935</v>
      </c>
      <c r="G4" s="14" t="s">
        <v>1490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1491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1008</v>
      </c>
      <c r="B5" s="21" t="s">
        <v>1049</v>
      </c>
      <c r="C5" s="22">
        <v>9611</v>
      </c>
      <c r="D5" s="14" t="s">
        <v>1052</v>
      </c>
      <c r="E5" s="15" t="s">
        <v>413</v>
      </c>
      <c r="F5" s="14" t="s">
        <v>1936</v>
      </c>
      <c r="G5" s="15" t="s">
        <v>358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767</v>
      </c>
      <c r="B6" s="14" t="s">
        <v>1493</v>
      </c>
      <c r="C6" s="20">
        <v>9439</v>
      </c>
      <c r="D6" s="14" t="s">
        <v>1494</v>
      </c>
      <c r="E6" s="14" t="s">
        <v>413</v>
      </c>
      <c r="F6" s="14" t="s">
        <v>1937</v>
      </c>
      <c r="G6" s="14" t="s">
        <v>1495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638</v>
      </c>
      <c r="B7" s="14" t="s">
        <v>1497</v>
      </c>
      <c r="C7" s="20">
        <v>9942</v>
      </c>
      <c r="D7" s="14" t="s">
        <v>1498</v>
      </c>
      <c r="E7" s="14" t="s">
        <v>417</v>
      </c>
      <c r="F7" s="14" t="s">
        <v>834</v>
      </c>
      <c r="G7" s="14" t="s">
        <v>1499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767</v>
      </c>
      <c r="B8" s="14" t="s">
        <v>1501</v>
      </c>
      <c r="C8" s="20">
        <v>9945</v>
      </c>
      <c r="D8" s="14" t="s">
        <v>1502</v>
      </c>
      <c r="E8" s="14" t="s">
        <v>413</v>
      </c>
      <c r="F8" s="14" t="s">
        <v>1938</v>
      </c>
      <c r="G8" s="14" t="s">
        <v>1503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638</v>
      </c>
      <c r="B9" s="14" t="s">
        <v>1505</v>
      </c>
      <c r="C9" s="20">
        <v>9215</v>
      </c>
      <c r="D9" s="14" t="s">
        <v>1506</v>
      </c>
      <c r="E9" s="14" t="s">
        <v>417</v>
      </c>
      <c r="F9" s="14" t="s">
        <v>1939</v>
      </c>
      <c r="G9" s="14" t="s">
        <v>1507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638</v>
      </c>
      <c r="B10" s="14" t="s">
        <v>1505</v>
      </c>
      <c r="C10" s="20">
        <v>9215</v>
      </c>
      <c r="D10" s="14" t="s">
        <v>1509</v>
      </c>
      <c r="E10" s="14" t="s">
        <v>413</v>
      </c>
      <c r="F10" s="14" t="s">
        <v>1940</v>
      </c>
      <c r="G10" s="14" t="s">
        <v>1510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702</v>
      </c>
      <c r="B11" s="14" t="s">
        <v>1512</v>
      </c>
      <c r="C11" s="20">
        <v>9251</v>
      </c>
      <c r="D11" s="14" t="s">
        <v>1513</v>
      </c>
      <c r="E11" s="14" t="s">
        <v>417</v>
      </c>
      <c r="F11" s="14" t="s">
        <v>1941</v>
      </c>
      <c r="G11" s="14" t="s">
        <v>1514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702</v>
      </c>
      <c r="B12" s="14" t="s">
        <v>1512</v>
      </c>
      <c r="C12" s="20">
        <v>9251</v>
      </c>
      <c r="D12" s="14" t="s">
        <v>1516</v>
      </c>
      <c r="E12" s="14" t="s">
        <v>413</v>
      </c>
      <c r="F12" s="14" t="s">
        <v>1942</v>
      </c>
      <c r="G12" s="14" t="s">
        <v>1517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638</v>
      </c>
      <c r="B13" s="21" t="s">
        <v>1519</v>
      </c>
      <c r="C13" s="22">
        <v>9254</v>
      </c>
      <c r="D13" s="14" t="s">
        <v>1520</v>
      </c>
      <c r="E13" s="15" t="s">
        <v>413</v>
      </c>
      <c r="F13" s="14" t="s">
        <v>1028</v>
      </c>
      <c r="G13" s="15" t="s">
        <v>1521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767</v>
      </c>
      <c r="B14" s="14" t="s">
        <v>1523</v>
      </c>
      <c r="C14" s="20">
        <v>9364</v>
      </c>
      <c r="D14" s="14" t="s">
        <v>1524</v>
      </c>
      <c r="E14" s="14" t="s">
        <v>417</v>
      </c>
      <c r="F14" s="14" t="s">
        <v>1943</v>
      </c>
      <c r="G14" s="14" t="s">
        <v>1525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638</v>
      </c>
      <c r="B15" s="14" t="s">
        <v>1527</v>
      </c>
      <c r="C15" s="19">
        <v>9223</v>
      </c>
      <c r="D15" s="14" t="s">
        <v>1528</v>
      </c>
      <c r="E15" s="14" t="s">
        <v>417</v>
      </c>
      <c r="F15" s="14" t="s">
        <v>1059</v>
      </c>
      <c r="G15" s="14" t="s">
        <v>1529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638</v>
      </c>
      <c r="B16" s="14" t="s">
        <v>1527</v>
      </c>
      <c r="C16" s="19">
        <v>9223</v>
      </c>
      <c r="D16" s="14" t="s">
        <v>1531</v>
      </c>
      <c r="E16" s="14" t="s">
        <v>413</v>
      </c>
      <c r="F16" s="14" t="s">
        <v>1944</v>
      </c>
      <c r="G16" s="14" t="s">
        <v>1532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638</v>
      </c>
      <c r="B17" s="14" t="s">
        <v>1534</v>
      </c>
      <c r="C17" s="20">
        <v>9237</v>
      </c>
      <c r="D17" s="14" t="s">
        <v>1535</v>
      </c>
      <c r="E17" s="14" t="s">
        <v>413</v>
      </c>
      <c r="F17" s="14" t="s">
        <v>1945</v>
      </c>
      <c r="G17" s="14" t="s">
        <v>1536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767</v>
      </c>
      <c r="B18" s="21" t="s">
        <v>1538</v>
      </c>
      <c r="C18" s="20">
        <v>9938</v>
      </c>
      <c r="D18" s="14" t="s">
        <v>1539</v>
      </c>
      <c r="E18" s="14" t="s">
        <v>413</v>
      </c>
      <c r="F18" s="14" t="s">
        <v>1946</v>
      </c>
      <c r="G18" s="14" t="s">
        <v>1540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702</v>
      </c>
      <c r="B19" s="14" t="s">
        <v>1542</v>
      </c>
      <c r="C19" s="20" t="s">
        <v>1543</v>
      </c>
      <c r="D19" s="14" t="s">
        <v>1544</v>
      </c>
      <c r="E19" s="14" t="s">
        <v>417</v>
      </c>
      <c r="F19" s="14" t="s">
        <v>957</v>
      </c>
      <c r="G19" s="14" t="s">
        <v>1545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1546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702</v>
      </c>
      <c r="B20" s="14" t="s">
        <v>1542</v>
      </c>
      <c r="C20" s="20" t="s">
        <v>1543</v>
      </c>
      <c r="D20" s="14" t="s">
        <v>1547</v>
      </c>
      <c r="E20" s="14" t="s">
        <v>413</v>
      </c>
      <c r="F20" s="14" t="s">
        <v>1947</v>
      </c>
      <c r="G20" s="14" t="s">
        <v>1548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1549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702</v>
      </c>
      <c r="B21" s="14" t="s">
        <v>1550</v>
      </c>
      <c r="C21" s="20">
        <v>9949</v>
      </c>
      <c r="D21" s="14" t="s">
        <v>1551</v>
      </c>
      <c r="E21" s="14" t="s">
        <v>417</v>
      </c>
      <c r="F21" s="14" t="s">
        <v>1948</v>
      </c>
      <c r="G21" s="14" t="s">
        <v>1552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1553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702</v>
      </c>
      <c r="B22" s="14" t="s">
        <v>1550</v>
      </c>
      <c r="C22" s="20">
        <v>9949</v>
      </c>
      <c r="D22" s="14" t="s">
        <v>1554</v>
      </c>
      <c r="E22" s="14" t="s">
        <v>413</v>
      </c>
      <c r="F22" s="14" t="s">
        <v>1949</v>
      </c>
      <c r="G22" s="14" t="s">
        <v>1555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1556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767</v>
      </c>
      <c r="B23" s="21" t="s">
        <v>1557</v>
      </c>
      <c r="C23" s="19">
        <v>9944</v>
      </c>
      <c r="D23" s="14" t="s">
        <v>1558</v>
      </c>
      <c r="E23" s="15" t="s">
        <v>417</v>
      </c>
      <c r="F23" s="14" t="s">
        <v>1950</v>
      </c>
      <c r="G23" s="15" t="s">
        <v>1559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767</v>
      </c>
      <c r="B24" s="14" t="s">
        <v>1561</v>
      </c>
      <c r="C24" s="20" t="s">
        <v>1562</v>
      </c>
      <c r="D24" s="14" t="s">
        <v>1563</v>
      </c>
      <c r="E24" s="14" t="s">
        <v>417</v>
      </c>
      <c r="F24" s="14" t="s">
        <v>1951</v>
      </c>
      <c r="G24" s="14" t="s">
        <v>1564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767</v>
      </c>
      <c r="B25" s="14" t="s">
        <v>1561</v>
      </c>
      <c r="C25" s="20" t="s">
        <v>1562</v>
      </c>
      <c r="D25" s="14" t="s">
        <v>1566</v>
      </c>
      <c r="E25" s="14" t="s">
        <v>413</v>
      </c>
      <c r="F25" s="14" t="s">
        <v>1952</v>
      </c>
      <c r="G25" s="14" t="s">
        <v>1567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702</v>
      </c>
      <c r="B26" s="14" t="s">
        <v>1569</v>
      </c>
      <c r="C26" s="20">
        <v>9946</v>
      </c>
      <c r="D26" s="14" t="s">
        <v>1570</v>
      </c>
      <c r="E26" s="14" t="s">
        <v>413</v>
      </c>
      <c r="F26" s="14" t="s">
        <v>1953</v>
      </c>
      <c r="G26" s="14" t="s">
        <v>1571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1572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638</v>
      </c>
      <c r="B27" s="14" t="s">
        <v>1527</v>
      </c>
      <c r="C27" s="19">
        <v>9223</v>
      </c>
      <c r="D27" s="14" t="s">
        <v>1573</v>
      </c>
      <c r="E27" s="14" t="s">
        <v>413</v>
      </c>
      <c r="F27" s="14" t="s">
        <v>1954</v>
      </c>
      <c r="G27" s="14" t="s">
        <v>1574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939</v>
      </c>
      <c r="B28" s="14" t="s">
        <v>1576</v>
      </c>
      <c r="C28" s="20">
        <v>9537</v>
      </c>
      <c r="D28" s="14" t="s">
        <v>1577</v>
      </c>
      <c r="E28" s="14" t="s">
        <v>417</v>
      </c>
      <c r="F28" s="14" t="s">
        <v>1955</v>
      </c>
      <c r="G28" s="14" t="s">
        <v>1578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939</v>
      </c>
      <c r="B29" s="21" t="s">
        <v>1576</v>
      </c>
      <c r="C29" s="22">
        <v>9537</v>
      </c>
      <c r="D29" s="14" t="s">
        <v>1580</v>
      </c>
      <c r="E29" s="15" t="s">
        <v>413</v>
      </c>
      <c r="F29" s="14" t="s">
        <v>951</v>
      </c>
      <c r="G29" s="15" t="s">
        <v>1581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939</v>
      </c>
      <c r="B30" s="14" t="s">
        <v>949</v>
      </c>
      <c r="C30" s="19">
        <v>9560</v>
      </c>
      <c r="D30" s="14" t="s">
        <v>1583</v>
      </c>
      <c r="E30" s="14" t="s">
        <v>413</v>
      </c>
      <c r="F30" s="14" t="s">
        <v>1956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459</v>
      </c>
      <c r="B31" s="14" t="s">
        <v>1585</v>
      </c>
      <c r="C31" s="20">
        <v>9424</v>
      </c>
      <c r="D31" s="14" t="s">
        <v>1586</v>
      </c>
      <c r="E31" s="14" t="s">
        <v>417</v>
      </c>
      <c r="F31" s="14" t="s">
        <v>1062</v>
      </c>
      <c r="G31" s="14" t="s">
        <v>1587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459</v>
      </c>
      <c r="B32" s="14" t="s">
        <v>1585</v>
      </c>
      <c r="C32" s="20">
        <v>9424</v>
      </c>
      <c r="D32" s="14" t="s">
        <v>1589</v>
      </c>
      <c r="E32" s="14" t="s">
        <v>413</v>
      </c>
      <c r="F32" s="14" t="s">
        <v>1957</v>
      </c>
      <c r="G32" s="14" t="s">
        <v>1590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868</v>
      </c>
      <c r="B33" s="14" t="s">
        <v>1592</v>
      </c>
      <c r="C33" s="20">
        <v>9812</v>
      </c>
      <c r="D33" s="14" t="s">
        <v>1593</v>
      </c>
      <c r="E33" s="14" t="s">
        <v>417</v>
      </c>
      <c r="F33" s="14" t="s">
        <v>1958</v>
      </c>
      <c r="G33" s="14" t="s">
        <v>1057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868</v>
      </c>
      <c r="B34" s="14" t="s">
        <v>1592</v>
      </c>
      <c r="C34" s="20">
        <v>9812</v>
      </c>
      <c r="D34" s="14" t="s">
        <v>1593</v>
      </c>
      <c r="E34" s="14" t="s">
        <v>413</v>
      </c>
      <c r="F34" s="14" t="s">
        <v>1959</v>
      </c>
      <c r="G34" s="14" t="s">
        <v>1595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1596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410</v>
      </c>
      <c r="B35" s="14" t="s">
        <v>1597</v>
      </c>
      <c r="C35" s="20">
        <v>9958</v>
      </c>
      <c r="D35" s="14" t="s">
        <v>1598</v>
      </c>
      <c r="E35" s="14" t="s">
        <v>417</v>
      </c>
      <c r="F35" s="14" t="s">
        <v>1960</v>
      </c>
      <c r="G35" s="14" t="s">
        <v>1599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410</v>
      </c>
      <c r="B36" s="14" t="s">
        <v>1597</v>
      </c>
      <c r="C36" s="20">
        <v>9958</v>
      </c>
      <c r="D36" s="32" t="s">
        <v>1601</v>
      </c>
      <c r="E36" s="14" t="s">
        <v>413</v>
      </c>
      <c r="F36" s="14" t="s">
        <v>1602</v>
      </c>
      <c r="G36" s="14" t="s">
        <v>1603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1604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520</v>
      </c>
      <c r="B37" s="14" t="s">
        <v>1605</v>
      </c>
      <c r="C37" s="20">
        <v>9380</v>
      </c>
      <c r="D37" s="14" t="s">
        <v>1606</v>
      </c>
      <c r="E37" s="14" t="s">
        <v>417</v>
      </c>
      <c r="F37" s="14" t="s">
        <v>607</v>
      </c>
      <c r="G37" s="14" t="s">
        <v>1607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520</v>
      </c>
      <c r="B38" s="14" t="s">
        <v>1605</v>
      </c>
      <c r="C38" s="20">
        <v>9380</v>
      </c>
      <c r="D38" s="14" t="s">
        <v>1609</v>
      </c>
      <c r="E38" s="14" t="s">
        <v>413</v>
      </c>
      <c r="F38" s="14" t="s">
        <v>1961</v>
      </c>
      <c r="G38" s="14" t="s">
        <v>1610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868</v>
      </c>
      <c r="B39" s="21" t="s">
        <v>1612</v>
      </c>
      <c r="C39" s="22">
        <v>9882</v>
      </c>
      <c r="D39" s="14" t="s">
        <v>1613</v>
      </c>
      <c r="E39" s="15" t="s">
        <v>413</v>
      </c>
      <c r="F39" s="14" t="s">
        <v>1962</v>
      </c>
      <c r="G39" s="15" t="s">
        <v>1614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404</v>
      </c>
      <c r="B40" s="30" t="s">
        <v>405</v>
      </c>
      <c r="C40" s="30" t="s">
        <v>406</v>
      </c>
      <c r="D40" s="30" t="s">
        <v>407</v>
      </c>
      <c r="E40" s="30" t="s">
        <v>408</v>
      </c>
      <c r="F40" s="30" t="s">
        <v>409</v>
      </c>
      <c r="G40" s="30" t="s">
        <v>0</v>
      </c>
      <c r="H40" s="30">
        <v>42674</v>
      </c>
      <c r="I40" s="30" t="s">
        <v>1616</v>
      </c>
      <c r="J40" s="30" t="s">
        <v>1617</v>
      </c>
      <c r="K40" s="30" t="s">
        <v>1618</v>
      </c>
      <c r="L40" s="30" t="s">
        <v>1619</v>
      </c>
      <c r="M40" s="30" t="s">
        <v>1620</v>
      </c>
      <c r="N40" s="30" t="s">
        <v>1621</v>
      </c>
      <c r="O40" s="30" t="s">
        <v>1622</v>
      </c>
      <c r="P40" s="30" t="s">
        <v>1623</v>
      </c>
      <c r="Q40" s="30" t="s">
        <v>1624</v>
      </c>
      <c r="R40" s="30" t="s">
        <v>1625</v>
      </c>
      <c r="S40" s="30" t="s">
        <v>395</v>
      </c>
      <c r="T40" s="30" t="s">
        <v>379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939</v>
      </c>
      <c r="B41" s="14" t="s">
        <v>1626</v>
      </c>
      <c r="C41" s="19">
        <v>9561</v>
      </c>
      <c r="D41" s="14" t="s">
        <v>1627</v>
      </c>
      <c r="E41" s="14" t="s">
        <v>413</v>
      </c>
      <c r="F41" s="14" t="s">
        <v>1056</v>
      </c>
      <c r="G41" s="14" t="s">
        <v>1628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767</v>
      </c>
      <c r="B42" s="14" t="s">
        <v>787</v>
      </c>
      <c r="C42" s="19">
        <v>9441</v>
      </c>
      <c r="D42" s="14" t="s">
        <v>1630</v>
      </c>
      <c r="E42" s="14" t="s">
        <v>413</v>
      </c>
      <c r="F42" s="14" t="s">
        <v>1963</v>
      </c>
      <c r="G42" s="14" t="s">
        <v>1631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1632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459</v>
      </c>
      <c r="B43" s="14" t="s">
        <v>488</v>
      </c>
      <c r="C43" s="20">
        <v>9420</v>
      </c>
      <c r="D43" s="14" t="s">
        <v>1633</v>
      </c>
      <c r="E43" s="14" t="s">
        <v>417</v>
      </c>
      <c r="F43" s="14" t="s">
        <v>1964</v>
      </c>
      <c r="G43" s="14" t="s">
        <v>1634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404</v>
      </c>
      <c r="B44" s="30" t="s">
        <v>405</v>
      </c>
      <c r="C44" s="30" t="s">
        <v>406</v>
      </c>
      <c r="D44" s="30" t="s">
        <v>407</v>
      </c>
      <c r="E44" s="30" t="s">
        <v>408</v>
      </c>
      <c r="F44" s="30" t="s">
        <v>409</v>
      </c>
      <c r="G44" s="30" t="s">
        <v>0</v>
      </c>
      <c r="H44" s="33" t="s">
        <v>1636</v>
      </c>
      <c r="I44" s="33" t="s">
        <v>1637</v>
      </c>
      <c r="J44" s="30" t="s">
        <v>1638</v>
      </c>
      <c r="K44" s="33" t="s">
        <v>1639</v>
      </c>
      <c r="L44" s="30" t="s">
        <v>1640</v>
      </c>
      <c r="M44" s="33" t="s">
        <v>1641</v>
      </c>
      <c r="N44" s="30" t="s">
        <v>1642</v>
      </c>
      <c r="O44" s="33" t="s">
        <v>1643</v>
      </c>
      <c r="P44" s="30" t="s">
        <v>1644</v>
      </c>
      <c r="Q44" s="33" t="s">
        <v>1645</v>
      </c>
      <c r="R44" s="30" t="s">
        <v>1646</v>
      </c>
      <c r="S44" s="30" t="s">
        <v>395</v>
      </c>
      <c r="T44" s="30" t="s">
        <v>379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767</v>
      </c>
      <c r="B45" s="14" t="s">
        <v>850</v>
      </c>
      <c r="C45" s="20">
        <v>9394</v>
      </c>
      <c r="D45" s="14" t="s">
        <v>1647</v>
      </c>
      <c r="E45" s="14" t="s">
        <v>413</v>
      </c>
      <c r="F45" s="14" t="s">
        <v>1965</v>
      </c>
      <c r="G45" s="14" t="s">
        <v>1648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578</v>
      </c>
      <c r="B46" s="14" t="s">
        <v>611</v>
      </c>
      <c r="C46" s="19">
        <v>9445</v>
      </c>
      <c r="D46" s="14" t="s">
        <v>1650</v>
      </c>
      <c r="E46" s="14" t="s">
        <v>413</v>
      </c>
      <c r="F46" s="14" t="s">
        <v>1966</v>
      </c>
      <c r="G46" s="14" t="s">
        <v>1651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767</v>
      </c>
      <c r="B47" s="14" t="s">
        <v>832</v>
      </c>
      <c r="C47" s="20">
        <v>9284</v>
      </c>
      <c r="D47" s="14" t="s">
        <v>833</v>
      </c>
      <c r="E47" s="14" t="s">
        <v>417</v>
      </c>
      <c r="F47" s="14" t="s">
        <v>1967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1653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404</v>
      </c>
      <c r="B48" s="30" t="s">
        <v>405</v>
      </c>
      <c r="C48" s="30" t="s">
        <v>406</v>
      </c>
      <c r="D48" s="30" t="s">
        <v>407</v>
      </c>
      <c r="E48" s="30" t="s">
        <v>408</v>
      </c>
      <c r="F48" s="30" t="s">
        <v>409</v>
      </c>
      <c r="G48" s="30" t="s">
        <v>0</v>
      </c>
      <c r="H48" s="33" t="s">
        <v>1654</v>
      </c>
      <c r="I48" s="33" t="s">
        <v>1655</v>
      </c>
      <c r="J48" s="30" t="s">
        <v>1656</v>
      </c>
      <c r="K48" s="33" t="s">
        <v>1657</v>
      </c>
      <c r="L48" s="30" t="s">
        <v>1658</v>
      </c>
      <c r="M48" s="33" t="s">
        <v>1659</v>
      </c>
      <c r="N48" s="30" t="s">
        <v>1660</v>
      </c>
      <c r="O48" s="33" t="s">
        <v>1661</v>
      </c>
      <c r="P48" s="30" t="s">
        <v>1662</v>
      </c>
      <c r="Q48" s="33" t="s">
        <v>1663</v>
      </c>
      <c r="R48" s="30" t="s">
        <v>1664</v>
      </c>
      <c r="S48" s="30" t="s">
        <v>395</v>
      </c>
      <c r="T48" s="30" t="s">
        <v>379</v>
      </c>
    </row>
    <row r="49" spans="1:84" s="7" customFormat="1" ht="16.5" customHeight="1" x14ac:dyDescent="0.25">
      <c r="A49" s="14" t="s">
        <v>410</v>
      </c>
      <c r="B49" s="14" t="s">
        <v>418</v>
      </c>
      <c r="C49" s="19">
        <v>9874</v>
      </c>
      <c r="D49" s="11" t="s">
        <v>1665</v>
      </c>
      <c r="E49" s="14" t="s">
        <v>413</v>
      </c>
      <c r="F49" s="14" t="s">
        <v>1056</v>
      </c>
      <c r="G49" s="14" t="s">
        <v>1666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868</v>
      </c>
      <c r="B50" s="14" t="s">
        <v>869</v>
      </c>
      <c r="C50" s="19">
        <v>9811</v>
      </c>
      <c r="D50" s="14" t="s">
        <v>871</v>
      </c>
      <c r="E50" s="14" t="s">
        <v>413</v>
      </c>
      <c r="F50" s="14" t="s">
        <v>1968</v>
      </c>
      <c r="G50" s="14" t="s">
        <v>1668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1669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520</v>
      </c>
      <c r="B51" s="14" t="s">
        <v>536</v>
      </c>
      <c r="C51" s="24">
        <v>9396</v>
      </c>
      <c r="D51" s="11" t="s">
        <v>1670</v>
      </c>
      <c r="E51" s="11" t="s">
        <v>413</v>
      </c>
      <c r="F51" s="11" t="s">
        <v>1969</v>
      </c>
      <c r="G51" s="11" t="s">
        <v>1671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578</v>
      </c>
      <c r="B52" s="21" t="s">
        <v>628</v>
      </c>
      <c r="C52" s="22">
        <v>9446</v>
      </c>
      <c r="D52" s="14" t="s">
        <v>630</v>
      </c>
      <c r="E52" s="15" t="s">
        <v>413</v>
      </c>
      <c r="F52" s="14" t="s">
        <v>1970</v>
      </c>
      <c r="G52" s="15" t="s">
        <v>1673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1674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939</v>
      </c>
      <c r="B53" s="14" t="s">
        <v>972</v>
      </c>
      <c r="C53" s="20" t="s">
        <v>973</v>
      </c>
      <c r="D53" s="14" t="s">
        <v>1675</v>
      </c>
      <c r="E53" s="14" t="s">
        <v>413</v>
      </c>
      <c r="F53" s="14" t="s">
        <v>1063</v>
      </c>
      <c r="G53" s="14" t="s">
        <v>1676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1677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410</v>
      </c>
      <c r="B54" s="14" t="s">
        <v>444</v>
      </c>
      <c r="C54" s="20">
        <v>9947</v>
      </c>
      <c r="D54" s="14" t="s">
        <v>1678</v>
      </c>
      <c r="E54" s="14" t="s">
        <v>413</v>
      </c>
      <c r="F54" s="14" t="s">
        <v>1971</v>
      </c>
      <c r="G54" s="14" t="s">
        <v>1679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459</v>
      </c>
      <c r="B55" s="21" t="s">
        <v>511</v>
      </c>
      <c r="C55" s="22">
        <v>9405</v>
      </c>
      <c r="D55" s="14" t="s">
        <v>1681</v>
      </c>
      <c r="E55" s="15" t="s">
        <v>413</v>
      </c>
      <c r="F55" s="14" t="s">
        <v>1972</v>
      </c>
      <c r="G55" s="1" t="s">
        <v>1682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520</v>
      </c>
      <c r="B56" s="14" t="s">
        <v>555</v>
      </c>
      <c r="C56" s="24">
        <v>9388</v>
      </c>
      <c r="D56" s="11" t="s">
        <v>1684</v>
      </c>
      <c r="E56" s="11" t="s">
        <v>413</v>
      </c>
      <c r="F56" s="11" t="s">
        <v>1973</v>
      </c>
      <c r="G56" s="11" t="s">
        <v>1685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1686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1008</v>
      </c>
      <c r="B57" s="14" t="s">
        <v>1009</v>
      </c>
      <c r="C57" s="19">
        <v>9658</v>
      </c>
      <c r="D57" s="14" t="s">
        <v>1687</v>
      </c>
      <c r="E57" s="14" t="s">
        <v>413</v>
      </c>
      <c r="F57" s="14" t="s">
        <v>1974</v>
      </c>
      <c r="G57" s="14" t="s">
        <v>1688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1008</v>
      </c>
      <c r="B58" s="14" t="s">
        <v>1020</v>
      </c>
      <c r="C58" s="20">
        <v>9530</v>
      </c>
      <c r="D58" s="14" t="s">
        <v>1690</v>
      </c>
      <c r="E58" s="14" t="s">
        <v>413</v>
      </c>
      <c r="F58" s="14" t="s">
        <v>1975</v>
      </c>
      <c r="G58" s="14" t="s">
        <v>1691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578</v>
      </c>
      <c r="B59" s="21" t="s">
        <v>624</v>
      </c>
      <c r="C59" s="22">
        <v>9442</v>
      </c>
      <c r="D59" s="14" t="s">
        <v>1693</v>
      </c>
      <c r="E59" s="15" t="s">
        <v>1694</v>
      </c>
      <c r="F59" s="14" t="s">
        <v>1976</v>
      </c>
      <c r="G59" s="1" t="s">
        <v>1695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702</v>
      </c>
      <c r="B60" s="14" t="s">
        <v>738</v>
      </c>
      <c r="C60" s="20">
        <v>9345</v>
      </c>
      <c r="D60" s="14" t="s">
        <v>1697</v>
      </c>
      <c r="E60" s="14" t="s">
        <v>413</v>
      </c>
      <c r="F60" s="14" t="s">
        <v>1977</v>
      </c>
      <c r="G60" s="14" t="s">
        <v>1698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1699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702</v>
      </c>
      <c r="B61" s="21" t="s">
        <v>725</v>
      </c>
      <c r="C61" s="20">
        <v>9276</v>
      </c>
      <c r="D61" s="14" t="s">
        <v>1700</v>
      </c>
      <c r="E61" s="14" t="s">
        <v>413</v>
      </c>
      <c r="F61" s="14" t="s">
        <v>1978</v>
      </c>
      <c r="G61" s="14" t="s">
        <v>1701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939</v>
      </c>
      <c r="B62" s="14" t="s">
        <v>1703</v>
      </c>
      <c r="C62" s="19">
        <v>9666</v>
      </c>
      <c r="D62" s="14" t="s">
        <v>1704</v>
      </c>
      <c r="E62" s="14" t="s">
        <v>413</v>
      </c>
      <c r="F62" s="14" t="s">
        <v>1979</v>
      </c>
      <c r="G62" s="14" t="s">
        <v>1705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1706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638</v>
      </c>
      <c r="B63" s="14" t="s">
        <v>677</v>
      </c>
      <c r="C63" s="20">
        <v>9259</v>
      </c>
      <c r="D63" s="14" t="s">
        <v>1707</v>
      </c>
      <c r="E63" s="14" t="s">
        <v>413</v>
      </c>
      <c r="F63" s="14" t="s">
        <v>1980</v>
      </c>
      <c r="G63" s="14" t="s">
        <v>1708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767</v>
      </c>
      <c r="B64" s="14" t="s">
        <v>768</v>
      </c>
      <c r="C64" s="19">
        <v>9221</v>
      </c>
      <c r="D64" s="14" t="s">
        <v>1710</v>
      </c>
      <c r="E64" s="14" t="s">
        <v>413</v>
      </c>
      <c r="F64" s="14" t="s">
        <v>1981</v>
      </c>
      <c r="G64" s="14" t="s">
        <v>1711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522</v>
      </c>
      <c r="B65" s="21" t="s">
        <v>560</v>
      </c>
      <c r="C65" s="22">
        <v>9360</v>
      </c>
      <c r="D65" s="14" t="s">
        <v>1713</v>
      </c>
      <c r="E65" s="15" t="s">
        <v>413</v>
      </c>
      <c r="F65" s="14" t="s">
        <v>1982</v>
      </c>
      <c r="G65" s="15" t="s">
        <v>1714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520</v>
      </c>
      <c r="B66" s="14" t="s">
        <v>531</v>
      </c>
      <c r="C66" s="23">
        <v>9336</v>
      </c>
      <c r="D66" s="11" t="s">
        <v>1716</v>
      </c>
      <c r="E66" s="11" t="s">
        <v>417</v>
      </c>
      <c r="F66" s="11" t="s">
        <v>1983</v>
      </c>
      <c r="G66" s="11" t="s">
        <v>1717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1008</v>
      </c>
      <c r="B67" s="14" t="s">
        <v>1011</v>
      </c>
      <c r="C67" s="19">
        <v>9653</v>
      </c>
      <c r="D67" s="14" t="s">
        <v>1719</v>
      </c>
      <c r="E67" s="14" t="s">
        <v>413</v>
      </c>
      <c r="F67" s="14" t="s">
        <v>1984</v>
      </c>
      <c r="G67" s="14" t="s">
        <v>1720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1721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459</v>
      </c>
      <c r="B68" s="21" t="s">
        <v>504</v>
      </c>
      <c r="C68" s="22">
        <v>9430</v>
      </c>
      <c r="D68" s="14" t="s">
        <v>1722</v>
      </c>
      <c r="E68" s="15" t="s">
        <v>413</v>
      </c>
      <c r="F68" s="14" t="s">
        <v>1985</v>
      </c>
      <c r="G68" s="15" t="s">
        <v>1723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939</v>
      </c>
      <c r="B69" s="14" t="s">
        <v>946</v>
      </c>
      <c r="C69" s="19">
        <v>9665</v>
      </c>
      <c r="D69" s="14" t="s">
        <v>948</v>
      </c>
      <c r="E69" s="14" t="s">
        <v>413</v>
      </c>
      <c r="F69" s="14" t="s">
        <v>1986</v>
      </c>
      <c r="G69" s="14" t="s">
        <v>1725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1726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767</v>
      </c>
      <c r="B70" s="14" t="s">
        <v>850</v>
      </c>
      <c r="C70" s="20">
        <v>9394</v>
      </c>
      <c r="D70" s="14" t="s">
        <v>1727</v>
      </c>
      <c r="E70" s="14" t="s">
        <v>417</v>
      </c>
      <c r="F70" s="14" t="s">
        <v>802</v>
      </c>
      <c r="G70" s="14" t="s">
        <v>1728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868</v>
      </c>
      <c r="B71" s="14" t="s">
        <v>890</v>
      </c>
      <c r="C71" s="20">
        <v>9883</v>
      </c>
      <c r="D71" s="14" t="s">
        <v>1730</v>
      </c>
      <c r="E71" s="14" t="s">
        <v>413</v>
      </c>
      <c r="F71" s="14" t="s">
        <v>479</v>
      </c>
      <c r="G71" s="14" t="s">
        <v>1731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939</v>
      </c>
      <c r="B72" s="21" t="s">
        <v>962</v>
      </c>
      <c r="C72" s="19">
        <v>9570</v>
      </c>
      <c r="D72" s="14" t="s">
        <v>1733</v>
      </c>
      <c r="E72" s="15" t="s">
        <v>413</v>
      </c>
      <c r="F72" s="14" t="s">
        <v>1987</v>
      </c>
      <c r="G72" s="1" t="s">
        <v>1734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638</v>
      </c>
      <c r="B73" s="14" t="s">
        <v>650</v>
      </c>
      <c r="C73" s="19">
        <v>9970</v>
      </c>
      <c r="D73" s="14" t="s">
        <v>652</v>
      </c>
      <c r="E73" s="14" t="s">
        <v>413</v>
      </c>
      <c r="F73" s="14" t="s">
        <v>1207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868</v>
      </c>
      <c r="B74" s="11" t="s">
        <v>885</v>
      </c>
      <c r="C74" s="23">
        <v>9816</v>
      </c>
      <c r="D74" s="11" t="s">
        <v>1737</v>
      </c>
      <c r="E74" s="11" t="s">
        <v>413</v>
      </c>
      <c r="F74" s="11" t="s">
        <v>1738</v>
      </c>
      <c r="G74" s="11" t="s">
        <v>1739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1740</v>
      </c>
    </row>
    <row r="75" spans="1:84" s="6" customFormat="1" ht="16.5" customHeight="1" x14ac:dyDescent="0.25">
      <c r="A75" s="11" t="s">
        <v>939</v>
      </c>
      <c r="B75" s="11" t="s">
        <v>978</v>
      </c>
      <c r="C75" s="24">
        <v>9640</v>
      </c>
      <c r="D75" s="11" t="s">
        <v>1741</v>
      </c>
      <c r="E75" s="11" t="s">
        <v>413</v>
      </c>
      <c r="F75" s="11" t="s">
        <v>1988</v>
      </c>
      <c r="G75" s="11" t="s">
        <v>1742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1743</v>
      </c>
    </row>
    <row r="76" spans="1:84" s="6" customFormat="1" ht="16.5" customHeight="1" x14ac:dyDescent="0.25">
      <c r="A76" s="11" t="s">
        <v>1008</v>
      </c>
      <c r="B76" s="11" t="s">
        <v>1018</v>
      </c>
      <c r="C76" s="24">
        <v>9550</v>
      </c>
      <c r="D76" s="11" t="s">
        <v>1744</v>
      </c>
      <c r="E76" s="11" t="s">
        <v>413</v>
      </c>
      <c r="F76" s="11" t="s">
        <v>1989</v>
      </c>
      <c r="G76" s="11" t="s">
        <v>1745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1746</v>
      </c>
    </row>
    <row r="77" spans="1:84" s="6" customFormat="1" ht="16.5" customHeight="1" x14ac:dyDescent="0.25">
      <c r="A77" s="11" t="s">
        <v>868</v>
      </c>
      <c r="B77" s="11" t="s">
        <v>874</v>
      </c>
      <c r="C77" s="23">
        <v>9843</v>
      </c>
      <c r="D77" s="11" t="s">
        <v>1747</v>
      </c>
      <c r="E77" s="11" t="s">
        <v>413</v>
      </c>
      <c r="F77" s="11" t="s">
        <v>1990</v>
      </c>
      <c r="G77" s="11" t="s">
        <v>1748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1749</v>
      </c>
    </row>
    <row r="78" spans="1:84" s="7" customFormat="1" ht="16.5" customHeight="1" x14ac:dyDescent="0.25">
      <c r="A78" s="14" t="s">
        <v>767</v>
      </c>
      <c r="B78" s="14" t="s">
        <v>780</v>
      </c>
      <c r="C78" s="19">
        <v>9282</v>
      </c>
      <c r="D78" s="14" t="s">
        <v>1750</v>
      </c>
      <c r="E78" s="14" t="s">
        <v>413</v>
      </c>
      <c r="F78" s="14" t="s">
        <v>1991</v>
      </c>
      <c r="G78" s="14" t="s">
        <v>1751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767</v>
      </c>
      <c r="B79" s="14" t="s">
        <v>784</v>
      </c>
      <c r="C79" s="19">
        <v>9911</v>
      </c>
      <c r="D79" s="14" t="s">
        <v>1753</v>
      </c>
      <c r="E79" s="14" t="s">
        <v>413</v>
      </c>
      <c r="F79" s="14" t="s">
        <v>1992</v>
      </c>
      <c r="G79" s="14" t="s">
        <v>1754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1755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638</v>
      </c>
      <c r="B80" s="14" t="s">
        <v>639</v>
      </c>
      <c r="C80" s="19">
        <v>9214</v>
      </c>
      <c r="D80" s="14" t="s">
        <v>1756</v>
      </c>
      <c r="E80" s="14" t="s">
        <v>413</v>
      </c>
      <c r="F80" s="14" t="s">
        <v>1993</v>
      </c>
      <c r="G80" s="14" t="s">
        <v>1757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638</v>
      </c>
      <c r="B81" s="14" t="s">
        <v>683</v>
      </c>
      <c r="C81" s="20">
        <v>9235</v>
      </c>
      <c r="D81" s="14" t="s">
        <v>1759</v>
      </c>
      <c r="E81" s="14" t="s">
        <v>413</v>
      </c>
      <c r="F81" s="14" t="s">
        <v>1760</v>
      </c>
      <c r="G81" s="14" t="s">
        <v>1761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767</v>
      </c>
      <c r="B82" s="14" t="s">
        <v>797</v>
      </c>
      <c r="C82" s="19">
        <v>9271</v>
      </c>
      <c r="D82" s="14" t="s">
        <v>1763</v>
      </c>
      <c r="E82" s="14" t="s">
        <v>413</v>
      </c>
      <c r="F82" s="14" t="s">
        <v>1469</v>
      </c>
      <c r="G82" s="14" t="s">
        <v>1764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767</v>
      </c>
      <c r="B83" s="14" t="s">
        <v>836</v>
      </c>
      <c r="C83" s="20">
        <v>9225</v>
      </c>
      <c r="D83" s="14" t="s">
        <v>1766</v>
      </c>
      <c r="E83" s="14" t="s">
        <v>413</v>
      </c>
      <c r="F83" s="14" t="s">
        <v>1994</v>
      </c>
      <c r="G83" s="14" t="s">
        <v>1767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638</v>
      </c>
      <c r="B84" s="14" t="s">
        <v>653</v>
      </c>
      <c r="C84" s="19">
        <v>9203</v>
      </c>
      <c r="D84" s="14" t="s">
        <v>1769</v>
      </c>
      <c r="E84" s="14" t="s">
        <v>413</v>
      </c>
      <c r="F84" s="14" t="s">
        <v>1770</v>
      </c>
      <c r="G84" s="14" t="s">
        <v>1771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1772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702</v>
      </c>
      <c r="B85" s="14" t="s">
        <v>763</v>
      </c>
      <c r="C85" s="20">
        <v>9253</v>
      </c>
      <c r="D85" s="14" t="s">
        <v>1773</v>
      </c>
      <c r="E85" s="14" t="s">
        <v>413</v>
      </c>
      <c r="F85" s="14" t="s">
        <v>1774</v>
      </c>
      <c r="G85" s="14" t="s">
        <v>1775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638</v>
      </c>
      <c r="B86" s="14" t="s">
        <v>661</v>
      </c>
      <c r="C86" s="19">
        <v>9234</v>
      </c>
      <c r="D86" s="11" t="s">
        <v>1777</v>
      </c>
      <c r="E86" s="14" t="s">
        <v>413</v>
      </c>
      <c r="F86" s="14" t="s">
        <v>1995</v>
      </c>
      <c r="G86" s="14" t="s">
        <v>1778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638</v>
      </c>
      <c r="B87" s="14" t="s">
        <v>648</v>
      </c>
      <c r="C87" s="19">
        <v>9955</v>
      </c>
      <c r="D87" s="14" t="s">
        <v>1780</v>
      </c>
      <c r="E87" s="14" t="s">
        <v>413</v>
      </c>
      <c r="F87" s="14" t="s">
        <v>1996</v>
      </c>
      <c r="G87" s="14" t="s">
        <v>1781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1782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638</v>
      </c>
      <c r="B88" s="21" t="s">
        <v>659</v>
      </c>
      <c r="C88" s="19">
        <v>9924</v>
      </c>
      <c r="D88" s="14" t="s">
        <v>1783</v>
      </c>
      <c r="E88" s="15" t="s">
        <v>413</v>
      </c>
      <c r="F88" s="14" t="s">
        <v>1466</v>
      </c>
      <c r="G88" s="15" t="s">
        <v>1784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638</v>
      </c>
      <c r="B89" s="14" t="s">
        <v>1786</v>
      </c>
      <c r="C89" s="20">
        <v>9216</v>
      </c>
      <c r="D89" s="14" t="s">
        <v>1787</v>
      </c>
      <c r="E89" s="14" t="s">
        <v>417</v>
      </c>
      <c r="F89" s="14" t="s">
        <v>1997</v>
      </c>
      <c r="G89" s="14" t="s">
        <v>1788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1789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520</v>
      </c>
      <c r="B90" s="14" t="s">
        <v>552</v>
      </c>
      <c r="C90" s="20">
        <v>9310</v>
      </c>
      <c r="D90" s="14" t="s">
        <v>1790</v>
      </c>
      <c r="E90" s="14" t="s">
        <v>413</v>
      </c>
      <c r="F90" s="14" t="s">
        <v>1998</v>
      </c>
      <c r="G90" s="14" t="s">
        <v>1791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1792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520</v>
      </c>
      <c r="B91" s="14" t="s">
        <v>570</v>
      </c>
      <c r="C91" s="24">
        <v>9391</v>
      </c>
      <c r="D91" s="11" t="s">
        <v>1793</v>
      </c>
      <c r="E91" s="11" t="s">
        <v>413</v>
      </c>
      <c r="F91" s="11" t="s">
        <v>1999</v>
      </c>
      <c r="G91" s="11" t="s">
        <v>1794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404</v>
      </c>
      <c r="B92" s="30" t="s">
        <v>405</v>
      </c>
      <c r="C92" s="30" t="s">
        <v>406</v>
      </c>
      <c r="D92" s="30" t="s">
        <v>407</v>
      </c>
      <c r="E92" s="30" t="s">
        <v>408</v>
      </c>
      <c r="F92" s="30" t="s">
        <v>409</v>
      </c>
      <c r="G92" s="30" t="s">
        <v>0</v>
      </c>
      <c r="H92" s="33" t="s">
        <v>1796</v>
      </c>
      <c r="I92" s="33" t="s">
        <v>1797</v>
      </c>
      <c r="J92" s="30" t="s">
        <v>1798</v>
      </c>
      <c r="K92" s="33" t="s">
        <v>1799</v>
      </c>
      <c r="L92" s="30" t="s">
        <v>1800</v>
      </c>
      <c r="M92" s="33" t="s">
        <v>1801</v>
      </c>
      <c r="N92" s="30" t="s">
        <v>1802</v>
      </c>
      <c r="O92" s="33" t="s">
        <v>1803</v>
      </c>
      <c r="P92" s="30" t="s">
        <v>1804</v>
      </c>
      <c r="Q92" s="30" t="s">
        <v>395</v>
      </c>
      <c r="R92" s="137" t="s">
        <v>379</v>
      </c>
      <c r="S92" s="137"/>
      <c r="T92" s="13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638</v>
      </c>
      <c r="B93" s="14" t="s">
        <v>688</v>
      </c>
      <c r="C93" s="20">
        <v>9217</v>
      </c>
      <c r="D93" s="11" t="s">
        <v>1805</v>
      </c>
      <c r="E93" s="14" t="s">
        <v>413</v>
      </c>
      <c r="F93" s="14" t="s">
        <v>2000</v>
      </c>
      <c r="G93" s="14" t="s">
        <v>1806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8" t="s">
        <v>1807</v>
      </c>
      <c r="S93" s="138"/>
      <c r="T93" s="138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638</v>
      </c>
      <c r="B94" s="14" t="s">
        <v>688</v>
      </c>
      <c r="C94" s="20">
        <v>9217</v>
      </c>
      <c r="D94" s="14" t="s">
        <v>1808</v>
      </c>
      <c r="E94" s="14" t="s">
        <v>413</v>
      </c>
      <c r="F94" s="14" t="s">
        <v>867</v>
      </c>
      <c r="G94" s="14" t="s">
        <v>1809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8" t="s">
        <v>1810</v>
      </c>
      <c r="S94" s="138"/>
      <c r="T94" s="13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939</v>
      </c>
      <c r="B95" s="14" t="s">
        <v>954</v>
      </c>
      <c r="C95" s="19">
        <v>9678</v>
      </c>
      <c r="D95" s="14" t="s">
        <v>1811</v>
      </c>
      <c r="E95" s="14" t="s">
        <v>413</v>
      </c>
      <c r="F95" s="14" t="s">
        <v>2001</v>
      </c>
      <c r="G95" s="14" t="s">
        <v>1812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8" t="s">
        <v>1813</v>
      </c>
      <c r="S95" s="138"/>
      <c r="T95" s="138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939</v>
      </c>
      <c r="B96" s="14" t="s">
        <v>954</v>
      </c>
      <c r="C96" s="19">
        <v>9678</v>
      </c>
      <c r="D96" s="14" t="s">
        <v>956</v>
      </c>
      <c r="E96" s="14" t="s">
        <v>417</v>
      </c>
      <c r="F96" s="14" t="s">
        <v>2002</v>
      </c>
      <c r="G96" s="14" t="s">
        <v>233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8" t="s">
        <v>1814</v>
      </c>
      <c r="S96" s="138"/>
      <c r="T96" s="138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404</v>
      </c>
      <c r="B97" s="30" t="s">
        <v>405</v>
      </c>
      <c r="C97" s="30" t="s">
        <v>406</v>
      </c>
      <c r="D97" s="30" t="s">
        <v>407</v>
      </c>
      <c r="E97" s="30" t="s">
        <v>408</v>
      </c>
      <c r="F97" s="30" t="s">
        <v>409</v>
      </c>
      <c r="G97" s="30" t="s">
        <v>0</v>
      </c>
      <c r="H97" s="33" t="s">
        <v>1815</v>
      </c>
      <c r="I97" s="33" t="s">
        <v>1816</v>
      </c>
      <c r="J97" s="30" t="s">
        <v>1817</v>
      </c>
      <c r="K97" s="33" t="s">
        <v>1818</v>
      </c>
      <c r="L97" s="30" t="s">
        <v>1819</v>
      </c>
      <c r="M97" s="33" t="s">
        <v>1820</v>
      </c>
      <c r="N97" s="30" t="s">
        <v>1821</v>
      </c>
      <c r="O97" s="33" t="s">
        <v>1822</v>
      </c>
      <c r="P97" s="30" t="s">
        <v>1823</v>
      </c>
      <c r="Q97" s="33" t="s">
        <v>1824</v>
      </c>
      <c r="R97" s="30" t="s">
        <v>1825</v>
      </c>
      <c r="S97" s="30" t="s">
        <v>395</v>
      </c>
      <c r="T97" s="30" t="s">
        <v>379</v>
      </c>
    </row>
    <row r="98" spans="1:86" s="7" customFormat="1" ht="16.5" customHeight="1" x14ac:dyDescent="0.25">
      <c r="A98" s="14" t="s">
        <v>1008</v>
      </c>
      <c r="B98" s="21" t="s">
        <v>1025</v>
      </c>
      <c r="C98" s="20">
        <v>9503</v>
      </c>
      <c r="D98" s="14" t="s">
        <v>1826</v>
      </c>
      <c r="E98" s="14" t="s">
        <v>413</v>
      </c>
      <c r="F98" s="14" t="s">
        <v>2003</v>
      </c>
      <c r="G98" s="14" t="s">
        <v>378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1827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404</v>
      </c>
      <c r="B99" s="30" t="s">
        <v>405</v>
      </c>
      <c r="C99" s="30" t="s">
        <v>406</v>
      </c>
      <c r="D99" s="30" t="s">
        <v>407</v>
      </c>
      <c r="E99" s="30" t="s">
        <v>408</v>
      </c>
      <c r="F99" s="30" t="s">
        <v>409</v>
      </c>
      <c r="G99" s="30" t="s">
        <v>0</v>
      </c>
      <c r="H99" s="41">
        <v>42886</v>
      </c>
      <c r="I99" s="33" t="s">
        <v>1828</v>
      </c>
      <c r="J99" s="30" t="s">
        <v>1829</v>
      </c>
      <c r="K99" s="33" t="s">
        <v>1830</v>
      </c>
      <c r="L99" s="30" t="s">
        <v>1831</v>
      </c>
      <c r="M99" s="33" t="s">
        <v>1832</v>
      </c>
      <c r="N99" s="30" t="s">
        <v>1833</v>
      </c>
      <c r="O99" s="33" t="s">
        <v>1834</v>
      </c>
      <c r="P99" s="30" t="s">
        <v>1835</v>
      </c>
      <c r="Q99" s="33" t="s">
        <v>1836</v>
      </c>
      <c r="R99" s="30" t="s">
        <v>1837</v>
      </c>
      <c r="S99" s="30" t="s">
        <v>395</v>
      </c>
      <c r="T99" s="30" t="s">
        <v>379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767</v>
      </c>
      <c r="B100" s="14" t="s">
        <v>815</v>
      </c>
      <c r="C100" s="20">
        <v>9288</v>
      </c>
      <c r="D100" s="14" t="s">
        <v>1838</v>
      </c>
      <c r="E100" s="14" t="s">
        <v>413</v>
      </c>
      <c r="F100" s="14" t="s">
        <v>2004</v>
      </c>
      <c r="G100" s="14" t="s">
        <v>1839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404</v>
      </c>
      <c r="B101" s="30" t="s">
        <v>405</v>
      </c>
      <c r="C101" s="30" t="s">
        <v>406</v>
      </c>
      <c r="D101" s="30" t="s">
        <v>407</v>
      </c>
      <c r="E101" s="30" t="s">
        <v>408</v>
      </c>
      <c r="F101" s="30" t="s">
        <v>409</v>
      </c>
      <c r="G101" s="30" t="s">
        <v>0</v>
      </c>
      <c r="H101" s="41" t="s">
        <v>1840</v>
      </c>
      <c r="I101" s="33" t="s">
        <v>1841</v>
      </c>
      <c r="J101" s="33" t="s">
        <v>1842</v>
      </c>
      <c r="K101" s="33" t="s">
        <v>1843</v>
      </c>
      <c r="L101" s="33" t="s">
        <v>1844</v>
      </c>
      <c r="M101" s="33" t="s">
        <v>1845</v>
      </c>
      <c r="N101" s="33" t="s">
        <v>1846</v>
      </c>
      <c r="O101" s="33" t="s">
        <v>1847</v>
      </c>
      <c r="P101" s="33" t="s">
        <v>1848</v>
      </c>
      <c r="Q101" s="33" t="s">
        <v>1849</v>
      </c>
      <c r="R101" s="33" t="s">
        <v>1850</v>
      </c>
      <c r="S101" s="30" t="s">
        <v>395</v>
      </c>
      <c r="T101" s="30" t="s">
        <v>379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767</v>
      </c>
      <c r="B102" s="14" t="s">
        <v>865</v>
      </c>
      <c r="C102" s="20">
        <v>9928</v>
      </c>
      <c r="D102" s="14" t="s">
        <v>866</v>
      </c>
      <c r="E102" s="14" t="s">
        <v>413</v>
      </c>
      <c r="F102" s="14" t="s">
        <v>2005</v>
      </c>
      <c r="G102" s="14" t="s">
        <v>1851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1008</v>
      </c>
      <c r="B103" s="14" t="s">
        <v>1049</v>
      </c>
      <c r="C103" s="20">
        <v>9611</v>
      </c>
      <c r="D103" s="14" t="s">
        <v>1050</v>
      </c>
      <c r="E103" s="14" t="s">
        <v>417</v>
      </c>
      <c r="F103" s="14" t="s">
        <v>2006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2034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404</v>
      </c>
      <c r="B104" s="30" t="s">
        <v>405</v>
      </c>
      <c r="C104" s="30" t="s">
        <v>406</v>
      </c>
      <c r="D104" s="30" t="s">
        <v>407</v>
      </c>
      <c r="E104" s="30" t="s">
        <v>408</v>
      </c>
      <c r="F104" s="30" t="s">
        <v>409</v>
      </c>
      <c r="G104" s="30" t="s">
        <v>0</v>
      </c>
      <c r="H104" s="41" t="s">
        <v>1853</v>
      </c>
      <c r="I104" s="33" t="s">
        <v>1854</v>
      </c>
      <c r="J104" s="33" t="s">
        <v>1855</v>
      </c>
      <c r="K104" s="33" t="s">
        <v>1856</v>
      </c>
      <c r="L104" s="33" t="s">
        <v>1857</v>
      </c>
      <c r="M104" s="33" t="s">
        <v>1858</v>
      </c>
      <c r="N104" s="33" t="s">
        <v>1859</v>
      </c>
      <c r="O104" s="33" t="s">
        <v>1860</v>
      </c>
      <c r="P104" s="33" t="s">
        <v>1861</v>
      </c>
      <c r="Q104" s="33" t="s">
        <v>1862</v>
      </c>
      <c r="R104" s="33" t="s">
        <v>1863</v>
      </c>
      <c r="S104" s="30" t="s">
        <v>395</v>
      </c>
      <c r="T104" s="30" t="s">
        <v>379</v>
      </c>
    </row>
    <row r="105" spans="1:86" s="7" customFormat="1" ht="16.5" customHeight="1" x14ac:dyDescent="0.25">
      <c r="A105" s="14" t="s">
        <v>767</v>
      </c>
      <c r="B105" s="14" t="s">
        <v>852</v>
      </c>
      <c r="C105" s="20">
        <v>9289</v>
      </c>
      <c r="D105" s="14" t="s">
        <v>1864</v>
      </c>
      <c r="E105" s="14" t="s">
        <v>413</v>
      </c>
      <c r="F105" s="14" t="s">
        <v>2007</v>
      </c>
      <c r="G105" s="14" t="s">
        <v>1865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1866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767</v>
      </c>
      <c r="B106" s="14" t="s">
        <v>842</v>
      </c>
      <c r="C106" s="20">
        <v>9238</v>
      </c>
      <c r="D106" s="14" t="s">
        <v>843</v>
      </c>
      <c r="E106" s="14" t="s">
        <v>417</v>
      </c>
      <c r="F106" s="14" t="s">
        <v>2008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1867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404</v>
      </c>
      <c r="B107" s="30" t="s">
        <v>405</v>
      </c>
      <c r="C107" s="30" t="s">
        <v>406</v>
      </c>
      <c r="D107" s="30" t="s">
        <v>407</v>
      </c>
      <c r="E107" s="30" t="s">
        <v>408</v>
      </c>
      <c r="F107" s="30" t="s">
        <v>409</v>
      </c>
      <c r="G107" s="30" t="s">
        <v>0</v>
      </c>
      <c r="H107" s="41" t="s">
        <v>1868</v>
      </c>
      <c r="I107" s="33" t="s">
        <v>1869</v>
      </c>
      <c r="J107" s="33" t="s">
        <v>1870</v>
      </c>
      <c r="K107" s="33" t="s">
        <v>1871</v>
      </c>
      <c r="L107" s="33" t="s">
        <v>1872</v>
      </c>
      <c r="M107" s="33" t="s">
        <v>1873</v>
      </c>
      <c r="N107" s="33" t="s">
        <v>1874</v>
      </c>
      <c r="O107" s="33" t="s">
        <v>1875</v>
      </c>
      <c r="P107" s="33" t="s">
        <v>1876</v>
      </c>
      <c r="Q107" s="33" t="s">
        <v>1877</v>
      </c>
      <c r="R107" s="33" t="s">
        <v>1480</v>
      </c>
      <c r="S107" s="30" t="s">
        <v>395</v>
      </c>
      <c r="T107" s="30" t="s">
        <v>379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459</v>
      </c>
      <c r="B108" s="14" t="s">
        <v>475</v>
      </c>
      <c r="C108" s="19">
        <v>9425</v>
      </c>
      <c r="D108" s="11" t="s">
        <v>1878</v>
      </c>
      <c r="E108" s="14" t="s">
        <v>413</v>
      </c>
      <c r="F108" s="14" t="s">
        <v>2009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1879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1008</v>
      </c>
      <c r="B109" s="14" t="s">
        <v>1029</v>
      </c>
      <c r="C109" s="20">
        <v>9504</v>
      </c>
      <c r="D109" s="14" t="s">
        <v>1880</v>
      </c>
      <c r="E109" s="14" t="s">
        <v>413</v>
      </c>
      <c r="F109" s="15" t="s">
        <v>1881</v>
      </c>
      <c r="G109" s="14" t="s">
        <v>1882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1883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578</v>
      </c>
      <c r="B110" s="14" t="s">
        <v>605</v>
      </c>
      <c r="C110" s="19">
        <v>9839</v>
      </c>
      <c r="D110" s="14" t="s">
        <v>606</v>
      </c>
      <c r="E110" s="14" t="s">
        <v>417</v>
      </c>
      <c r="F110" s="14" t="s">
        <v>2010</v>
      </c>
      <c r="G110" s="14" t="s">
        <v>1884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404</v>
      </c>
      <c r="B111" s="30" t="s">
        <v>405</v>
      </c>
      <c r="C111" s="30" t="s">
        <v>406</v>
      </c>
      <c r="D111" s="30" t="s">
        <v>407</v>
      </c>
      <c r="E111" s="30" t="s">
        <v>408</v>
      </c>
      <c r="F111" s="30" t="s">
        <v>409</v>
      </c>
      <c r="G111" s="30" t="s">
        <v>0</v>
      </c>
      <c r="H111" s="41">
        <v>43039</v>
      </c>
      <c r="I111" s="33" t="s">
        <v>1886</v>
      </c>
      <c r="J111" s="33" t="s">
        <v>1887</v>
      </c>
      <c r="K111" s="33" t="s">
        <v>1888</v>
      </c>
      <c r="L111" s="33" t="s">
        <v>1889</v>
      </c>
      <c r="M111" s="33" t="s">
        <v>1890</v>
      </c>
      <c r="N111" s="33" t="s">
        <v>1891</v>
      </c>
      <c r="O111" s="33" t="s">
        <v>1892</v>
      </c>
      <c r="P111" s="33" t="s">
        <v>1893</v>
      </c>
      <c r="Q111" s="33" t="s">
        <v>1894</v>
      </c>
      <c r="R111" s="33" t="s">
        <v>1625</v>
      </c>
      <c r="S111" s="30" t="s">
        <v>395</v>
      </c>
      <c r="T111" s="30" t="s">
        <v>379</v>
      </c>
    </row>
    <row r="112" spans="1:86" s="7" customFormat="1" ht="57.75" customHeight="1" x14ac:dyDescent="0.25">
      <c r="A112" s="14" t="s">
        <v>410</v>
      </c>
      <c r="B112" s="14" t="s">
        <v>411</v>
      </c>
      <c r="C112" s="19">
        <v>9875</v>
      </c>
      <c r="D112" s="14" t="s">
        <v>412</v>
      </c>
      <c r="E112" s="14" t="s">
        <v>413</v>
      </c>
      <c r="F112" s="14" t="s">
        <v>2011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578</v>
      </c>
      <c r="B113" s="14" t="s">
        <v>605</v>
      </c>
      <c r="C113" s="19">
        <v>9839</v>
      </c>
      <c r="D113" s="14" t="s">
        <v>1896</v>
      </c>
      <c r="E113" s="14" t="s">
        <v>413</v>
      </c>
      <c r="F113" s="14" t="s">
        <v>2012</v>
      </c>
      <c r="G113" s="14" t="s">
        <v>1897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578</v>
      </c>
      <c r="B114" s="11" t="s">
        <v>622</v>
      </c>
      <c r="C114" s="24">
        <v>9402</v>
      </c>
      <c r="D114" s="11" t="s">
        <v>623</v>
      </c>
      <c r="E114" s="11" t="s">
        <v>417</v>
      </c>
      <c r="F114" s="11" t="s">
        <v>2013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1899</v>
      </c>
    </row>
    <row r="115" spans="1:110" s="7" customFormat="1" ht="43.5" customHeight="1" x14ac:dyDescent="0.25">
      <c r="A115" s="14" t="s">
        <v>578</v>
      </c>
      <c r="B115" s="14" t="s">
        <v>594</v>
      </c>
      <c r="C115" s="19">
        <v>9831</v>
      </c>
      <c r="D115" s="14" t="s">
        <v>595</v>
      </c>
      <c r="E115" s="14" t="s">
        <v>417</v>
      </c>
      <c r="F115" s="14" t="s">
        <v>2014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578</v>
      </c>
      <c r="B116" s="14" t="s">
        <v>619</v>
      </c>
      <c r="C116" s="20">
        <v>9832</v>
      </c>
      <c r="D116" s="14" t="s">
        <v>620</v>
      </c>
      <c r="E116" s="14" t="s">
        <v>413</v>
      </c>
      <c r="F116" s="14" t="s">
        <v>2015</v>
      </c>
      <c r="G116" s="14" t="s">
        <v>310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578</v>
      </c>
      <c r="B117" s="14" t="s">
        <v>617</v>
      </c>
      <c r="C117" s="19">
        <v>9448</v>
      </c>
      <c r="D117" s="14" t="s">
        <v>618</v>
      </c>
      <c r="E117" s="14" t="s">
        <v>417</v>
      </c>
      <c r="F117" s="14" t="s">
        <v>2016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1902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578</v>
      </c>
      <c r="B118" s="14" t="s">
        <v>600</v>
      </c>
      <c r="C118" s="19">
        <v>9833</v>
      </c>
      <c r="D118" s="14" t="s">
        <v>604</v>
      </c>
      <c r="E118" s="14" t="s">
        <v>417</v>
      </c>
      <c r="F118" s="14" t="s">
        <v>2017</v>
      </c>
      <c r="G118" s="14" t="s">
        <v>304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1903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578</v>
      </c>
      <c r="B119" s="11" t="s">
        <v>622</v>
      </c>
      <c r="C119" s="24">
        <v>9402</v>
      </c>
      <c r="D119" s="11" t="s">
        <v>623</v>
      </c>
      <c r="E119" s="11" t="s">
        <v>413</v>
      </c>
      <c r="F119" s="11" t="s">
        <v>1904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520</v>
      </c>
      <c r="B120" s="14" t="s">
        <v>521</v>
      </c>
      <c r="C120" s="23">
        <v>9393</v>
      </c>
      <c r="D120" s="11" t="s">
        <v>1906</v>
      </c>
      <c r="E120" s="11" t="s">
        <v>413</v>
      </c>
      <c r="F120" s="11" t="s">
        <v>2018</v>
      </c>
      <c r="G120" s="11" t="s">
        <v>1907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638</v>
      </c>
      <c r="B121" s="21" t="s">
        <v>642</v>
      </c>
      <c r="C121" s="19">
        <v>9905</v>
      </c>
      <c r="D121" s="14" t="s">
        <v>1909</v>
      </c>
      <c r="E121" s="15" t="s">
        <v>413</v>
      </c>
      <c r="F121" s="14" t="s">
        <v>2019</v>
      </c>
      <c r="G121" s="15" t="s">
        <v>1910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1911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437</v>
      </c>
      <c r="B122" s="21" t="s">
        <v>454</v>
      </c>
      <c r="C122" s="20">
        <v>9873</v>
      </c>
      <c r="D122" s="14" t="s">
        <v>1912</v>
      </c>
      <c r="E122" s="14" t="s">
        <v>413</v>
      </c>
      <c r="F122" s="14" t="s">
        <v>2020</v>
      </c>
      <c r="G122" s="14" t="s">
        <v>1913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1914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404</v>
      </c>
      <c r="B123" s="30" t="s">
        <v>405</v>
      </c>
      <c r="C123" s="30" t="s">
        <v>406</v>
      </c>
      <c r="D123" s="30" t="s">
        <v>407</v>
      </c>
      <c r="E123" s="30" t="s">
        <v>408</v>
      </c>
      <c r="F123" s="30" t="s">
        <v>409</v>
      </c>
      <c r="G123" s="30" t="s">
        <v>0</v>
      </c>
      <c r="H123" s="41" t="s">
        <v>1915</v>
      </c>
      <c r="I123" s="44" t="s">
        <v>1916</v>
      </c>
      <c r="J123" s="44" t="s">
        <v>1917</v>
      </c>
      <c r="K123" s="45" t="s">
        <v>1918</v>
      </c>
      <c r="L123" s="45" t="s">
        <v>1919</v>
      </c>
      <c r="M123" s="46" t="s">
        <v>1920</v>
      </c>
      <c r="N123" s="46" t="s">
        <v>1921</v>
      </c>
      <c r="O123" s="47" t="s">
        <v>1922</v>
      </c>
      <c r="P123" s="47" t="s">
        <v>1923</v>
      </c>
      <c r="Q123" s="48" t="s">
        <v>1924</v>
      </c>
      <c r="R123" s="48" t="s">
        <v>1664</v>
      </c>
      <c r="S123" s="30" t="s">
        <v>395</v>
      </c>
      <c r="T123" s="33" t="s">
        <v>379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868</v>
      </c>
      <c r="B124" s="14" t="s">
        <v>892</v>
      </c>
      <c r="C124" s="20">
        <v>9854</v>
      </c>
      <c r="D124" s="14" t="s">
        <v>894</v>
      </c>
      <c r="E124" s="14" t="s">
        <v>413</v>
      </c>
      <c r="F124" s="14" t="s">
        <v>895</v>
      </c>
      <c r="G124" s="14" t="s">
        <v>263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404</v>
      </c>
      <c r="B125" s="30" t="s">
        <v>405</v>
      </c>
      <c r="C125" s="30" t="s">
        <v>406</v>
      </c>
      <c r="D125" s="30" t="s">
        <v>407</v>
      </c>
      <c r="E125" s="30" t="s">
        <v>408</v>
      </c>
      <c r="F125" s="30" t="s">
        <v>409</v>
      </c>
      <c r="G125" s="30" t="s">
        <v>0</v>
      </c>
      <c r="H125" s="137" t="s">
        <v>1926</v>
      </c>
      <c r="I125" s="137"/>
      <c r="J125" s="137"/>
      <c r="K125" s="137"/>
      <c r="L125" s="137"/>
      <c r="M125" s="137"/>
    </row>
    <row r="126" spans="1:110" ht="16.5" customHeight="1" x14ac:dyDescent="0.25">
      <c r="A126" s="14" t="s">
        <v>459</v>
      </c>
      <c r="B126" s="14" t="s">
        <v>481</v>
      </c>
      <c r="C126" s="20">
        <v>9479</v>
      </c>
      <c r="D126" s="14" t="s">
        <v>482</v>
      </c>
      <c r="E126" s="14" t="s">
        <v>413</v>
      </c>
      <c r="F126" s="14" t="s">
        <v>1106</v>
      </c>
      <c r="G126" s="14" t="s">
        <v>138</v>
      </c>
      <c r="H126" s="50">
        <v>63259</v>
      </c>
      <c r="I126" s="136" t="s">
        <v>1471</v>
      </c>
      <c r="J126" s="136"/>
      <c r="K126" s="136"/>
      <c r="L126" s="136"/>
      <c r="M126" s="136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520</v>
      </c>
      <c r="B127" s="14" t="s">
        <v>557</v>
      </c>
      <c r="C127" s="24">
        <v>9382</v>
      </c>
      <c r="D127" s="11" t="s">
        <v>558</v>
      </c>
      <c r="E127" s="11" t="s">
        <v>413</v>
      </c>
      <c r="F127" s="11" t="s">
        <v>1159</v>
      </c>
      <c r="G127" s="11" t="s">
        <v>306</v>
      </c>
      <c r="H127" s="27">
        <v>66678</v>
      </c>
      <c r="I127" s="136" t="s">
        <v>1471</v>
      </c>
      <c r="J127" s="136"/>
      <c r="K127" s="136"/>
      <c r="L127" s="13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520</v>
      </c>
      <c r="B128" s="14" t="s">
        <v>552</v>
      </c>
      <c r="C128" s="20">
        <v>9310</v>
      </c>
      <c r="D128" s="14" t="s">
        <v>553</v>
      </c>
      <c r="E128" s="14" t="s">
        <v>417</v>
      </c>
      <c r="F128" s="14" t="s">
        <v>1155</v>
      </c>
      <c r="G128" s="14" t="s">
        <v>122</v>
      </c>
      <c r="H128" s="27">
        <v>193229</v>
      </c>
      <c r="I128" s="136" t="s">
        <v>1927</v>
      </c>
      <c r="J128" s="136"/>
      <c r="K128" s="136"/>
      <c r="L128" s="136"/>
      <c r="M128" s="136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638</v>
      </c>
      <c r="B129" s="14" t="s">
        <v>683</v>
      </c>
      <c r="C129" s="20">
        <v>9235</v>
      </c>
      <c r="D129" s="11" t="s">
        <v>684</v>
      </c>
      <c r="E129" s="14" t="s">
        <v>417</v>
      </c>
      <c r="F129" s="14" t="s">
        <v>1225</v>
      </c>
      <c r="G129" s="14" t="s">
        <v>142</v>
      </c>
      <c r="H129" s="27">
        <v>324067</v>
      </c>
      <c r="I129" s="136" t="s">
        <v>1467</v>
      </c>
      <c r="J129" s="136"/>
      <c r="K129" s="136"/>
      <c r="L129" s="13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638</v>
      </c>
      <c r="B130" s="14" t="s">
        <v>683</v>
      </c>
      <c r="C130" s="20">
        <v>9235</v>
      </c>
      <c r="D130" s="11" t="s">
        <v>685</v>
      </c>
      <c r="E130" s="14" t="s">
        <v>413</v>
      </c>
      <c r="F130" s="14" t="s">
        <v>1226</v>
      </c>
      <c r="G130" s="14" t="s">
        <v>245</v>
      </c>
      <c r="H130" s="27">
        <v>160394</v>
      </c>
      <c r="I130" s="136" t="s">
        <v>1467</v>
      </c>
      <c r="J130" s="136"/>
      <c r="K130" s="136"/>
      <c r="L130" s="13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702</v>
      </c>
      <c r="B131" s="21" t="s">
        <v>703</v>
      </c>
      <c r="C131" s="19">
        <v>9342</v>
      </c>
      <c r="D131" s="14" t="s">
        <v>704</v>
      </c>
      <c r="E131" s="15" t="s">
        <v>413</v>
      </c>
      <c r="F131" s="14" t="s">
        <v>1236</v>
      </c>
      <c r="G131" s="15" t="s">
        <v>374</v>
      </c>
      <c r="H131" s="27">
        <v>130424</v>
      </c>
      <c r="I131" s="136" t="s">
        <v>1928</v>
      </c>
      <c r="J131" s="136"/>
      <c r="K131" s="136"/>
      <c r="L131" s="136"/>
      <c r="M131" s="136"/>
      <c r="N131" s="34"/>
      <c r="O131" s="34"/>
      <c r="P131" s="34"/>
      <c r="Q131" s="34"/>
      <c r="R131" s="34"/>
      <c r="S131" s="34"/>
      <c r="T131" s="34" t="s">
        <v>2071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702</v>
      </c>
      <c r="B132" s="14" t="s">
        <v>719</v>
      </c>
      <c r="C132" s="19">
        <v>9293</v>
      </c>
      <c r="D132" s="14" t="s">
        <v>720</v>
      </c>
      <c r="E132" s="14" t="s">
        <v>417</v>
      </c>
      <c r="F132" s="14" t="s">
        <v>1245</v>
      </c>
      <c r="G132" s="14" t="s">
        <v>86</v>
      </c>
      <c r="H132" s="27">
        <v>263606</v>
      </c>
      <c r="I132" s="136" t="s">
        <v>1061</v>
      </c>
      <c r="J132" s="136"/>
      <c r="K132" s="136"/>
      <c r="L132" s="136"/>
      <c r="M132" s="136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702</v>
      </c>
      <c r="B133" s="14" t="s">
        <v>719</v>
      </c>
      <c r="C133" s="19">
        <v>9293</v>
      </c>
      <c r="D133" s="14" t="s">
        <v>721</v>
      </c>
      <c r="E133" s="14" t="s">
        <v>413</v>
      </c>
      <c r="F133" s="14" t="s">
        <v>1246</v>
      </c>
      <c r="G133" s="14" t="s">
        <v>314</v>
      </c>
      <c r="H133" s="27">
        <v>69822</v>
      </c>
      <c r="I133" s="136" t="s">
        <v>1061</v>
      </c>
      <c r="J133" s="136"/>
      <c r="K133" s="136"/>
      <c r="L133" s="136"/>
      <c r="M133" s="136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868</v>
      </c>
      <c r="B134" s="14" t="s">
        <v>892</v>
      </c>
      <c r="C134" s="20">
        <v>9854</v>
      </c>
      <c r="D134" s="14" t="s">
        <v>894</v>
      </c>
      <c r="E134" s="14" t="s">
        <v>413</v>
      </c>
      <c r="F134" s="14" t="s">
        <v>895</v>
      </c>
      <c r="G134" s="14" t="s">
        <v>263</v>
      </c>
      <c r="H134" s="27">
        <v>15532</v>
      </c>
      <c r="I134" s="136" t="s">
        <v>1929</v>
      </c>
      <c r="J134" s="136"/>
      <c r="K134" s="136"/>
      <c r="L134" s="13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868</v>
      </c>
      <c r="B135" s="14" t="s">
        <v>933</v>
      </c>
      <c r="C135" s="20">
        <v>9819</v>
      </c>
      <c r="D135" s="14" t="s">
        <v>934</v>
      </c>
      <c r="E135" s="14" t="s">
        <v>413</v>
      </c>
      <c r="F135" s="14" t="s">
        <v>1387</v>
      </c>
      <c r="G135" s="14" t="s">
        <v>230</v>
      </c>
      <c r="H135" s="27">
        <v>246453</v>
      </c>
      <c r="I135" s="136" t="s">
        <v>1470</v>
      </c>
      <c r="J135" s="136"/>
      <c r="K135" s="136"/>
      <c r="L135" s="136"/>
      <c r="M135" s="136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868</v>
      </c>
      <c r="B136" s="14" t="s">
        <v>933</v>
      </c>
      <c r="C136" s="20">
        <v>9819</v>
      </c>
      <c r="D136" s="14" t="s">
        <v>935</v>
      </c>
      <c r="E136" s="14" t="s">
        <v>417</v>
      </c>
      <c r="F136" s="14" t="s">
        <v>1388</v>
      </c>
      <c r="G136" s="14" t="s">
        <v>243</v>
      </c>
      <c r="H136" s="27">
        <v>329329</v>
      </c>
      <c r="I136" s="136" t="s">
        <v>1470</v>
      </c>
      <c r="J136" s="136"/>
      <c r="K136" s="136"/>
      <c r="L136" s="136"/>
      <c r="M136" s="136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939</v>
      </c>
      <c r="B137" s="14" t="s">
        <v>958</v>
      </c>
      <c r="C137" s="19">
        <v>9571</v>
      </c>
      <c r="D137" s="14" t="s">
        <v>959</v>
      </c>
      <c r="E137" s="14" t="s">
        <v>413</v>
      </c>
      <c r="F137" s="14" t="s">
        <v>1400</v>
      </c>
      <c r="G137" s="14" t="s">
        <v>18</v>
      </c>
      <c r="H137" s="27">
        <v>62495</v>
      </c>
      <c r="I137" s="136" t="s">
        <v>1931</v>
      </c>
      <c r="J137" s="136"/>
      <c r="K137" s="136"/>
      <c r="L137" s="136"/>
      <c r="M137" s="136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1008</v>
      </c>
      <c r="B138" s="21" t="s">
        <v>1014</v>
      </c>
      <c r="C138" s="19">
        <v>9651</v>
      </c>
      <c r="D138" s="14" t="s">
        <v>1015</v>
      </c>
      <c r="E138" s="15" t="s">
        <v>413</v>
      </c>
      <c r="F138" s="14" t="s">
        <v>1435</v>
      </c>
      <c r="G138" s="15" t="s">
        <v>353</v>
      </c>
      <c r="H138" s="55">
        <v>31915</v>
      </c>
      <c r="I138" s="133" t="s">
        <v>1471</v>
      </c>
      <c r="J138" s="134"/>
      <c r="K138" s="134"/>
      <c r="L138" s="134"/>
      <c r="M138" s="13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939</v>
      </c>
      <c r="B139" s="14" t="s">
        <v>992</v>
      </c>
      <c r="C139" s="19">
        <v>9610</v>
      </c>
      <c r="D139" s="14" t="s">
        <v>995</v>
      </c>
      <c r="E139" s="14" t="s">
        <v>413</v>
      </c>
      <c r="F139" s="14" t="s">
        <v>1428</v>
      </c>
      <c r="G139" s="14" t="s">
        <v>18</v>
      </c>
      <c r="H139" s="55">
        <v>62495</v>
      </c>
      <c r="I139" s="133" t="s">
        <v>1932</v>
      </c>
      <c r="J139" s="134"/>
      <c r="K139" s="134"/>
      <c r="L139" s="134"/>
      <c r="M139" s="135"/>
    </row>
    <row r="140" spans="1:110" ht="16.5" customHeight="1" x14ac:dyDescent="0.25">
      <c r="A140" s="14" t="s">
        <v>638</v>
      </c>
      <c r="B140" s="14" t="s">
        <v>679</v>
      </c>
      <c r="C140" s="56">
        <v>9222</v>
      </c>
      <c r="D140" s="14" t="s">
        <v>682</v>
      </c>
      <c r="E140" s="14" t="s">
        <v>413</v>
      </c>
      <c r="F140" s="14" t="s">
        <v>1224</v>
      </c>
      <c r="G140" s="14" t="s">
        <v>309</v>
      </c>
      <c r="H140" s="55">
        <v>283122</v>
      </c>
      <c r="I140" s="133" t="s">
        <v>1933</v>
      </c>
      <c r="J140" s="134"/>
      <c r="K140" s="134"/>
      <c r="L140" s="134"/>
      <c r="M140" s="135"/>
    </row>
    <row r="141" spans="1:110" ht="16.5" customHeight="1" x14ac:dyDescent="0.25">
      <c r="A141" s="14" t="s">
        <v>2021</v>
      </c>
      <c r="B141" s="14" t="s">
        <v>2024</v>
      </c>
      <c r="C141" s="19" t="s">
        <v>2022</v>
      </c>
      <c r="D141" s="14" t="s">
        <v>2023</v>
      </c>
      <c r="E141" s="14" t="s">
        <v>2025</v>
      </c>
      <c r="F141" s="14" t="s">
        <v>2027</v>
      </c>
      <c r="G141" s="14" t="s">
        <v>2026</v>
      </c>
      <c r="H141" s="55">
        <v>1082107</v>
      </c>
      <c r="I141" s="133" t="s">
        <v>2028</v>
      </c>
      <c r="J141" s="134"/>
      <c r="K141" s="134"/>
      <c r="L141" s="134"/>
      <c r="M141" s="135"/>
    </row>
    <row r="142" spans="1:110" ht="16.5" customHeight="1" x14ac:dyDescent="0.25">
      <c r="A142" s="14" t="s">
        <v>2021</v>
      </c>
      <c r="B142" s="14" t="s">
        <v>2054</v>
      </c>
      <c r="C142" s="19" t="s">
        <v>2055</v>
      </c>
      <c r="D142" s="14" t="s">
        <v>2056</v>
      </c>
      <c r="E142" s="14" t="s">
        <v>2025</v>
      </c>
      <c r="F142" s="14" t="s">
        <v>2057</v>
      </c>
      <c r="G142" s="14" t="s">
        <v>2058</v>
      </c>
      <c r="H142" s="55">
        <v>519866</v>
      </c>
      <c r="I142" s="133" t="s">
        <v>2059</v>
      </c>
      <c r="J142" s="134"/>
      <c r="K142" s="134"/>
      <c r="L142" s="134"/>
      <c r="M142" s="135"/>
    </row>
    <row r="143" spans="1:110" ht="16.5" customHeight="1" x14ac:dyDescent="0.25">
      <c r="A143" s="14" t="s">
        <v>2021</v>
      </c>
      <c r="B143" s="14" t="s">
        <v>2060</v>
      </c>
      <c r="C143" s="19" t="s">
        <v>2061</v>
      </c>
      <c r="D143" s="14" t="s">
        <v>2062</v>
      </c>
      <c r="E143" s="14" t="s">
        <v>2025</v>
      </c>
      <c r="F143" s="14" t="s">
        <v>2063</v>
      </c>
      <c r="G143" s="14" t="s">
        <v>2064</v>
      </c>
      <c r="H143" s="55"/>
      <c r="I143" s="133" t="s">
        <v>2065</v>
      </c>
      <c r="J143" s="134" t="s">
        <v>2065</v>
      </c>
      <c r="K143" s="134"/>
      <c r="L143" s="134"/>
      <c r="M143" s="135"/>
    </row>
    <row r="144" spans="1:110" ht="16.5" customHeight="1" x14ac:dyDescent="0.25">
      <c r="A144" s="14" t="s">
        <v>520</v>
      </c>
      <c r="B144" s="14" t="s">
        <v>555</v>
      </c>
      <c r="C144" s="58">
        <v>9388</v>
      </c>
      <c r="D144" s="14" t="s">
        <v>556</v>
      </c>
      <c r="E144" s="14" t="s">
        <v>417</v>
      </c>
      <c r="F144" s="14" t="s">
        <v>1158</v>
      </c>
      <c r="G144" s="14" t="s">
        <v>6</v>
      </c>
      <c r="H144" s="55">
        <f>VLOOKUP(G144:G595,'[2]Dispositivos exportados de HP W'!$C$2:$D$592,2,FALSE)</f>
        <v>458544</v>
      </c>
      <c r="I144" s="136" t="s">
        <v>2053</v>
      </c>
      <c r="J144" s="136"/>
      <c r="K144" s="136"/>
      <c r="L144" s="136"/>
      <c r="M144" s="136"/>
    </row>
    <row r="167" spans="10:14" ht="16.5" customHeight="1" x14ac:dyDescent="0.25">
      <c r="J167" s="133"/>
      <c r="K167" s="134"/>
      <c r="L167" s="134"/>
      <c r="M167" s="134"/>
      <c r="N167" s="135"/>
    </row>
  </sheetData>
  <autoFilter ref="A1:DF144"/>
  <mergeCells count="26"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  <mergeCell ref="I131:M131"/>
    <mergeCell ref="I132:M132"/>
    <mergeCell ref="I133:M133"/>
    <mergeCell ref="I134:M134"/>
    <mergeCell ref="I135:M135"/>
    <mergeCell ref="J167:N167"/>
    <mergeCell ref="I142:M142"/>
    <mergeCell ref="I143:M143"/>
    <mergeCell ref="I141:M141"/>
    <mergeCell ref="I144:M144"/>
  </mergeCells>
  <conditionalFormatting sqref="F100:G100">
    <cfRule type="duplicateValues" dxfId="680" priority="320"/>
    <cfRule type="duplicateValues" dxfId="679" priority="321"/>
  </conditionalFormatting>
  <conditionalFormatting sqref="F102:G102">
    <cfRule type="duplicateValues" dxfId="678" priority="317"/>
    <cfRule type="duplicateValues" dxfId="677" priority="318"/>
  </conditionalFormatting>
  <conditionalFormatting sqref="F102">
    <cfRule type="duplicateValues" dxfId="676" priority="319"/>
  </conditionalFormatting>
  <conditionalFormatting sqref="F103:G103">
    <cfRule type="duplicateValues" dxfId="675" priority="314"/>
    <cfRule type="duplicateValues" dxfId="674" priority="315"/>
  </conditionalFormatting>
  <conditionalFormatting sqref="F103">
    <cfRule type="duplicateValues" dxfId="673" priority="316"/>
  </conditionalFormatting>
  <conditionalFormatting sqref="F105:G105">
    <cfRule type="duplicateValues" dxfId="672" priority="311"/>
    <cfRule type="duplicateValues" dxfId="671" priority="312"/>
  </conditionalFormatting>
  <conditionalFormatting sqref="F105">
    <cfRule type="duplicateValues" dxfId="670" priority="313"/>
  </conditionalFormatting>
  <conditionalFormatting sqref="F106:G106">
    <cfRule type="duplicateValues" dxfId="669" priority="308"/>
    <cfRule type="duplicateValues" dxfId="668" priority="309"/>
  </conditionalFormatting>
  <conditionalFormatting sqref="F106">
    <cfRule type="duplicateValues" dxfId="667" priority="310"/>
  </conditionalFormatting>
  <conditionalFormatting sqref="F108:G108">
    <cfRule type="duplicateValues" dxfId="666" priority="305"/>
    <cfRule type="duplicateValues" dxfId="665" priority="306"/>
  </conditionalFormatting>
  <conditionalFormatting sqref="F108">
    <cfRule type="duplicateValues" dxfId="664" priority="307"/>
  </conditionalFormatting>
  <conditionalFormatting sqref="F109:G109">
    <cfRule type="duplicateValues" dxfId="663" priority="302"/>
    <cfRule type="duplicateValues" dxfId="662" priority="303"/>
  </conditionalFormatting>
  <conditionalFormatting sqref="F109">
    <cfRule type="duplicateValues" dxfId="661" priority="304"/>
  </conditionalFormatting>
  <conditionalFormatting sqref="F110:G110">
    <cfRule type="duplicateValues" dxfId="660" priority="299"/>
    <cfRule type="duplicateValues" dxfId="659" priority="300"/>
  </conditionalFormatting>
  <conditionalFormatting sqref="F110">
    <cfRule type="duplicateValues" dxfId="658" priority="301"/>
  </conditionalFormatting>
  <conditionalFormatting sqref="F112:G112">
    <cfRule type="duplicateValues" dxfId="657" priority="296"/>
    <cfRule type="duplicateValues" dxfId="656" priority="297"/>
  </conditionalFormatting>
  <conditionalFormatting sqref="F112">
    <cfRule type="duplicateValues" dxfId="655" priority="298"/>
  </conditionalFormatting>
  <conditionalFormatting sqref="F113:G113">
    <cfRule type="duplicateValues" dxfId="654" priority="293"/>
    <cfRule type="duplicateValues" dxfId="653" priority="294"/>
  </conditionalFormatting>
  <conditionalFormatting sqref="F113">
    <cfRule type="duplicateValues" dxfId="652" priority="295"/>
  </conditionalFormatting>
  <conditionalFormatting sqref="F114:G114">
    <cfRule type="duplicateValues" dxfId="651" priority="290"/>
    <cfRule type="duplicateValues" dxfId="650" priority="291"/>
  </conditionalFormatting>
  <conditionalFormatting sqref="F114">
    <cfRule type="duplicateValues" dxfId="649" priority="292"/>
  </conditionalFormatting>
  <conditionalFormatting sqref="F115:G115">
    <cfRule type="duplicateValues" dxfId="648" priority="287"/>
    <cfRule type="duplicateValues" dxfId="647" priority="288"/>
  </conditionalFormatting>
  <conditionalFormatting sqref="F115">
    <cfRule type="duplicateValues" dxfId="646" priority="289"/>
  </conditionalFormatting>
  <conditionalFormatting sqref="F116:G116">
    <cfRule type="duplicateValues" dxfId="645" priority="284"/>
    <cfRule type="duplicateValues" dxfId="644" priority="285"/>
  </conditionalFormatting>
  <conditionalFormatting sqref="F116">
    <cfRule type="duplicateValues" dxfId="643" priority="286"/>
  </conditionalFormatting>
  <conditionalFormatting sqref="F117:G117">
    <cfRule type="duplicateValues" dxfId="642" priority="281"/>
    <cfRule type="duplicateValues" dxfId="641" priority="282"/>
  </conditionalFormatting>
  <conditionalFormatting sqref="F117">
    <cfRule type="duplicateValues" dxfId="640" priority="283"/>
  </conditionalFormatting>
  <conditionalFormatting sqref="F118:G118">
    <cfRule type="duplicateValues" dxfId="639" priority="278"/>
    <cfRule type="duplicateValues" dxfId="638" priority="279"/>
  </conditionalFormatting>
  <conditionalFormatting sqref="F118">
    <cfRule type="duplicateValues" dxfId="637" priority="280"/>
  </conditionalFormatting>
  <conditionalFormatting sqref="F119:G119">
    <cfRule type="duplicateValues" dxfId="636" priority="275"/>
    <cfRule type="duplicateValues" dxfId="635" priority="276"/>
  </conditionalFormatting>
  <conditionalFormatting sqref="F119">
    <cfRule type="duplicateValues" dxfId="634" priority="277"/>
  </conditionalFormatting>
  <conditionalFormatting sqref="F120:G120">
    <cfRule type="duplicateValues" dxfId="633" priority="272"/>
    <cfRule type="duplicateValues" dxfId="632" priority="273"/>
  </conditionalFormatting>
  <conditionalFormatting sqref="F120">
    <cfRule type="duplicateValues" dxfId="631" priority="274"/>
  </conditionalFormatting>
  <conditionalFormatting sqref="F121:G121">
    <cfRule type="duplicateValues" dxfId="630" priority="269"/>
    <cfRule type="duplicateValues" dxfId="629" priority="270"/>
  </conditionalFormatting>
  <conditionalFormatting sqref="F121">
    <cfRule type="duplicateValues" dxfId="628" priority="271"/>
  </conditionalFormatting>
  <conditionalFormatting sqref="F122:G122">
    <cfRule type="duplicateValues" dxfId="627" priority="266"/>
    <cfRule type="duplicateValues" dxfId="626" priority="267"/>
  </conditionalFormatting>
  <conditionalFormatting sqref="F122">
    <cfRule type="duplicateValues" dxfId="625" priority="268"/>
  </conditionalFormatting>
  <conditionalFormatting sqref="F124:G124">
    <cfRule type="duplicateValues" dxfId="624" priority="263"/>
    <cfRule type="duplicateValues" dxfId="623" priority="264"/>
  </conditionalFormatting>
  <conditionalFormatting sqref="F124">
    <cfRule type="duplicateValues" dxfId="622" priority="265"/>
  </conditionalFormatting>
  <conditionalFormatting sqref="H126 H144">
    <cfRule type="cellIs" dxfId="621" priority="257" operator="equal">
      <formula>0</formula>
    </cfRule>
  </conditionalFormatting>
  <conditionalFormatting sqref="G126">
    <cfRule type="duplicateValues" dxfId="620" priority="258"/>
    <cfRule type="duplicateValues" dxfId="619" priority="259"/>
  </conditionalFormatting>
  <conditionalFormatting sqref="F126">
    <cfRule type="duplicateValues" dxfId="618" priority="260"/>
    <cfRule type="duplicateValues" dxfId="617" priority="261"/>
  </conditionalFormatting>
  <conditionalFormatting sqref="F126">
    <cfRule type="duplicateValues" dxfId="616" priority="262"/>
  </conditionalFormatting>
  <conditionalFormatting sqref="H128">
    <cfRule type="cellIs" dxfId="615" priority="247" operator="equal">
      <formula>0</formula>
    </cfRule>
  </conditionalFormatting>
  <conditionalFormatting sqref="G128">
    <cfRule type="duplicateValues" dxfId="614" priority="248"/>
    <cfRule type="duplicateValues" dxfId="613" priority="249"/>
  </conditionalFormatting>
  <conditionalFormatting sqref="F128">
    <cfRule type="duplicateValues" dxfId="612" priority="250"/>
    <cfRule type="duplicateValues" dxfId="611" priority="251"/>
  </conditionalFormatting>
  <conditionalFormatting sqref="F128">
    <cfRule type="duplicateValues" dxfId="610" priority="252"/>
  </conditionalFormatting>
  <conditionalFormatting sqref="H129:H130">
    <cfRule type="cellIs" dxfId="609" priority="237" operator="equal">
      <formula>0</formula>
    </cfRule>
  </conditionalFormatting>
  <conditionalFormatting sqref="G129:G130">
    <cfRule type="duplicateValues" dxfId="608" priority="238"/>
    <cfRule type="duplicateValues" dxfId="607" priority="239"/>
  </conditionalFormatting>
  <conditionalFormatting sqref="F129:F130">
    <cfRule type="duplicateValues" dxfId="606" priority="240"/>
    <cfRule type="duplicateValues" dxfId="605" priority="241"/>
  </conditionalFormatting>
  <conditionalFormatting sqref="F129:F130">
    <cfRule type="duplicateValues" dxfId="604" priority="242"/>
  </conditionalFormatting>
  <conditionalFormatting sqref="H131">
    <cfRule type="cellIs" dxfId="603" priority="227" operator="equal">
      <formula>0</formula>
    </cfRule>
  </conditionalFormatting>
  <conditionalFormatting sqref="G131">
    <cfRule type="duplicateValues" dxfId="602" priority="228"/>
    <cfRule type="duplicateValues" dxfId="601" priority="229"/>
  </conditionalFormatting>
  <conditionalFormatting sqref="F131">
    <cfRule type="duplicateValues" dxfId="600" priority="230"/>
    <cfRule type="duplicateValues" dxfId="599" priority="231"/>
  </conditionalFormatting>
  <conditionalFormatting sqref="F131">
    <cfRule type="duplicateValues" dxfId="598" priority="232"/>
  </conditionalFormatting>
  <conditionalFormatting sqref="H132:H133">
    <cfRule type="cellIs" dxfId="597" priority="217" operator="equal">
      <formula>0</formula>
    </cfRule>
  </conditionalFormatting>
  <conditionalFormatting sqref="G132:G133">
    <cfRule type="duplicateValues" dxfId="596" priority="218"/>
    <cfRule type="duplicateValues" dxfId="595" priority="219"/>
  </conditionalFormatting>
  <conditionalFormatting sqref="F132:F133">
    <cfRule type="duplicateValues" dxfId="594" priority="220"/>
    <cfRule type="duplicateValues" dxfId="593" priority="221"/>
  </conditionalFormatting>
  <conditionalFormatting sqref="F132:F133">
    <cfRule type="duplicateValues" dxfId="592" priority="222"/>
  </conditionalFormatting>
  <conditionalFormatting sqref="H134">
    <cfRule type="cellIs" dxfId="591" priority="207" operator="equal">
      <formula>0</formula>
    </cfRule>
  </conditionalFormatting>
  <conditionalFormatting sqref="G134">
    <cfRule type="duplicateValues" dxfId="590" priority="208"/>
    <cfRule type="duplicateValues" dxfId="589" priority="209"/>
  </conditionalFormatting>
  <conditionalFormatting sqref="F134">
    <cfRule type="duplicateValues" dxfId="588" priority="210"/>
    <cfRule type="duplicateValues" dxfId="587" priority="211"/>
  </conditionalFormatting>
  <conditionalFormatting sqref="F134">
    <cfRule type="duplicateValues" dxfId="586" priority="212"/>
  </conditionalFormatting>
  <conditionalFormatting sqref="H135:H136">
    <cfRule type="cellIs" dxfId="585" priority="197" operator="equal">
      <formula>0</formula>
    </cfRule>
  </conditionalFormatting>
  <conditionalFormatting sqref="G135:G136">
    <cfRule type="duplicateValues" dxfId="584" priority="198"/>
    <cfRule type="duplicateValues" dxfId="583" priority="199"/>
  </conditionalFormatting>
  <conditionalFormatting sqref="F135:F136">
    <cfRule type="duplicateValues" dxfId="582" priority="200"/>
    <cfRule type="duplicateValues" dxfId="581" priority="201"/>
  </conditionalFormatting>
  <conditionalFormatting sqref="F135:F136">
    <cfRule type="duplicateValues" dxfId="580" priority="202"/>
  </conditionalFormatting>
  <conditionalFormatting sqref="H137">
    <cfRule type="cellIs" dxfId="579" priority="187" operator="equal">
      <formula>0</formula>
    </cfRule>
  </conditionalFormatting>
  <conditionalFormatting sqref="H138">
    <cfRule type="cellIs" dxfId="578" priority="177" operator="equal">
      <formula>0</formula>
    </cfRule>
  </conditionalFormatting>
  <conditionalFormatting sqref="G138">
    <cfRule type="duplicateValues" dxfId="577" priority="178"/>
    <cfRule type="duplicateValues" dxfId="576" priority="179"/>
  </conditionalFormatting>
  <conditionalFormatting sqref="F138">
    <cfRule type="duplicateValues" dxfId="575" priority="180"/>
    <cfRule type="duplicateValues" dxfId="574" priority="181"/>
  </conditionalFormatting>
  <conditionalFormatting sqref="F138">
    <cfRule type="duplicateValues" dxfId="573" priority="182"/>
  </conditionalFormatting>
  <conditionalFormatting sqref="H127">
    <cfRule type="cellIs" dxfId="572" priority="167" operator="equal">
      <formula>0</formula>
    </cfRule>
  </conditionalFormatting>
  <conditionalFormatting sqref="G127">
    <cfRule type="duplicateValues" dxfId="571" priority="168"/>
    <cfRule type="duplicateValues" dxfId="570" priority="169"/>
  </conditionalFormatting>
  <conditionalFormatting sqref="F127">
    <cfRule type="duplicateValues" dxfId="569" priority="170"/>
    <cfRule type="duplicateValues" dxfId="568" priority="171"/>
  </conditionalFormatting>
  <conditionalFormatting sqref="F127">
    <cfRule type="duplicateValues" dxfId="567" priority="172"/>
  </conditionalFormatting>
  <conditionalFormatting sqref="H139">
    <cfRule type="cellIs" dxfId="566" priority="157" operator="equal">
      <formula>0</formula>
    </cfRule>
  </conditionalFormatting>
  <conditionalFormatting sqref="G139">
    <cfRule type="duplicateValues" dxfId="565" priority="158"/>
    <cfRule type="duplicateValues" dxfId="564" priority="159"/>
  </conditionalFormatting>
  <conditionalFormatting sqref="F139">
    <cfRule type="duplicateValues" dxfId="563" priority="160"/>
    <cfRule type="duplicateValues" dxfId="562" priority="161"/>
  </conditionalFormatting>
  <conditionalFormatting sqref="F139">
    <cfRule type="duplicateValues" dxfId="561" priority="162"/>
  </conditionalFormatting>
  <conditionalFormatting sqref="G140">
    <cfRule type="duplicateValues" dxfId="560" priority="152"/>
    <cfRule type="duplicateValues" dxfId="559" priority="153"/>
  </conditionalFormatting>
  <conditionalFormatting sqref="F140">
    <cfRule type="duplicateValues" dxfId="558" priority="154"/>
    <cfRule type="duplicateValues" dxfId="557" priority="155"/>
  </conditionalFormatting>
  <conditionalFormatting sqref="F140">
    <cfRule type="duplicateValues" dxfId="556" priority="156"/>
  </conditionalFormatting>
  <conditionalFormatting sqref="G140">
    <cfRule type="duplicateValues" dxfId="555" priority="150"/>
  </conditionalFormatting>
  <conditionalFormatting sqref="H140">
    <cfRule type="cellIs" dxfId="554" priority="149" operator="equal">
      <formula>0</formula>
    </cfRule>
  </conditionalFormatting>
  <conditionalFormatting sqref="H142">
    <cfRule type="cellIs" dxfId="553" priority="125" operator="equal">
      <formula>0</formula>
    </cfRule>
  </conditionalFormatting>
  <conditionalFormatting sqref="H141">
    <cfRule type="cellIs" dxfId="552" priority="131" operator="equal">
      <formula>0</formula>
    </cfRule>
  </conditionalFormatting>
  <conditionalFormatting sqref="G141">
    <cfRule type="duplicateValues" dxfId="551" priority="132"/>
    <cfRule type="duplicateValues" dxfId="550" priority="133"/>
  </conditionalFormatting>
  <conditionalFormatting sqref="F141">
    <cfRule type="duplicateValues" dxfId="549" priority="134"/>
    <cfRule type="duplicateValues" dxfId="548" priority="135"/>
  </conditionalFormatting>
  <conditionalFormatting sqref="F141">
    <cfRule type="duplicateValues" dxfId="547" priority="136"/>
  </conditionalFormatting>
  <conditionalFormatting sqref="G142">
    <cfRule type="duplicateValues" dxfId="546" priority="126"/>
    <cfRule type="duplicateValues" dxfId="545" priority="127"/>
  </conditionalFormatting>
  <conditionalFormatting sqref="F142">
    <cfRule type="duplicateValues" dxfId="544" priority="128"/>
    <cfRule type="duplicateValues" dxfId="543" priority="129"/>
  </conditionalFormatting>
  <conditionalFormatting sqref="F142">
    <cfRule type="duplicateValues" dxfId="542" priority="130"/>
  </conditionalFormatting>
  <conditionalFormatting sqref="H143">
    <cfRule type="cellIs" dxfId="541" priority="119" operator="equal">
      <formula>0</formula>
    </cfRule>
  </conditionalFormatting>
  <conditionalFormatting sqref="G143">
    <cfRule type="duplicateValues" dxfId="540" priority="120"/>
    <cfRule type="duplicateValues" dxfId="539" priority="121"/>
  </conditionalFormatting>
  <conditionalFormatting sqref="F143">
    <cfRule type="duplicateValues" dxfId="538" priority="122"/>
    <cfRule type="duplicateValues" dxfId="537" priority="123"/>
  </conditionalFormatting>
  <conditionalFormatting sqref="F143">
    <cfRule type="duplicateValues" dxfId="536" priority="124"/>
  </conditionalFormatting>
  <conditionalFormatting sqref="G144">
    <cfRule type="duplicateValues" dxfId="535" priority="386"/>
    <cfRule type="duplicateValues" dxfId="534" priority="387"/>
  </conditionalFormatting>
  <conditionalFormatting sqref="F144">
    <cfRule type="duplicateValues" dxfId="533" priority="388"/>
    <cfRule type="duplicateValues" dxfId="532" priority="389"/>
  </conditionalFormatting>
  <conditionalFormatting sqref="F144">
    <cfRule type="duplicateValues" dxfId="531" priority="390"/>
  </conditionalFormatting>
  <conditionalFormatting sqref="G137">
    <cfRule type="duplicateValues" dxfId="530" priority="391"/>
    <cfRule type="duplicateValues" dxfId="529" priority="392"/>
  </conditionalFormatting>
  <conditionalFormatting sqref="F137">
    <cfRule type="duplicateValues" dxfId="528" priority="393"/>
    <cfRule type="duplicateValues" dxfId="527" priority="394"/>
  </conditionalFormatting>
  <conditionalFormatting sqref="F137">
    <cfRule type="duplicateValues" dxfId="526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404</v>
      </c>
      <c r="E4" s="18" t="s">
        <v>405</v>
      </c>
    </row>
    <row r="5" spans="4:6" x14ac:dyDescent="0.25">
      <c r="D5" s="14" t="s">
        <v>459</v>
      </c>
      <c r="E5" s="14" t="s">
        <v>473</v>
      </c>
    </row>
    <row r="6" spans="4:6" x14ac:dyDescent="0.25">
      <c r="D6" s="14" t="s">
        <v>520</v>
      </c>
      <c r="E6" s="14" t="s">
        <v>533</v>
      </c>
    </row>
    <row r="7" spans="4:6" x14ac:dyDescent="0.25">
      <c r="D7" s="14" t="s">
        <v>868</v>
      </c>
      <c r="E7" s="14" t="s">
        <v>933</v>
      </c>
    </row>
    <row r="8" spans="4:6" x14ac:dyDescent="0.25">
      <c r="D8" s="14" t="s">
        <v>868</v>
      </c>
      <c r="E8" s="14" t="s">
        <v>933</v>
      </c>
    </row>
    <row r="9" spans="4:6" x14ac:dyDescent="0.25">
      <c r="D9" s="14" t="s">
        <v>868</v>
      </c>
      <c r="E9" s="14" t="s">
        <v>874</v>
      </c>
    </row>
    <row r="11" spans="4:6" ht="15" customHeight="1" x14ac:dyDescent="0.25">
      <c r="D11" s="18" t="s">
        <v>404</v>
      </c>
      <c r="E11" s="18" t="s">
        <v>405</v>
      </c>
      <c r="F11" s="18" t="s">
        <v>1463</v>
      </c>
    </row>
    <row r="12" spans="4:6" x14ac:dyDescent="0.25">
      <c r="D12" s="14" t="s">
        <v>459</v>
      </c>
      <c r="E12" s="14" t="s">
        <v>473</v>
      </c>
      <c r="F12" s="28" t="s">
        <v>1464</v>
      </c>
    </row>
    <row r="13" spans="4:6" x14ac:dyDescent="0.25">
      <c r="D13" s="14" t="s">
        <v>868</v>
      </c>
      <c r="E13" s="14" t="s">
        <v>874</v>
      </c>
      <c r="F13" s="28" t="s">
        <v>1465</v>
      </c>
    </row>
    <row r="14" spans="4:6" x14ac:dyDescent="0.25">
      <c r="D14" s="14" t="s">
        <v>868</v>
      </c>
      <c r="E14" s="14" t="s">
        <v>909</v>
      </c>
      <c r="F14" s="28" t="s">
        <v>1464</v>
      </c>
    </row>
    <row r="15" spans="4:6" x14ac:dyDescent="0.25">
      <c r="D15" s="14" t="s">
        <v>868</v>
      </c>
      <c r="E15" s="14" t="s">
        <v>909</v>
      </c>
      <c r="F15" s="28" t="s">
        <v>1465</v>
      </c>
    </row>
    <row r="16" spans="4:6" x14ac:dyDescent="0.25">
      <c r="D16" s="14" t="s">
        <v>868</v>
      </c>
      <c r="E16" s="14" t="s">
        <v>933</v>
      </c>
      <c r="F16" s="28" t="s">
        <v>1464</v>
      </c>
    </row>
    <row r="17" spans="4:6" x14ac:dyDescent="0.25">
      <c r="D17" s="14" t="s">
        <v>868</v>
      </c>
      <c r="E17" s="14" t="s">
        <v>933</v>
      </c>
      <c r="F17" s="28" t="s">
        <v>1465</v>
      </c>
    </row>
    <row r="18" spans="4:6" x14ac:dyDescent="0.25">
      <c r="D18" s="15" t="s">
        <v>868</v>
      </c>
      <c r="E18" s="21" t="s">
        <v>936</v>
      </c>
      <c r="F18" s="28" t="s">
        <v>1464</v>
      </c>
    </row>
    <row r="19" spans="4:6" x14ac:dyDescent="0.25">
      <c r="D19" s="15" t="s">
        <v>868</v>
      </c>
      <c r="E19" s="21" t="s">
        <v>936</v>
      </c>
      <c r="F19" s="28" t="s">
        <v>1465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15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2102</v>
      </c>
    </row>
    <row r="2" spans="1:72" s="7" customFormat="1" ht="16.5" customHeight="1" x14ac:dyDescent="0.25">
      <c r="A2" s="14" t="s">
        <v>939</v>
      </c>
      <c r="B2" s="14" t="s">
        <v>972</v>
      </c>
      <c r="C2" s="20" t="s">
        <v>973</v>
      </c>
      <c r="D2" s="14" t="s">
        <v>975</v>
      </c>
      <c r="E2" s="14" t="s">
        <v>417</v>
      </c>
      <c r="F2" s="14" t="s">
        <v>1413</v>
      </c>
      <c r="G2" s="14" t="s">
        <v>231</v>
      </c>
      <c r="H2" s="14"/>
      <c r="I2" s="69" t="s">
        <v>2039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702</v>
      </c>
      <c r="B3" s="14" t="s">
        <v>815</v>
      </c>
      <c r="C3" s="56">
        <v>9288</v>
      </c>
      <c r="D3" s="14" t="s">
        <v>816</v>
      </c>
      <c r="E3" s="14" t="s">
        <v>417</v>
      </c>
      <c r="F3" s="14" t="s">
        <v>1307</v>
      </c>
      <c r="G3" s="14" t="s">
        <v>37</v>
      </c>
      <c r="H3" s="14"/>
      <c r="I3" s="14" t="s">
        <v>2036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578</v>
      </c>
      <c r="B4" s="21" t="s">
        <v>624</v>
      </c>
      <c r="C4" s="22">
        <v>9442</v>
      </c>
      <c r="D4" s="14" t="s">
        <v>625</v>
      </c>
      <c r="E4" s="15" t="s">
        <v>417</v>
      </c>
      <c r="F4" s="14" t="s">
        <v>1189</v>
      </c>
      <c r="G4" s="15" t="s">
        <v>346</v>
      </c>
      <c r="H4" s="15"/>
      <c r="I4" s="14" t="s">
        <v>2044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578</v>
      </c>
      <c r="B5" s="14" t="s">
        <v>605</v>
      </c>
      <c r="C5" s="19">
        <v>9839</v>
      </c>
      <c r="D5" s="14" t="s">
        <v>606</v>
      </c>
      <c r="E5" s="14" t="s">
        <v>417</v>
      </c>
      <c r="F5" s="14" t="s">
        <v>607</v>
      </c>
      <c r="G5" s="14" t="s">
        <v>1057</v>
      </c>
      <c r="H5" s="14"/>
      <c r="I5" s="8" t="s">
        <v>2045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868</v>
      </c>
      <c r="B6" s="14" t="s">
        <v>890</v>
      </c>
      <c r="C6" s="56">
        <v>9883</v>
      </c>
      <c r="D6" s="14" t="s">
        <v>891</v>
      </c>
      <c r="E6" s="14" t="s">
        <v>417</v>
      </c>
      <c r="F6" s="14" t="s">
        <v>1355</v>
      </c>
      <c r="G6" s="14" t="s">
        <v>82</v>
      </c>
      <c r="H6" s="14"/>
      <c r="I6" s="14" t="s">
        <v>2043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2082</v>
      </c>
      <c r="B7" s="14" t="s">
        <v>468</v>
      </c>
      <c r="C7" s="19">
        <v>9481</v>
      </c>
      <c r="D7" s="14" t="s">
        <v>469</v>
      </c>
      <c r="E7" s="14" t="s">
        <v>417</v>
      </c>
      <c r="F7" s="14" t="s">
        <v>1097</v>
      </c>
      <c r="G7" s="14" t="s">
        <v>27</v>
      </c>
      <c r="H7" s="14"/>
      <c r="I7" s="14" t="s">
        <v>2068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638</v>
      </c>
      <c r="B8" s="21" t="s">
        <v>659</v>
      </c>
      <c r="C8" s="19">
        <v>9924</v>
      </c>
      <c r="D8" s="14" t="s">
        <v>660</v>
      </c>
      <c r="E8" s="15" t="s">
        <v>417</v>
      </c>
      <c r="F8" s="14" t="s">
        <v>1210</v>
      </c>
      <c r="G8" s="15" t="s">
        <v>372</v>
      </c>
      <c r="H8" s="15"/>
      <c r="I8" s="14" t="s">
        <v>2079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638</v>
      </c>
      <c r="B9" s="14" t="s">
        <v>679</v>
      </c>
      <c r="C9" s="75">
        <v>9222</v>
      </c>
      <c r="D9" s="54" t="s">
        <v>680</v>
      </c>
      <c r="E9" s="14" t="s">
        <v>417</v>
      </c>
      <c r="F9" s="14" t="s">
        <v>1222</v>
      </c>
      <c r="G9" s="14" t="s">
        <v>199</v>
      </c>
      <c r="H9" s="14"/>
      <c r="I9" s="14" t="s">
        <v>2041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939</v>
      </c>
      <c r="B10" s="21" t="s">
        <v>972</v>
      </c>
      <c r="C10" s="22" t="s">
        <v>973</v>
      </c>
      <c r="D10" s="14" t="s">
        <v>974</v>
      </c>
      <c r="E10" s="15" t="s">
        <v>413</v>
      </c>
      <c r="F10" s="14" t="s">
        <v>1412</v>
      </c>
      <c r="G10" s="15" t="s">
        <v>363</v>
      </c>
      <c r="H10" s="15"/>
      <c r="I10" s="69" t="s">
        <v>2039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939</v>
      </c>
      <c r="B11" s="14" t="s">
        <v>964</v>
      </c>
      <c r="C11" s="19">
        <v>9583</v>
      </c>
      <c r="D11" s="14" t="s">
        <v>965</v>
      </c>
      <c r="E11" s="14" t="s">
        <v>413</v>
      </c>
      <c r="F11" s="14" t="s">
        <v>1406</v>
      </c>
      <c r="G11" s="14" t="s">
        <v>204</v>
      </c>
      <c r="H11" s="14"/>
      <c r="I11" s="14" t="s">
        <v>2040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939</v>
      </c>
      <c r="B12" s="21" t="s">
        <v>1014</v>
      </c>
      <c r="C12" s="19">
        <v>9651</v>
      </c>
      <c r="D12" s="14" t="s">
        <v>1015</v>
      </c>
      <c r="E12" s="15" t="s">
        <v>413</v>
      </c>
      <c r="F12" s="14" t="s">
        <v>1435</v>
      </c>
      <c r="G12" s="76" t="s">
        <v>353</v>
      </c>
      <c r="H12" s="76"/>
      <c r="I12" s="69" t="s">
        <v>2080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638</v>
      </c>
      <c r="B13" s="8" t="s">
        <v>688</v>
      </c>
      <c r="C13" s="20">
        <v>9217</v>
      </c>
      <c r="D13" s="8" t="s">
        <v>2051</v>
      </c>
      <c r="E13" s="14" t="s">
        <v>413</v>
      </c>
      <c r="F13" s="14" t="s">
        <v>2052</v>
      </c>
      <c r="G13" s="14" t="s">
        <v>2067</v>
      </c>
      <c r="H13" s="14"/>
      <c r="I13" s="8" t="s">
        <v>2081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702</v>
      </c>
      <c r="B14" s="14" t="s">
        <v>757</v>
      </c>
      <c r="C14" s="75">
        <v>9211</v>
      </c>
      <c r="D14" s="14" t="s">
        <v>760</v>
      </c>
      <c r="E14" s="14" t="s">
        <v>413</v>
      </c>
      <c r="F14" s="14" t="s">
        <v>1270</v>
      </c>
      <c r="G14" s="14" t="s">
        <v>324</v>
      </c>
      <c r="H14" s="14"/>
      <c r="I14" s="14" t="s">
        <v>2101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868</v>
      </c>
      <c r="B15" s="14" t="s">
        <v>902</v>
      </c>
      <c r="C15" s="56">
        <v>9860</v>
      </c>
      <c r="D15" s="14" t="s">
        <v>903</v>
      </c>
      <c r="E15" s="14" t="s">
        <v>413</v>
      </c>
      <c r="F15" s="14" t="s">
        <v>1361</v>
      </c>
      <c r="G15" s="14" t="s">
        <v>96</v>
      </c>
      <c r="H15" s="14"/>
      <c r="I15" s="14" t="s">
        <v>2050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767</v>
      </c>
      <c r="B16" s="14" t="s">
        <v>848</v>
      </c>
      <c r="C16" s="75">
        <v>9275</v>
      </c>
      <c r="D16" s="14" t="s">
        <v>849</v>
      </c>
      <c r="E16" s="14" t="s">
        <v>413</v>
      </c>
      <c r="F16" s="12" t="s">
        <v>1469</v>
      </c>
      <c r="G16" s="14" t="s">
        <v>136</v>
      </c>
      <c r="H16" s="14"/>
      <c r="I16" s="14" t="s">
        <v>2072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2082</v>
      </c>
      <c r="B17" s="14" t="s">
        <v>473</v>
      </c>
      <c r="C17" s="19">
        <v>9473</v>
      </c>
      <c r="D17" s="14" t="s">
        <v>474</v>
      </c>
      <c r="E17" s="14" t="s">
        <v>413</v>
      </c>
      <c r="F17" s="12" t="s">
        <v>1100</v>
      </c>
      <c r="G17" s="14" t="s">
        <v>143</v>
      </c>
      <c r="H17" s="14"/>
      <c r="I17" s="14" t="s">
        <v>2032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2082</v>
      </c>
      <c r="B18" s="14" t="s">
        <v>501</v>
      </c>
      <c r="C18" s="19">
        <v>9461</v>
      </c>
      <c r="D18" s="14" t="s">
        <v>503</v>
      </c>
      <c r="E18" s="14" t="s">
        <v>413</v>
      </c>
      <c r="F18" s="12" t="s">
        <v>1124</v>
      </c>
      <c r="G18" s="14" t="s">
        <v>251</v>
      </c>
      <c r="H18" s="14"/>
      <c r="I18" s="14" t="s">
        <v>2042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578</v>
      </c>
      <c r="B19" s="21" t="s">
        <v>613</v>
      </c>
      <c r="C19" s="75">
        <v>9859</v>
      </c>
      <c r="D19" s="14" t="s">
        <v>2048</v>
      </c>
      <c r="E19" s="14" t="s">
        <v>413</v>
      </c>
      <c r="F19" s="14" t="s">
        <v>1196</v>
      </c>
      <c r="G19" s="14" t="s">
        <v>380</v>
      </c>
      <c r="H19" s="14"/>
      <c r="I19" s="14" t="s">
        <v>2047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520</v>
      </c>
      <c r="B20" s="14" t="s">
        <v>550</v>
      </c>
      <c r="C20" s="24">
        <v>9381</v>
      </c>
      <c r="D20" s="54" t="s">
        <v>551</v>
      </c>
      <c r="E20" s="54" t="s">
        <v>413</v>
      </c>
      <c r="F20" s="54" t="s">
        <v>1154</v>
      </c>
      <c r="G20" s="54" t="s">
        <v>337</v>
      </c>
      <c r="H20" s="54"/>
      <c r="I20" s="14" t="s">
        <v>2073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459</v>
      </c>
      <c r="B21" s="14" t="s">
        <v>481</v>
      </c>
      <c r="C21" s="75">
        <v>9479</v>
      </c>
      <c r="D21" s="14" t="s">
        <v>482</v>
      </c>
      <c r="E21" s="14" t="s">
        <v>413</v>
      </c>
      <c r="F21" s="14" t="s">
        <v>1106</v>
      </c>
      <c r="G21" s="14" t="s">
        <v>138</v>
      </c>
      <c r="H21" s="14"/>
      <c r="I21" s="14" t="s">
        <v>2046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638</v>
      </c>
      <c r="B22" s="14" t="s">
        <v>679</v>
      </c>
      <c r="C22" s="75">
        <v>9222</v>
      </c>
      <c r="D22" s="54" t="s">
        <v>681</v>
      </c>
      <c r="E22" s="14" t="s">
        <v>413</v>
      </c>
      <c r="F22" s="14" t="s">
        <v>1223</v>
      </c>
      <c r="G22" s="14" t="s">
        <v>288</v>
      </c>
      <c r="H22" s="14"/>
      <c r="I22" s="14" t="s">
        <v>2041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638</v>
      </c>
      <c r="B23" s="14" t="s">
        <v>679</v>
      </c>
      <c r="C23" s="65">
        <v>9222</v>
      </c>
      <c r="D23" s="14" t="s">
        <v>682</v>
      </c>
      <c r="E23" s="14" t="s">
        <v>413</v>
      </c>
      <c r="F23" s="14" t="s">
        <v>1224</v>
      </c>
      <c r="G23" s="14" t="s">
        <v>309</v>
      </c>
      <c r="H23" s="14"/>
      <c r="I23" s="14" t="s">
        <v>2035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638</v>
      </c>
      <c r="B24" s="14" t="s">
        <v>657</v>
      </c>
      <c r="C24" s="19">
        <v>9914</v>
      </c>
      <c r="D24" s="14" t="s">
        <v>658</v>
      </c>
      <c r="E24" s="14" t="s">
        <v>413</v>
      </c>
      <c r="F24" s="14" t="s">
        <v>1209</v>
      </c>
      <c r="G24" s="14" t="s">
        <v>253</v>
      </c>
      <c r="H24" s="14"/>
      <c r="I24" s="14" t="s">
        <v>2074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939</v>
      </c>
      <c r="B26" s="53" t="s">
        <v>1043</v>
      </c>
      <c r="C26" s="19">
        <v>9650</v>
      </c>
      <c r="D26" s="53" t="s">
        <v>1044</v>
      </c>
      <c r="E26" s="53" t="s">
        <v>417</v>
      </c>
      <c r="F26" s="53" t="s">
        <v>1457</v>
      </c>
      <c r="G26" s="53" t="s">
        <v>120</v>
      </c>
      <c r="H26" s="53"/>
      <c r="I26" s="71" t="s">
        <v>2100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702</v>
      </c>
      <c r="B27" s="14" t="s">
        <v>852</v>
      </c>
      <c r="C27" s="73">
        <v>9289</v>
      </c>
      <c r="D27" s="14" t="s">
        <v>854</v>
      </c>
      <c r="E27" s="14" t="s">
        <v>413</v>
      </c>
      <c r="F27" s="14" t="s">
        <v>1329</v>
      </c>
      <c r="G27" s="14"/>
      <c r="H27" s="14"/>
      <c r="I27" s="14" t="s">
        <v>2106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702</v>
      </c>
      <c r="B28" s="14" t="s">
        <v>803</v>
      </c>
      <c r="C28" s="19">
        <v>9395</v>
      </c>
      <c r="D28" s="14" t="s">
        <v>804</v>
      </c>
      <c r="E28" s="14" t="s">
        <v>413</v>
      </c>
      <c r="F28" s="14" t="s">
        <v>1299</v>
      </c>
      <c r="G28" s="14" t="s">
        <v>339</v>
      </c>
      <c r="H28" s="14"/>
      <c r="I28" s="69" t="s">
        <v>2112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702</v>
      </c>
      <c r="B29" s="53" t="s">
        <v>650</v>
      </c>
      <c r="C29" s="19">
        <v>9970</v>
      </c>
      <c r="D29" s="53" t="s">
        <v>652</v>
      </c>
      <c r="E29" s="53" t="s">
        <v>413</v>
      </c>
      <c r="F29" s="53" t="s">
        <v>1207</v>
      </c>
      <c r="G29" s="53" t="s">
        <v>196</v>
      </c>
      <c r="H29" s="53"/>
      <c r="I29" s="74" t="s">
        <v>2114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702</v>
      </c>
      <c r="B30" s="14" t="s">
        <v>650</v>
      </c>
      <c r="C30" s="19">
        <v>9970</v>
      </c>
      <c r="D30" s="14" t="s">
        <v>651</v>
      </c>
      <c r="E30" s="14" t="s">
        <v>417</v>
      </c>
      <c r="F30" s="14" t="s">
        <v>1206</v>
      </c>
      <c r="G30" s="14" t="s">
        <v>75</v>
      </c>
      <c r="H30" s="14"/>
      <c r="I30" s="74" t="s">
        <v>2115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702</v>
      </c>
      <c r="B31" s="14" t="s">
        <v>836</v>
      </c>
      <c r="C31" s="73">
        <v>9225</v>
      </c>
      <c r="D31" s="14" t="s">
        <v>838</v>
      </c>
      <c r="E31" s="14" t="s">
        <v>413</v>
      </c>
      <c r="F31" s="14" t="s">
        <v>1321</v>
      </c>
      <c r="G31" s="14" t="s">
        <v>144</v>
      </c>
      <c r="H31" s="14"/>
      <c r="I31" s="14" t="s">
        <v>2104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2082</v>
      </c>
      <c r="B32" s="21" t="s">
        <v>568</v>
      </c>
      <c r="C32" s="25">
        <v>9390</v>
      </c>
      <c r="D32" s="54" t="s">
        <v>569</v>
      </c>
      <c r="E32" s="16" t="s">
        <v>413</v>
      </c>
      <c r="F32" s="54" t="s">
        <v>1166</v>
      </c>
      <c r="G32" s="16" t="s">
        <v>344</v>
      </c>
      <c r="H32" s="16"/>
      <c r="I32" s="69" t="s">
        <v>2080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2082</v>
      </c>
      <c r="B33" s="14" t="s">
        <v>568</v>
      </c>
      <c r="C33" s="24">
        <v>9390</v>
      </c>
      <c r="D33" s="54" t="s">
        <v>574</v>
      </c>
      <c r="E33" s="54" t="s">
        <v>417</v>
      </c>
      <c r="F33" s="54" t="s">
        <v>1169</v>
      </c>
      <c r="G33" s="54" t="s">
        <v>24</v>
      </c>
      <c r="H33" s="54"/>
      <c r="I33" s="69" t="s">
        <v>2080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638</v>
      </c>
      <c r="B34" s="14" t="s">
        <v>693</v>
      </c>
      <c r="C34" s="68">
        <v>9216</v>
      </c>
      <c r="D34" s="14" t="s">
        <v>694</v>
      </c>
      <c r="E34" s="14" t="s">
        <v>413</v>
      </c>
      <c r="F34" s="14" t="s">
        <v>1230</v>
      </c>
      <c r="G34" s="14" t="s">
        <v>77</v>
      </c>
      <c r="H34" s="14"/>
      <c r="I34" s="49" t="s">
        <v>2121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638</v>
      </c>
      <c r="B35" s="14" t="s">
        <v>693</v>
      </c>
      <c r="C35" s="73">
        <v>9216</v>
      </c>
      <c r="D35" s="14" t="s">
        <v>695</v>
      </c>
      <c r="E35" s="14" t="s">
        <v>417</v>
      </c>
      <c r="F35" s="14" t="s">
        <v>1231</v>
      </c>
      <c r="G35" s="14" t="s">
        <v>155</v>
      </c>
      <c r="H35" s="14"/>
      <c r="I35" s="49" t="s">
        <v>2121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702</v>
      </c>
      <c r="B36" s="14" t="s">
        <v>797</v>
      </c>
      <c r="C36" s="19">
        <v>9271</v>
      </c>
      <c r="D36" s="14" t="s">
        <v>2093</v>
      </c>
      <c r="E36" s="14" t="s">
        <v>413</v>
      </c>
      <c r="F36" s="14" t="s">
        <v>802</v>
      </c>
      <c r="G36" s="14"/>
      <c r="H36" s="14"/>
      <c r="I36" s="14" t="s">
        <v>2124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939</v>
      </c>
      <c r="B37" s="14" t="s">
        <v>1035</v>
      </c>
      <c r="C37" s="73">
        <v>9510</v>
      </c>
      <c r="D37" s="14" t="s">
        <v>1036</v>
      </c>
      <c r="E37" s="14" t="s">
        <v>413</v>
      </c>
      <c r="F37" s="14" t="s">
        <v>1449</v>
      </c>
      <c r="G37" s="14" t="s">
        <v>43</v>
      </c>
      <c r="H37" s="14"/>
      <c r="I37" s="57" t="s">
        <v>2099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702</v>
      </c>
      <c r="B38" s="14" t="s">
        <v>775</v>
      </c>
      <c r="C38" s="19">
        <v>9908</v>
      </c>
      <c r="D38" s="14" t="s">
        <v>776</v>
      </c>
      <c r="E38" s="14" t="s">
        <v>413</v>
      </c>
      <c r="F38" s="14" t="s">
        <v>1280</v>
      </c>
      <c r="G38" s="14" t="s">
        <v>319</v>
      </c>
      <c r="H38" s="14"/>
      <c r="I38" s="14" t="s">
        <v>2131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2082</v>
      </c>
      <c r="B39" s="14" t="s">
        <v>635</v>
      </c>
      <c r="C39" s="78">
        <v>9858</v>
      </c>
      <c r="D39" s="14" t="s">
        <v>636</v>
      </c>
      <c r="E39" s="14" t="s">
        <v>413</v>
      </c>
      <c r="F39" s="14" t="s">
        <v>1198</v>
      </c>
      <c r="G39" s="14" t="s">
        <v>332</v>
      </c>
      <c r="H39" s="14"/>
      <c r="I39" s="14" t="s">
        <v>2134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868</v>
      </c>
      <c r="B41" s="14" t="s">
        <v>913</v>
      </c>
      <c r="C41" s="73">
        <v>9817</v>
      </c>
      <c r="D41" s="14" t="s">
        <v>916</v>
      </c>
      <c r="E41" s="14" t="s">
        <v>413</v>
      </c>
      <c r="F41" s="14" t="s">
        <v>1374</v>
      </c>
      <c r="G41" s="14" t="s">
        <v>220</v>
      </c>
      <c r="H41" s="14"/>
      <c r="I41" s="14" t="s">
        <v>2135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2082</v>
      </c>
      <c r="B42" s="14" t="s">
        <v>498</v>
      </c>
      <c r="C42" s="79">
        <v>9470</v>
      </c>
      <c r="D42" s="14" t="s">
        <v>499</v>
      </c>
      <c r="E42" s="14" t="s">
        <v>413</v>
      </c>
      <c r="F42" s="14" t="s">
        <v>1119</v>
      </c>
      <c r="G42" s="14" t="s">
        <v>46</v>
      </c>
      <c r="H42" s="14"/>
      <c r="I42" s="57" t="s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868</v>
      </c>
      <c r="B43" s="14" t="s">
        <v>917</v>
      </c>
      <c r="C43" s="81">
        <v>9878</v>
      </c>
      <c r="D43" s="14" t="s">
        <v>919</v>
      </c>
      <c r="E43" s="14" t="s">
        <v>413</v>
      </c>
      <c r="F43" s="14" t="s">
        <v>1376</v>
      </c>
      <c r="G43" s="14" t="s">
        <v>158</v>
      </c>
      <c r="H43" s="14"/>
      <c r="I43" s="57" t="s">
        <v>2137</v>
      </c>
    </row>
    <row r="44" spans="1:72" s="7" customFormat="1" ht="13.5" customHeight="1" x14ac:dyDescent="0.25">
      <c r="A44" s="14" t="s">
        <v>868</v>
      </c>
      <c r="B44" s="14" t="s">
        <v>911</v>
      </c>
      <c r="C44" s="81">
        <v>9813</v>
      </c>
      <c r="D44" s="14" t="s">
        <v>2110</v>
      </c>
      <c r="E44" s="14" t="s">
        <v>413</v>
      </c>
      <c r="F44" s="14" t="s">
        <v>1367</v>
      </c>
      <c r="G44" s="14"/>
      <c r="H44" s="14"/>
      <c r="I44" s="14" t="s">
        <v>2138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868</v>
      </c>
      <c r="B45" s="14" t="s">
        <v>872</v>
      </c>
      <c r="C45" s="19">
        <v>9857</v>
      </c>
      <c r="D45" s="14" t="s">
        <v>873</v>
      </c>
      <c r="E45" s="14" t="s">
        <v>413</v>
      </c>
      <c r="F45" s="14" t="s">
        <v>1340</v>
      </c>
      <c r="G45" s="14" t="s">
        <v>170</v>
      </c>
      <c r="H45" s="14"/>
      <c r="I45" s="14" t="s">
        <v>2139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868</v>
      </c>
      <c r="B46" s="21" t="s">
        <v>881</v>
      </c>
      <c r="C46" s="19">
        <v>9815</v>
      </c>
      <c r="D46" s="14" t="s">
        <v>884</v>
      </c>
      <c r="E46" s="15" t="s">
        <v>413</v>
      </c>
      <c r="F46" s="14" t="s">
        <v>1348</v>
      </c>
      <c r="G46" s="1" t="s">
        <v>345</v>
      </c>
      <c r="H46" s="1"/>
      <c r="I46" s="57" t="s">
        <v>2140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2082</v>
      </c>
      <c r="B47" s="14" t="s">
        <v>594</v>
      </c>
      <c r="C47" s="19">
        <v>9831</v>
      </c>
      <c r="D47" s="14" t="s">
        <v>596</v>
      </c>
      <c r="E47" s="14" t="s">
        <v>413</v>
      </c>
      <c r="F47" s="14" t="s">
        <v>1177</v>
      </c>
      <c r="G47" s="14" t="s">
        <v>2090</v>
      </c>
      <c r="H47" s="14"/>
      <c r="I47" s="15" t="s">
        <v>2141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638</v>
      </c>
      <c r="B48" s="14" t="s">
        <v>742</v>
      </c>
      <c r="C48" s="82" t="s">
        <v>744</v>
      </c>
      <c r="D48" s="14" t="s">
        <v>745</v>
      </c>
      <c r="E48" s="14" t="s">
        <v>413</v>
      </c>
      <c r="F48" s="14" t="s">
        <v>1262</v>
      </c>
      <c r="G48" s="14" t="s">
        <v>330</v>
      </c>
      <c r="H48" s="14"/>
      <c r="I48" s="14" t="s">
        <v>2142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939</v>
      </c>
      <c r="B49" s="14" t="s">
        <v>949</v>
      </c>
      <c r="C49" s="19">
        <v>9560</v>
      </c>
      <c r="D49" s="10" t="s">
        <v>950</v>
      </c>
      <c r="E49" s="14" t="s">
        <v>413</v>
      </c>
      <c r="F49" s="14" t="s">
        <v>951</v>
      </c>
      <c r="G49" s="15" t="s">
        <v>19</v>
      </c>
      <c r="H49" s="15"/>
      <c r="I49" s="14" t="s">
        <v>2143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939</v>
      </c>
      <c r="B50" s="14" t="s">
        <v>949</v>
      </c>
      <c r="C50" s="19">
        <v>9560</v>
      </c>
      <c r="D50" s="14" t="s">
        <v>953</v>
      </c>
      <c r="E50" s="14" t="s">
        <v>417</v>
      </c>
      <c r="F50" s="14" t="s">
        <v>1398</v>
      </c>
      <c r="G50" s="14"/>
      <c r="H50" s="14"/>
      <c r="I50" s="14" t="s">
        <v>2144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939</v>
      </c>
      <c r="B51" s="14" t="s">
        <v>992</v>
      </c>
      <c r="C51" s="73">
        <v>9610</v>
      </c>
      <c r="D51" s="14" t="s">
        <v>995</v>
      </c>
      <c r="E51" s="14" t="s">
        <v>413</v>
      </c>
      <c r="F51" s="14" t="s">
        <v>1400</v>
      </c>
      <c r="G51" s="14" t="s">
        <v>241</v>
      </c>
      <c r="H51" s="14"/>
      <c r="I51" s="14" t="s">
        <v>2145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868</v>
      </c>
      <c r="B52" s="53" t="s">
        <v>426</v>
      </c>
      <c r="C52" s="19">
        <v>9836</v>
      </c>
      <c r="D52" s="53" t="s">
        <v>448</v>
      </c>
      <c r="E52" s="53" t="s">
        <v>413</v>
      </c>
      <c r="F52" s="53" t="s">
        <v>1085</v>
      </c>
      <c r="G52" s="53" t="s">
        <v>375</v>
      </c>
      <c r="H52" s="53"/>
      <c r="I52" s="57" t="s">
        <v>2146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868</v>
      </c>
      <c r="B53" s="21" t="s">
        <v>428</v>
      </c>
      <c r="C53" s="78">
        <v>9837</v>
      </c>
      <c r="D53" s="14" t="s">
        <v>451</v>
      </c>
      <c r="E53" s="14" t="s">
        <v>413</v>
      </c>
      <c r="F53" s="14" t="s">
        <v>1086</v>
      </c>
      <c r="G53" s="14" t="s">
        <v>386</v>
      </c>
      <c r="H53" s="14"/>
      <c r="I53" s="15" t="s">
        <v>2147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702</v>
      </c>
      <c r="B54" s="21" t="s">
        <v>664</v>
      </c>
      <c r="C54" s="19">
        <v>9941</v>
      </c>
      <c r="D54" s="54" t="s">
        <v>665</v>
      </c>
      <c r="E54" s="15" t="s">
        <v>666</v>
      </c>
      <c r="F54" s="14" t="s">
        <v>1213</v>
      </c>
      <c r="G54" s="15" t="s">
        <v>370</v>
      </c>
      <c r="H54" s="15"/>
      <c r="I54" s="49" t="s">
        <v>2113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702</v>
      </c>
      <c r="B55" s="84" t="s">
        <v>855</v>
      </c>
      <c r="C55" s="85">
        <v>9933</v>
      </c>
      <c r="D55" s="84" t="s">
        <v>856</v>
      </c>
      <c r="E55" s="84" t="s">
        <v>413</v>
      </c>
      <c r="F55" s="84" t="s">
        <v>1330</v>
      </c>
      <c r="G55" s="84" t="s">
        <v>249</v>
      </c>
      <c r="H55" s="84"/>
      <c r="I55" s="86" t="s">
        <v>2113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459</v>
      </c>
      <c r="B56" s="70" t="s">
        <v>488</v>
      </c>
      <c r="C56" s="70">
        <v>9420</v>
      </c>
      <c r="D56" s="70" t="s">
        <v>1633</v>
      </c>
      <c r="E56" s="70" t="s">
        <v>417</v>
      </c>
      <c r="F56" s="70" t="s">
        <v>1964</v>
      </c>
      <c r="G56" s="70" t="s">
        <v>1634</v>
      </c>
      <c r="H56" s="70"/>
      <c r="I56" s="70" t="s">
        <v>1635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638</v>
      </c>
      <c r="B57" s="14" t="s">
        <v>688</v>
      </c>
      <c r="C57" s="83">
        <v>9217</v>
      </c>
      <c r="D57" s="14" t="s">
        <v>690</v>
      </c>
      <c r="E57" s="14" t="s">
        <v>2128</v>
      </c>
      <c r="F57" s="14" t="s">
        <v>2129</v>
      </c>
      <c r="G57" s="14" t="s">
        <v>100</v>
      </c>
      <c r="H57" s="14"/>
      <c r="I57" s="14" t="s">
        <v>2153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638</v>
      </c>
      <c r="B58" s="14" t="s">
        <v>688</v>
      </c>
      <c r="C58" s="83">
        <v>9217</v>
      </c>
      <c r="D58" s="14" t="s">
        <v>689</v>
      </c>
      <c r="E58" s="14" t="s">
        <v>417</v>
      </c>
      <c r="F58" s="14" t="s">
        <v>1228</v>
      </c>
      <c r="G58" s="14" t="s">
        <v>57</v>
      </c>
      <c r="H58" s="14"/>
      <c r="I58" s="14" t="s">
        <v>2173</v>
      </c>
    </row>
    <row r="59" spans="1:72" s="6" customFormat="1" ht="13.5" customHeight="1" x14ac:dyDescent="0.25">
      <c r="A59" s="14" t="s">
        <v>638</v>
      </c>
      <c r="B59" s="14" t="s">
        <v>688</v>
      </c>
      <c r="C59" s="83">
        <v>9217</v>
      </c>
      <c r="D59" s="8" t="s">
        <v>2078</v>
      </c>
      <c r="E59" s="14" t="s">
        <v>413</v>
      </c>
      <c r="F59" s="14" t="s">
        <v>2069</v>
      </c>
      <c r="G59" s="14" t="s">
        <v>2070</v>
      </c>
      <c r="H59" s="14"/>
      <c r="I59" s="93" t="s">
        <v>2174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2082</v>
      </c>
      <c r="B62" s="14" t="s">
        <v>533</v>
      </c>
      <c r="C62" s="23">
        <v>9374</v>
      </c>
      <c r="D62" s="54" t="s">
        <v>534</v>
      </c>
      <c r="E62" s="54" t="s">
        <v>413</v>
      </c>
      <c r="F62" s="54" t="s">
        <v>535</v>
      </c>
      <c r="G62" s="54" t="s">
        <v>207</v>
      </c>
      <c r="H62" s="54"/>
      <c r="I62" s="8" t="s">
        <v>2175</v>
      </c>
    </row>
    <row r="63" spans="1:72" s="6" customFormat="1" ht="13.5" customHeight="1" x14ac:dyDescent="0.25">
      <c r="A63" s="14" t="s">
        <v>702</v>
      </c>
      <c r="B63" s="14" t="s">
        <v>813</v>
      </c>
      <c r="C63" s="83">
        <v>9233</v>
      </c>
      <c r="D63" s="14" t="s">
        <v>814</v>
      </c>
      <c r="E63" s="14" t="s">
        <v>417</v>
      </c>
      <c r="F63" s="14" t="s">
        <v>1306</v>
      </c>
      <c r="G63" s="14" t="s">
        <v>94</v>
      </c>
      <c r="H63" s="14"/>
      <c r="I63" s="14" t="s">
        <v>2176</v>
      </c>
    </row>
    <row r="64" spans="1:72" s="60" customFormat="1" ht="13.5" customHeight="1" x14ac:dyDescent="0.25">
      <c r="A64" s="14" t="s">
        <v>2082</v>
      </c>
      <c r="B64" s="14" t="s">
        <v>462</v>
      </c>
      <c r="C64" s="19">
        <v>9471</v>
      </c>
      <c r="D64" s="14" t="s">
        <v>464</v>
      </c>
      <c r="E64" s="14" t="s">
        <v>413</v>
      </c>
      <c r="F64" s="14" t="s">
        <v>1093</v>
      </c>
      <c r="G64" s="14" t="s">
        <v>183</v>
      </c>
      <c r="H64" s="14"/>
      <c r="I64" s="57" t="s">
        <v>2177</v>
      </c>
    </row>
    <row r="65" spans="1:9" s="6" customFormat="1" ht="13.5" customHeight="1" x14ac:dyDescent="0.25">
      <c r="A65" s="14" t="s">
        <v>2082</v>
      </c>
      <c r="B65" s="14" t="s">
        <v>485</v>
      </c>
      <c r="C65" s="91">
        <v>9420</v>
      </c>
      <c r="D65" s="14" t="s">
        <v>486</v>
      </c>
      <c r="E65" s="14" t="s">
        <v>413</v>
      </c>
      <c r="F65" s="14" t="s">
        <v>1108</v>
      </c>
      <c r="G65" s="14" t="s">
        <v>99</v>
      </c>
      <c r="H65" s="14"/>
      <c r="I65" s="14" t="s">
        <v>2178</v>
      </c>
    </row>
    <row r="66" spans="1:9" s="6" customFormat="1" ht="13.5" customHeight="1" x14ac:dyDescent="0.25">
      <c r="A66" s="53" t="s">
        <v>868</v>
      </c>
      <c r="B66" s="14" t="s">
        <v>423</v>
      </c>
      <c r="C66" s="19">
        <v>9855</v>
      </c>
      <c r="D66" s="14" t="s">
        <v>424</v>
      </c>
      <c r="E66" s="14" t="s">
        <v>413</v>
      </c>
      <c r="F66" s="14" t="s">
        <v>1069</v>
      </c>
      <c r="G66" s="14" t="s">
        <v>141</v>
      </c>
      <c r="H66" s="14"/>
      <c r="I66" s="14" t="s">
        <v>2179</v>
      </c>
    </row>
    <row r="67" spans="1:9" s="6" customFormat="1" ht="13.5" customHeight="1" x14ac:dyDescent="0.25">
      <c r="A67" s="14" t="s">
        <v>2082</v>
      </c>
      <c r="B67" s="14" t="s">
        <v>465</v>
      </c>
      <c r="C67" s="19">
        <v>9440</v>
      </c>
      <c r="D67" s="54" t="s">
        <v>467</v>
      </c>
      <c r="E67" s="14" t="s">
        <v>413</v>
      </c>
      <c r="F67" s="14" t="s">
        <v>1096</v>
      </c>
      <c r="G67" s="14" t="s">
        <v>132</v>
      </c>
      <c r="H67" s="14"/>
      <c r="I67" s="14" t="s">
        <v>2180</v>
      </c>
    </row>
    <row r="68" spans="1:9" s="6" customFormat="1" ht="13.5" customHeight="1" x14ac:dyDescent="0.25">
      <c r="A68" s="14" t="s">
        <v>2082</v>
      </c>
      <c r="B68" s="14" t="s">
        <v>506</v>
      </c>
      <c r="C68" s="91">
        <v>9472</v>
      </c>
      <c r="D68" s="14" t="s">
        <v>507</v>
      </c>
      <c r="E68" s="14" t="s">
        <v>413</v>
      </c>
      <c r="F68" s="14" t="s">
        <v>1127</v>
      </c>
      <c r="G68" s="10" t="s">
        <v>125</v>
      </c>
      <c r="H68" s="10"/>
      <c r="I68" s="14" t="s">
        <v>2181</v>
      </c>
    </row>
    <row r="69" spans="1:9" s="6" customFormat="1" ht="13.5" customHeight="1" x14ac:dyDescent="0.25">
      <c r="A69" s="14" t="s">
        <v>2082</v>
      </c>
      <c r="B69" s="21" t="s">
        <v>608</v>
      </c>
      <c r="C69" s="19">
        <v>9408</v>
      </c>
      <c r="D69" s="14" t="s">
        <v>610</v>
      </c>
      <c r="E69" s="15" t="s">
        <v>413</v>
      </c>
      <c r="F69" s="14" t="s">
        <v>1182</v>
      </c>
      <c r="G69" s="15" t="s">
        <v>371</v>
      </c>
      <c r="H69" s="15"/>
      <c r="I69" s="14" t="s">
        <v>2182</v>
      </c>
    </row>
    <row r="70" spans="1:9" s="6" customFormat="1" ht="13.5" customHeight="1" x14ac:dyDescent="0.25">
      <c r="A70" s="14" t="s">
        <v>2082</v>
      </c>
      <c r="B70" s="14" t="s">
        <v>608</v>
      </c>
      <c r="C70" s="19">
        <v>9408</v>
      </c>
      <c r="D70" s="14" t="s">
        <v>609</v>
      </c>
      <c r="E70" s="14" t="s">
        <v>413</v>
      </c>
      <c r="F70" s="14" t="s">
        <v>1181</v>
      </c>
      <c r="G70" s="14" t="s">
        <v>335</v>
      </c>
      <c r="H70" s="14"/>
      <c r="I70" s="14" t="s">
        <v>2180</v>
      </c>
    </row>
    <row r="71" spans="1:9" s="6" customFormat="1" ht="13.5" customHeight="1" x14ac:dyDescent="0.25">
      <c r="A71" s="14" t="s">
        <v>2082</v>
      </c>
      <c r="B71" s="14" t="s">
        <v>600</v>
      </c>
      <c r="C71" s="19">
        <v>9833</v>
      </c>
      <c r="D71" s="14" t="s">
        <v>603</v>
      </c>
      <c r="E71" s="14" t="s">
        <v>417</v>
      </c>
      <c r="F71" s="14" t="s">
        <v>1180</v>
      </c>
      <c r="G71" s="14"/>
      <c r="H71" s="14"/>
      <c r="I71" s="14" t="s">
        <v>2183</v>
      </c>
    </row>
    <row r="72" spans="1:9" s="6" customFormat="1" ht="13.5" customHeight="1" x14ac:dyDescent="0.25">
      <c r="A72" s="15" t="s">
        <v>868</v>
      </c>
      <c r="B72" s="21" t="s">
        <v>925</v>
      </c>
      <c r="C72" s="22">
        <v>9824</v>
      </c>
      <c r="D72" s="14" t="s">
        <v>927</v>
      </c>
      <c r="E72" s="15" t="s">
        <v>413</v>
      </c>
      <c r="F72" s="14" t="s">
        <v>1382</v>
      </c>
      <c r="G72" s="15" t="s">
        <v>360</v>
      </c>
      <c r="H72" s="15"/>
      <c r="I72" s="14" t="s">
        <v>2184</v>
      </c>
    </row>
    <row r="73" spans="1:9" s="6" customFormat="1" ht="13.5" customHeight="1" x14ac:dyDescent="0.25">
      <c r="A73" s="14" t="s">
        <v>939</v>
      </c>
      <c r="B73" s="14" t="s">
        <v>996</v>
      </c>
      <c r="C73" s="83">
        <v>9599</v>
      </c>
      <c r="D73" s="14" t="s">
        <v>997</v>
      </c>
      <c r="E73" s="14" t="s">
        <v>413</v>
      </c>
      <c r="F73" s="14" t="s">
        <v>1429</v>
      </c>
      <c r="G73" s="14" t="s">
        <v>71</v>
      </c>
      <c r="H73" s="14"/>
      <c r="I73" s="69" t="s">
        <v>2185</v>
      </c>
    </row>
    <row r="74" spans="1:9" s="6" customFormat="1" ht="13.5" customHeight="1" x14ac:dyDescent="0.25">
      <c r="A74" s="14" t="s">
        <v>638</v>
      </c>
      <c r="B74" s="14" t="s">
        <v>733</v>
      </c>
      <c r="C74" s="83">
        <v>9297</v>
      </c>
      <c r="D74" s="14" t="s">
        <v>735</v>
      </c>
      <c r="E74" s="14" t="s">
        <v>413</v>
      </c>
      <c r="F74" s="14" t="s">
        <v>1255</v>
      </c>
      <c r="G74" s="14" t="s">
        <v>299</v>
      </c>
      <c r="H74" s="14"/>
      <c r="I74" s="57" t="s">
        <v>2186</v>
      </c>
    </row>
    <row r="75" spans="1:9" s="6" customFormat="1" ht="13.5" customHeight="1" x14ac:dyDescent="0.25">
      <c r="A75" s="14" t="s">
        <v>939</v>
      </c>
      <c r="B75" s="14" t="s">
        <v>980</v>
      </c>
      <c r="C75" s="68">
        <v>9655</v>
      </c>
      <c r="D75" s="54" t="s">
        <v>984</v>
      </c>
      <c r="E75" s="54" t="s">
        <v>413</v>
      </c>
      <c r="F75" s="54" t="s">
        <v>1421</v>
      </c>
      <c r="G75" s="54" t="s">
        <v>284</v>
      </c>
      <c r="H75" s="54"/>
      <c r="I75" s="14" t="s">
        <v>2192</v>
      </c>
    </row>
    <row r="76" spans="1:9" s="6" customFormat="1" ht="13.5" customHeight="1" x14ac:dyDescent="0.25">
      <c r="A76" s="16" t="s">
        <v>939</v>
      </c>
      <c r="B76" s="21" t="s">
        <v>969</v>
      </c>
      <c r="C76" s="24" t="s">
        <v>614</v>
      </c>
      <c r="D76" s="54" t="s">
        <v>970</v>
      </c>
      <c r="E76" s="16" t="s">
        <v>413</v>
      </c>
      <c r="F76" s="54" t="s">
        <v>1410</v>
      </c>
      <c r="G76" s="16" t="s">
        <v>355</v>
      </c>
      <c r="H76" s="16"/>
      <c r="I76" s="14" t="s">
        <v>2193</v>
      </c>
    </row>
    <row r="77" spans="1:9" s="6" customFormat="1" ht="13.5" customHeight="1" x14ac:dyDescent="0.25">
      <c r="A77" s="14" t="s">
        <v>939</v>
      </c>
      <c r="B77" s="53" t="s">
        <v>1043</v>
      </c>
      <c r="C77" s="19">
        <v>9650</v>
      </c>
      <c r="D77" s="53" t="s">
        <v>1045</v>
      </c>
      <c r="E77" s="53" t="s">
        <v>413</v>
      </c>
      <c r="F77" s="53" t="s">
        <v>1458</v>
      </c>
      <c r="G77" s="53" t="s">
        <v>235</v>
      </c>
      <c r="H77" s="53"/>
      <c r="I77" s="57" t="s">
        <v>2194</v>
      </c>
    </row>
    <row r="78" spans="1:9" s="6" customFormat="1" ht="13.5" customHeight="1" x14ac:dyDescent="0.25">
      <c r="A78" s="14" t="s">
        <v>939</v>
      </c>
      <c r="B78" s="21" t="s">
        <v>1035</v>
      </c>
      <c r="C78" s="73">
        <v>9510</v>
      </c>
      <c r="D78" s="14" t="s">
        <v>1038</v>
      </c>
      <c r="E78" s="14" t="s">
        <v>413</v>
      </c>
      <c r="F78" s="14" t="s">
        <v>1451</v>
      </c>
      <c r="G78" s="14" t="s">
        <v>388</v>
      </c>
      <c r="H78" s="53"/>
      <c r="I78" s="14" t="s">
        <v>2195</v>
      </c>
    </row>
    <row r="79" spans="1:9" s="6" customFormat="1" ht="13.5" customHeight="1" x14ac:dyDescent="0.25">
      <c r="A79" s="14" t="s">
        <v>702</v>
      </c>
      <c r="B79" s="21" t="s">
        <v>768</v>
      </c>
      <c r="C79" s="19">
        <v>9221</v>
      </c>
      <c r="D79" s="14" t="s">
        <v>770</v>
      </c>
      <c r="E79" s="14" t="s">
        <v>417</v>
      </c>
      <c r="F79" s="14" t="s">
        <v>1275</v>
      </c>
      <c r="G79" s="14" t="s">
        <v>129</v>
      </c>
      <c r="H79" s="53"/>
      <c r="I79" s="14" t="s">
        <v>2196</v>
      </c>
    </row>
    <row r="80" spans="1:9" s="6" customFormat="1" ht="13.5" customHeight="1" x14ac:dyDescent="0.25">
      <c r="A80" s="14" t="s">
        <v>638</v>
      </c>
      <c r="B80" s="14" t="s">
        <v>2133</v>
      </c>
      <c r="C80" s="94">
        <v>9292</v>
      </c>
      <c r="D80" s="14" t="s">
        <v>736</v>
      </c>
      <c r="E80" s="14" t="s">
        <v>417</v>
      </c>
      <c r="F80" s="14" t="s">
        <v>1256</v>
      </c>
      <c r="G80" s="14" t="s">
        <v>216</v>
      </c>
      <c r="H80" s="53"/>
      <c r="I80" s="14" t="s">
        <v>2197</v>
      </c>
    </row>
    <row r="81" spans="1:21" s="6" customFormat="1" ht="13.5" customHeight="1" x14ac:dyDescent="0.25">
      <c r="A81" s="15" t="s">
        <v>702</v>
      </c>
      <c r="B81" s="14" t="s">
        <v>787</v>
      </c>
      <c r="C81" s="19">
        <v>9441</v>
      </c>
      <c r="D81" s="14" t="s">
        <v>788</v>
      </c>
      <c r="E81" s="14" t="s">
        <v>417</v>
      </c>
      <c r="F81" s="14" t="s">
        <v>1287</v>
      </c>
      <c r="G81" s="14" t="s">
        <v>45</v>
      </c>
      <c r="H81" s="53"/>
      <c r="I81" s="14" t="s">
        <v>2198</v>
      </c>
    </row>
    <row r="82" spans="1:21" s="6" customFormat="1" ht="13.5" customHeight="1" x14ac:dyDescent="0.25">
      <c r="A82" s="14" t="s">
        <v>702</v>
      </c>
      <c r="B82" s="14" t="s">
        <v>797</v>
      </c>
      <c r="C82" s="19">
        <v>9271</v>
      </c>
      <c r="D82" s="14" t="s">
        <v>798</v>
      </c>
      <c r="E82" s="14" t="s">
        <v>417</v>
      </c>
      <c r="F82" s="14" t="s">
        <v>1294</v>
      </c>
      <c r="G82" s="14" t="s">
        <v>202</v>
      </c>
      <c r="H82" s="53"/>
      <c r="I82" s="14" t="s">
        <v>2199</v>
      </c>
    </row>
    <row r="83" spans="1:21" s="6" customFormat="1" ht="13.5" customHeight="1" x14ac:dyDescent="0.25">
      <c r="A83" s="14" t="s">
        <v>702</v>
      </c>
      <c r="B83" s="14" t="s">
        <v>797</v>
      </c>
      <c r="C83" s="19">
        <v>9271</v>
      </c>
      <c r="D83" s="14" t="s">
        <v>2093</v>
      </c>
      <c r="E83" s="14" t="s">
        <v>413</v>
      </c>
      <c r="F83" s="80" t="s">
        <v>2123</v>
      </c>
      <c r="G83" s="14" t="s">
        <v>307</v>
      </c>
      <c r="H83" s="53"/>
      <c r="I83" s="80" t="s">
        <v>2200</v>
      </c>
    </row>
    <row r="84" spans="1:21" s="6" customFormat="1" ht="13.5" customHeight="1" x14ac:dyDescent="0.25">
      <c r="A84" s="14" t="s">
        <v>702</v>
      </c>
      <c r="B84" s="14" t="s">
        <v>797</v>
      </c>
      <c r="C84" s="19">
        <v>9271</v>
      </c>
      <c r="D84" s="14" t="s">
        <v>800</v>
      </c>
      <c r="E84" s="14" t="s">
        <v>413</v>
      </c>
      <c r="F84" s="14" t="s">
        <v>1296</v>
      </c>
      <c r="G84" s="14" t="s">
        <v>399</v>
      </c>
      <c r="H84" s="53"/>
      <c r="I84" s="14" t="s">
        <v>2201</v>
      </c>
    </row>
    <row r="85" spans="1:21" s="6" customFormat="1" ht="13.5" customHeight="1" x14ac:dyDescent="0.25">
      <c r="A85" s="14" t="s">
        <v>702</v>
      </c>
      <c r="B85" s="14" t="s">
        <v>807</v>
      </c>
      <c r="C85" s="19">
        <v>9231</v>
      </c>
      <c r="D85" s="14" t="s">
        <v>809</v>
      </c>
      <c r="E85" s="14" t="s">
        <v>417</v>
      </c>
      <c r="F85" s="14" t="s">
        <v>1302</v>
      </c>
      <c r="G85" s="14" t="s">
        <v>240</v>
      </c>
      <c r="H85" s="53"/>
      <c r="I85" s="14" t="s">
        <v>2202</v>
      </c>
    </row>
    <row r="86" spans="1:21" s="6" customFormat="1" ht="13.5" customHeight="1" x14ac:dyDescent="0.25">
      <c r="A86" s="14" t="s">
        <v>702</v>
      </c>
      <c r="B86" s="14" t="s">
        <v>832</v>
      </c>
      <c r="C86" s="83">
        <v>9284</v>
      </c>
      <c r="D86" s="14" t="s">
        <v>835</v>
      </c>
      <c r="E86" s="14" t="s">
        <v>417</v>
      </c>
      <c r="F86" s="14" t="s">
        <v>1319</v>
      </c>
      <c r="G86" s="14" t="s">
        <v>236</v>
      </c>
      <c r="H86" s="14"/>
      <c r="I86" s="14" t="s">
        <v>2207</v>
      </c>
    </row>
    <row r="87" spans="1:21" s="6" customFormat="1" ht="13.5" customHeight="1" x14ac:dyDescent="0.25">
      <c r="A87" s="54" t="s">
        <v>702</v>
      </c>
      <c r="B87" s="14" t="s">
        <v>817</v>
      </c>
      <c r="C87" s="24">
        <v>9291</v>
      </c>
      <c r="D87" s="54" t="s">
        <v>2094</v>
      </c>
      <c r="E87" s="14" t="s">
        <v>417</v>
      </c>
      <c r="F87" s="14" t="s">
        <v>1309</v>
      </c>
      <c r="G87" s="14" t="s">
        <v>274</v>
      </c>
      <c r="H87" s="14"/>
      <c r="I87" s="14" t="s">
        <v>2208</v>
      </c>
    </row>
    <row r="88" spans="1:21" s="6" customFormat="1" ht="13.5" customHeight="1" x14ac:dyDescent="0.25">
      <c r="A88" s="14" t="s">
        <v>702</v>
      </c>
      <c r="B88" s="14" t="s">
        <v>817</v>
      </c>
      <c r="C88" s="24">
        <v>9291</v>
      </c>
      <c r="D88" s="72" t="s">
        <v>817</v>
      </c>
      <c r="E88" s="14" t="s">
        <v>413</v>
      </c>
      <c r="F88" s="67" t="s">
        <v>1980</v>
      </c>
      <c r="G88" s="14" t="s">
        <v>2087</v>
      </c>
      <c r="H88" s="14"/>
      <c r="I88" s="8" t="s">
        <v>2214</v>
      </c>
    </row>
    <row r="89" spans="1:21" s="6" customFormat="1" ht="13.5" customHeight="1" x14ac:dyDescent="0.25">
      <c r="A89" s="14" t="s">
        <v>702</v>
      </c>
      <c r="B89" s="14" t="s">
        <v>821</v>
      </c>
      <c r="C89" s="94">
        <v>9227</v>
      </c>
      <c r="D89" s="14" t="s">
        <v>822</v>
      </c>
      <c r="E89" s="14" t="s">
        <v>413</v>
      </c>
      <c r="F89" s="14" t="s">
        <v>1310</v>
      </c>
      <c r="G89" s="14" t="s">
        <v>23</v>
      </c>
      <c r="H89" s="14"/>
      <c r="I89" s="13" t="s">
        <v>2215</v>
      </c>
    </row>
    <row r="90" spans="1:21" s="6" customFormat="1" ht="13.5" customHeight="1" x14ac:dyDescent="0.25">
      <c r="A90" s="14" t="s">
        <v>2082</v>
      </c>
      <c r="B90" s="14" t="s">
        <v>591</v>
      </c>
      <c r="C90" s="19">
        <v>9838</v>
      </c>
      <c r="D90" s="14" t="s">
        <v>593</v>
      </c>
      <c r="E90" s="14" t="s">
        <v>413</v>
      </c>
      <c r="F90" s="14" t="s">
        <v>1176</v>
      </c>
      <c r="G90" s="14" t="s">
        <v>341</v>
      </c>
      <c r="H90" s="14"/>
      <c r="I90" s="14" t="s">
        <v>2216</v>
      </c>
    </row>
    <row r="91" spans="1:21" s="6" customFormat="1" ht="13.5" customHeight="1" x14ac:dyDescent="0.25">
      <c r="A91" s="14" t="s">
        <v>868</v>
      </c>
      <c r="B91" s="13" t="s">
        <v>904</v>
      </c>
      <c r="C91" s="94">
        <v>9820</v>
      </c>
      <c r="D91" s="14" t="s">
        <v>906</v>
      </c>
      <c r="E91" s="14" t="s">
        <v>413</v>
      </c>
      <c r="F91" s="14" t="s">
        <v>1362</v>
      </c>
      <c r="G91" s="14" t="s">
        <v>15</v>
      </c>
      <c r="H91" s="14"/>
      <c r="I91" s="14" t="s">
        <v>2217</v>
      </c>
    </row>
    <row r="92" spans="1:21" s="6" customFormat="1" ht="13.5" customHeight="1" x14ac:dyDescent="0.25">
      <c r="A92" s="14" t="s">
        <v>702</v>
      </c>
      <c r="B92" s="14" t="s">
        <v>827</v>
      </c>
      <c r="C92" s="94">
        <v>9249</v>
      </c>
      <c r="D92" s="14" t="s">
        <v>828</v>
      </c>
      <c r="E92" s="14" t="s">
        <v>413</v>
      </c>
      <c r="F92" s="14" t="s">
        <v>1314</v>
      </c>
      <c r="G92" s="14" t="s">
        <v>42</v>
      </c>
      <c r="H92" s="70"/>
      <c r="I92" s="12" t="s">
        <v>2219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702</v>
      </c>
      <c r="B93" s="14" t="s">
        <v>827</v>
      </c>
      <c r="C93" s="94">
        <v>9249</v>
      </c>
      <c r="D93" s="14" t="s">
        <v>829</v>
      </c>
      <c r="E93" s="14" t="s">
        <v>417</v>
      </c>
      <c r="F93" s="14" t="s">
        <v>1315</v>
      </c>
      <c r="G93" s="14" t="s">
        <v>145</v>
      </c>
      <c r="H93" s="3"/>
      <c r="I93" s="12" t="s">
        <v>2219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702</v>
      </c>
      <c r="B94" s="21" t="s">
        <v>860</v>
      </c>
      <c r="C94" s="22">
        <v>9964</v>
      </c>
      <c r="D94" s="14" t="s">
        <v>2095</v>
      </c>
      <c r="E94" s="15" t="s">
        <v>413</v>
      </c>
      <c r="F94" s="14" t="s">
        <v>1333</v>
      </c>
      <c r="G94" s="1" t="s">
        <v>352</v>
      </c>
      <c r="H94" s="1"/>
      <c r="I94" s="14" t="s">
        <v>2220</v>
      </c>
    </row>
    <row r="95" spans="1:21" s="6" customFormat="1" ht="13.5" customHeight="1" x14ac:dyDescent="0.25">
      <c r="A95" s="14" t="s">
        <v>638</v>
      </c>
      <c r="B95" s="14" t="s">
        <v>755</v>
      </c>
      <c r="C95" s="96">
        <v>9937</v>
      </c>
      <c r="D95" s="14" t="s">
        <v>756</v>
      </c>
      <c r="E95" s="14" t="s">
        <v>413</v>
      </c>
      <c r="F95" s="14" t="s">
        <v>1268</v>
      </c>
      <c r="G95" s="14" t="s">
        <v>300</v>
      </c>
      <c r="H95" s="1"/>
      <c r="I95" s="14" t="s">
        <v>2221</v>
      </c>
    </row>
    <row r="96" spans="1:21" s="6" customFormat="1" ht="13.5" customHeight="1" x14ac:dyDescent="0.25">
      <c r="A96" s="14" t="s">
        <v>939</v>
      </c>
      <c r="B96" s="14" t="s">
        <v>980</v>
      </c>
      <c r="C96" s="97">
        <v>9655</v>
      </c>
      <c r="D96" s="109" t="s">
        <v>987</v>
      </c>
      <c r="E96" s="54" t="s">
        <v>413</v>
      </c>
      <c r="F96" s="54" t="s">
        <v>988</v>
      </c>
      <c r="G96" s="54" t="s">
        <v>2038</v>
      </c>
      <c r="H96" s="1"/>
      <c r="I96" s="14" t="s">
        <v>2383</v>
      </c>
      <c r="J96" s="105"/>
      <c r="K96" s="105"/>
    </row>
    <row r="97" spans="1:12" s="6" customFormat="1" ht="13.5" customHeight="1" x14ac:dyDescent="0.25">
      <c r="A97" s="14" t="s">
        <v>939</v>
      </c>
      <c r="B97" s="14" t="s">
        <v>980</v>
      </c>
      <c r="C97" s="97">
        <v>9655</v>
      </c>
      <c r="D97" s="14" t="s">
        <v>981</v>
      </c>
      <c r="E97" s="14" t="s">
        <v>413</v>
      </c>
      <c r="F97" s="14" t="s">
        <v>1418</v>
      </c>
      <c r="G97" s="14" t="s">
        <v>50</v>
      </c>
      <c r="H97" s="1"/>
      <c r="I97" s="14" t="s">
        <v>2384</v>
      </c>
      <c r="J97" s="105"/>
      <c r="K97" s="105"/>
    </row>
    <row r="98" spans="1:12" s="6" customFormat="1" ht="13.5" customHeight="1" x14ac:dyDescent="0.25">
      <c r="A98" s="14" t="s">
        <v>638</v>
      </c>
      <c r="B98" s="14" t="s">
        <v>688</v>
      </c>
      <c r="C98" s="97">
        <v>9217</v>
      </c>
      <c r="D98" s="8" t="s">
        <v>2075</v>
      </c>
      <c r="E98" s="63" t="s">
        <v>413</v>
      </c>
      <c r="F98" s="64" t="s">
        <v>2077</v>
      </c>
      <c r="G98" s="64" t="s">
        <v>2076</v>
      </c>
      <c r="H98" s="1"/>
      <c r="I98" s="8" t="s">
        <v>2385</v>
      </c>
      <c r="J98" s="105"/>
      <c r="K98" s="105"/>
    </row>
    <row r="99" spans="1:12" s="6" customFormat="1" ht="13.5" customHeight="1" x14ac:dyDescent="0.25">
      <c r="A99" s="14" t="s">
        <v>702</v>
      </c>
      <c r="B99" s="14" t="s">
        <v>667</v>
      </c>
      <c r="C99" s="19">
        <v>9224</v>
      </c>
      <c r="D99" s="14" t="s">
        <v>670</v>
      </c>
      <c r="E99" s="14" t="s">
        <v>413</v>
      </c>
      <c r="F99" s="14" t="s">
        <v>1216</v>
      </c>
      <c r="G99" s="14"/>
      <c r="H99" s="1"/>
      <c r="I99" s="14" t="s">
        <v>2386</v>
      </c>
      <c r="J99" s="105"/>
      <c r="K99" s="105"/>
    </row>
    <row r="100" spans="1:12" s="6" customFormat="1" ht="13.5" customHeight="1" x14ac:dyDescent="0.25">
      <c r="A100" s="14" t="s">
        <v>702</v>
      </c>
      <c r="B100" s="14" t="s">
        <v>839</v>
      </c>
      <c r="C100" s="111">
        <v>9229</v>
      </c>
      <c r="D100" s="14" t="s">
        <v>841</v>
      </c>
      <c r="E100" s="14" t="s">
        <v>417</v>
      </c>
      <c r="F100" s="14" t="s">
        <v>1323</v>
      </c>
      <c r="G100" s="14" t="s">
        <v>172</v>
      </c>
      <c r="H100" s="1"/>
      <c r="I100" s="13" t="s">
        <v>2387</v>
      </c>
      <c r="J100" s="107"/>
      <c r="K100" s="105"/>
    </row>
    <row r="101" spans="1:12" s="6" customFormat="1" ht="13.5" customHeight="1" x14ac:dyDescent="0.25">
      <c r="A101" s="14" t="s">
        <v>702</v>
      </c>
      <c r="B101" s="14" t="s">
        <v>830</v>
      </c>
      <c r="C101" s="97">
        <v>9228</v>
      </c>
      <c r="D101" s="14" t="s">
        <v>831</v>
      </c>
      <c r="E101" s="14" t="s">
        <v>2210</v>
      </c>
      <c r="F101" s="14" t="s">
        <v>2211</v>
      </c>
      <c r="G101" s="14" t="s">
        <v>160</v>
      </c>
      <c r="H101" s="1"/>
      <c r="I101" s="84" t="s">
        <v>2388</v>
      </c>
      <c r="J101" s="115"/>
      <c r="K101" s="115"/>
    </row>
    <row r="102" spans="1:12" s="6" customFormat="1" ht="13.5" customHeight="1" x14ac:dyDescent="0.25">
      <c r="A102" s="53" t="s">
        <v>2082</v>
      </c>
      <c r="B102" s="53" t="s">
        <v>576</v>
      </c>
      <c r="C102" s="19">
        <v>9389</v>
      </c>
      <c r="D102" s="53" t="s">
        <v>577</v>
      </c>
      <c r="E102" s="53" t="s">
        <v>417</v>
      </c>
      <c r="F102" s="53" t="s">
        <v>1171</v>
      </c>
      <c r="G102" s="53" t="s">
        <v>123</v>
      </c>
      <c r="H102" s="1"/>
      <c r="I102" s="10" t="s">
        <v>2399</v>
      </c>
      <c r="J102" s="114"/>
      <c r="K102" s="114"/>
      <c r="L102" s="109"/>
    </row>
    <row r="103" spans="1:12" s="6" customFormat="1" ht="13.5" customHeight="1" x14ac:dyDescent="0.25">
      <c r="A103" s="14" t="s">
        <v>939</v>
      </c>
      <c r="B103" s="14" t="s">
        <v>1012</v>
      </c>
      <c r="C103" s="19">
        <v>9520</v>
      </c>
      <c r="D103" s="14" t="s">
        <v>1013</v>
      </c>
      <c r="E103" s="14" t="s">
        <v>417</v>
      </c>
      <c r="F103" s="14" t="s">
        <v>1433</v>
      </c>
      <c r="G103" s="14" t="s">
        <v>385</v>
      </c>
      <c r="H103" s="1"/>
      <c r="I103" s="14" t="s">
        <v>2400</v>
      </c>
      <c r="J103" s="105"/>
      <c r="K103" s="105"/>
    </row>
    <row r="104" spans="1:12" s="6" customFormat="1" ht="13.5" customHeight="1" x14ac:dyDescent="0.25">
      <c r="A104" s="14" t="s">
        <v>2082</v>
      </c>
      <c r="B104" s="14" t="s">
        <v>552</v>
      </c>
      <c r="C104" s="24">
        <v>9310</v>
      </c>
      <c r="D104" s="54" t="s">
        <v>553</v>
      </c>
      <c r="E104" s="54" t="s">
        <v>417</v>
      </c>
      <c r="F104" s="54" t="s">
        <v>1155</v>
      </c>
      <c r="G104" s="54" t="s">
        <v>122</v>
      </c>
      <c r="H104" s="54"/>
      <c r="I104" s="14" t="s">
        <v>2148</v>
      </c>
      <c r="J104" s="105"/>
      <c r="K104" s="105"/>
    </row>
    <row r="106" spans="1:12" s="6" customFormat="1" ht="13.5" customHeight="1" x14ac:dyDescent="0.25">
      <c r="A106" s="53" t="s">
        <v>2082</v>
      </c>
      <c r="B106" s="53" t="s">
        <v>552</v>
      </c>
      <c r="C106" s="61">
        <v>9310</v>
      </c>
      <c r="D106" s="62" t="s">
        <v>554</v>
      </c>
      <c r="E106" s="62" t="s">
        <v>413</v>
      </c>
      <c r="F106" s="62" t="s">
        <v>1156</v>
      </c>
      <c r="G106" s="62" t="s">
        <v>328</v>
      </c>
      <c r="H106" s="62"/>
      <c r="I106" s="14" t="s">
        <v>2130</v>
      </c>
      <c r="J106" s="105"/>
      <c r="K106" s="105"/>
    </row>
    <row r="107" spans="1:12" s="6" customFormat="1" ht="13.5" customHeight="1" x14ac:dyDescent="0.25">
      <c r="A107" s="14" t="s">
        <v>2082</v>
      </c>
      <c r="B107" s="14" t="s">
        <v>470</v>
      </c>
      <c r="C107" s="19">
        <v>9484</v>
      </c>
      <c r="D107" s="14" t="s">
        <v>471</v>
      </c>
      <c r="E107" s="14" t="s">
        <v>417</v>
      </c>
      <c r="F107" s="14" t="s">
        <v>1098</v>
      </c>
      <c r="G107" s="14" t="s">
        <v>69</v>
      </c>
      <c r="H107" s="62"/>
      <c r="I107" s="116" t="s">
        <v>2406</v>
      </c>
      <c r="J107" s="105"/>
    </row>
    <row r="108" spans="1:12" s="6" customFormat="1" ht="13.5" customHeight="1" x14ac:dyDescent="0.25">
      <c r="A108" s="14" t="s">
        <v>2082</v>
      </c>
      <c r="B108" s="14" t="s">
        <v>470</v>
      </c>
      <c r="C108" s="19">
        <v>9484</v>
      </c>
      <c r="D108" s="14" t="s">
        <v>472</v>
      </c>
      <c r="E108" s="14" t="s">
        <v>413</v>
      </c>
      <c r="F108" s="14" t="s">
        <v>1099</v>
      </c>
      <c r="G108" s="14" t="s">
        <v>286</v>
      </c>
      <c r="H108" s="62"/>
      <c r="I108" s="116" t="s">
        <v>2406</v>
      </c>
      <c r="J108" s="105"/>
    </row>
    <row r="109" spans="1:12" s="6" customFormat="1" ht="13.5" customHeight="1" x14ac:dyDescent="0.25">
      <c r="A109" s="14" t="s">
        <v>2082</v>
      </c>
      <c r="B109" s="14" t="s">
        <v>496</v>
      </c>
      <c r="C109" s="97">
        <v>9417</v>
      </c>
      <c r="D109" s="14" t="s">
        <v>497</v>
      </c>
      <c r="E109" s="14" t="s">
        <v>413</v>
      </c>
      <c r="F109" s="14" t="s">
        <v>1118</v>
      </c>
      <c r="G109" s="14" t="s">
        <v>7</v>
      </c>
      <c r="H109" s="62"/>
      <c r="I109" s="116" t="s">
        <v>2406</v>
      </c>
    </row>
    <row r="110" spans="1:12" s="6" customFormat="1" ht="13.5" customHeight="1" x14ac:dyDescent="0.25">
      <c r="A110" s="14" t="s">
        <v>2082</v>
      </c>
      <c r="B110" s="14" t="s">
        <v>529</v>
      </c>
      <c r="C110" s="23">
        <v>9399</v>
      </c>
      <c r="D110" s="54" t="s">
        <v>530</v>
      </c>
      <c r="E110" s="54" t="s">
        <v>413</v>
      </c>
      <c r="F110" s="54" t="s">
        <v>1142</v>
      </c>
      <c r="G110" s="54" t="s">
        <v>269</v>
      </c>
      <c r="H110" s="62"/>
      <c r="I110" s="14" t="s">
        <v>2407</v>
      </c>
      <c r="J110" s="105" t="s">
        <v>2238</v>
      </c>
    </row>
    <row r="111" spans="1:12" s="6" customFormat="1" ht="13.5" customHeight="1" x14ac:dyDescent="0.25">
      <c r="A111" s="14" t="s">
        <v>638</v>
      </c>
      <c r="B111" s="14" t="s">
        <v>763</v>
      </c>
      <c r="C111" s="97">
        <v>9253</v>
      </c>
      <c r="D111" s="14" t="s">
        <v>764</v>
      </c>
      <c r="E111" s="14" t="s">
        <v>417</v>
      </c>
      <c r="F111" s="14" t="s">
        <v>1272</v>
      </c>
      <c r="G111" s="14" t="s">
        <v>55</v>
      </c>
      <c r="H111" s="62"/>
      <c r="I111" s="116" t="s">
        <v>2408</v>
      </c>
    </row>
    <row r="112" spans="1:12" s="6" customFormat="1" ht="13.5" customHeight="1" x14ac:dyDescent="0.25">
      <c r="A112" s="15" t="s">
        <v>638</v>
      </c>
      <c r="B112" s="15" t="s">
        <v>648</v>
      </c>
      <c r="C112" s="19">
        <v>9955</v>
      </c>
      <c r="D112" s="14" t="s">
        <v>649</v>
      </c>
      <c r="E112" s="15" t="s">
        <v>417</v>
      </c>
      <c r="F112" s="14" t="s">
        <v>1205</v>
      </c>
      <c r="G112" s="15" t="s">
        <v>351</v>
      </c>
      <c r="H112" s="62"/>
      <c r="I112" s="14" t="s">
        <v>2423</v>
      </c>
      <c r="J112" s="105" t="s">
        <v>2238</v>
      </c>
      <c r="K112" s="105" t="str">
        <f>VLOOKUP(C112,'Status oficina'!$A$2:$C$208,3,FALSE)</f>
        <v>Cierre definitivo</v>
      </c>
    </row>
    <row r="113" spans="1:9" x14ac:dyDescent="0.25">
      <c r="A113" s="15" t="s">
        <v>638</v>
      </c>
      <c r="B113" s="15" t="s">
        <v>686</v>
      </c>
      <c r="C113" s="19">
        <v>9304</v>
      </c>
      <c r="D113" s="14" t="s">
        <v>687</v>
      </c>
      <c r="E113" s="15" t="s">
        <v>413</v>
      </c>
      <c r="F113" s="14" t="s">
        <v>1227</v>
      </c>
      <c r="G113" s="15" t="s">
        <v>134</v>
      </c>
      <c r="H113" s="62"/>
      <c r="I113" s="14" t="s">
        <v>2422</v>
      </c>
    </row>
    <row r="114" spans="1:9" x14ac:dyDescent="0.25">
      <c r="A114" s="14" t="s">
        <v>638</v>
      </c>
      <c r="B114" s="14" t="s">
        <v>727</v>
      </c>
      <c r="C114" s="119">
        <v>9246</v>
      </c>
      <c r="D114" s="14" t="s">
        <v>729</v>
      </c>
      <c r="E114" s="14" t="s">
        <v>413</v>
      </c>
      <c r="F114" s="14" t="s">
        <v>1251</v>
      </c>
      <c r="G114" s="14" t="s">
        <v>292</v>
      </c>
      <c r="H114" s="70"/>
      <c r="I114" s="70" t="s">
        <v>2424</v>
      </c>
    </row>
    <row r="115" spans="1:9" x14ac:dyDescent="0.25">
      <c r="A115" s="14" t="s">
        <v>638</v>
      </c>
      <c r="B115" s="14" t="s">
        <v>722</v>
      </c>
      <c r="C115" s="19">
        <v>9298</v>
      </c>
      <c r="D115" s="14" t="s">
        <v>723</v>
      </c>
      <c r="E115" s="14" t="s">
        <v>417</v>
      </c>
      <c r="F115" s="14" t="s">
        <v>1247</v>
      </c>
      <c r="G115" s="14" t="s">
        <v>152</v>
      </c>
      <c r="H115" s="70"/>
      <c r="I115" s="70" t="s">
        <v>2425</v>
      </c>
    </row>
    <row r="116" spans="1:9" x14ac:dyDescent="0.25">
      <c r="A116" s="14" t="s">
        <v>638</v>
      </c>
      <c r="B116" s="14" t="s">
        <v>722</v>
      </c>
      <c r="C116" s="19">
        <v>9298</v>
      </c>
      <c r="D116" s="14" t="s">
        <v>724</v>
      </c>
      <c r="E116" s="14" t="s">
        <v>413</v>
      </c>
      <c r="F116" s="14" t="s">
        <v>1248</v>
      </c>
      <c r="G116" s="14" t="s">
        <v>329</v>
      </c>
      <c r="H116" s="70"/>
      <c r="I116" s="70" t="s">
        <v>2425</v>
      </c>
    </row>
    <row r="117" spans="1:9" x14ac:dyDescent="0.25">
      <c r="A117" s="14" t="s">
        <v>2082</v>
      </c>
      <c r="B117" s="14" t="s">
        <v>579</v>
      </c>
      <c r="C117" s="19">
        <v>9845</v>
      </c>
      <c r="D117" s="14" t="s">
        <v>582</v>
      </c>
      <c r="E117" s="15" t="s">
        <v>413</v>
      </c>
      <c r="F117" s="14" t="s">
        <v>1172</v>
      </c>
      <c r="G117" s="15" t="s">
        <v>364</v>
      </c>
      <c r="H117" s="70"/>
      <c r="I117" s="70" t="s">
        <v>2426</v>
      </c>
    </row>
    <row r="118" spans="1:9" x14ac:dyDescent="0.25">
      <c r="A118" s="14" t="s">
        <v>702</v>
      </c>
      <c r="B118" s="14" t="s">
        <v>797</v>
      </c>
      <c r="C118" s="19">
        <v>9271</v>
      </c>
      <c r="D118" s="14" t="s">
        <v>2105</v>
      </c>
      <c r="E118" s="14" t="s">
        <v>417</v>
      </c>
      <c r="F118" s="14" t="s">
        <v>1293</v>
      </c>
      <c r="G118" s="14" t="s">
        <v>147</v>
      </c>
      <c r="H118" s="70"/>
      <c r="I118" s="70" t="s">
        <v>2426</v>
      </c>
    </row>
    <row r="119" spans="1:9" x14ac:dyDescent="0.25">
      <c r="A119" s="53" t="s">
        <v>868</v>
      </c>
      <c r="B119" s="53" t="s">
        <v>446</v>
      </c>
      <c r="C119" s="22">
        <v>9821</v>
      </c>
      <c r="D119" s="14" t="s">
        <v>456</v>
      </c>
      <c r="E119" s="15" t="s">
        <v>413</v>
      </c>
      <c r="F119" s="14" t="s">
        <v>457</v>
      </c>
      <c r="G119" s="15" t="s">
        <v>377</v>
      </c>
      <c r="H119" s="70"/>
      <c r="I119" s="70" t="s">
        <v>2426</v>
      </c>
    </row>
    <row r="120" spans="1:9" x14ac:dyDescent="0.25">
      <c r="A120" s="14" t="s">
        <v>702</v>
      </c>
      <c r="B120" s="14" t="s">
        <v>839</v>
      </c>
      <c r="C120" s="119">
        <v>9229</v>
      </c>
      <c r="D120" s="14" t="s">
        <v>840</v>
      </c>
      <c r="E120" s="14" t="s">
        <v>417</v>
      </c>
      <c r="F120" s="14" t="s">
        <v>1322</v>
      </c>
      <c r="G120" s="14" t="s">
        <v>38</v>
      </c>
      <c r="H120" s="70"/>
      <c r="I120" s="70" t="s">
        <v>2426</v>
      </c>
    </row>
    <row r="121" spans="1:9" x14ac:dyDescent="0.25">
      <c r="A121" s="14" t="s">
        <v>939</v>
      </c>
      <c r="B121" s="14" t="s">
        <v>1040</v>
      </c>
      <c r="C121" s="119">
        <v>9647</v>
      </c>
      <c r="D121" s="14" t="s">
        <v>1042</v>
      </c>
      <c r="E121" s="14" t="s">
        <v>413</v>
      </c>
      <c r="F121" s="14" t="s">
        <v>1456</v>
      </c>
      <c r="G121" s="14" t="s">
        <v>201</v>
      </c>
      <c r="H121" s="70"/>
      <c r="I121" s="70" t="s">
        <v>2426</v>
      </c>
    </row>
    <row r="122" spans="1:9" x14ac:dyDescent="0.25">
      <c r="A122" s="53" t="s">
        <v>868</v>
      </c>
      <c r="B122" s="53" t="s">
        <v>446</v>
      </c>
      <c r="C122" s="119">
        <v>9821</v>
      </c>
      <c r="D122" s="14" t="s">
        <v>447</v>
      </c>
      <c r="E122" s="14" t="s">
        <v>417</v>
      </c>
      <c r="F122" s="14" t="s">
        <v>1084</v>
      </c>
      <c r="G122" s="14" t="s">
        <v>2</v>
      </c>
      <c r="H122" s="70"/>
      <c r="I122" s="70" t="s">
        <v>2426</v>
      </c>
    </row>
    <row r="123" spans="1:9" x14ac:dyDescent="0.25">
      <c r="A123" s="53" t="s">
        <v>868</v>
      </c>
      <c r="B123" s="53" t="s">
        <v>441</v>
      </c>
      <c r="C123" s="119">
        <v>9869</v>
      </c>
      <c r="D123" s="14" t="s">
        <v>442</v>
      </c>
      <c r="E123" s="14" t="s">
        <v>413</v>
      </c>
      <c r="F123" s="14" t="s">
        <v>1081</v>
      </c>
      <c r="G123" s="14" t="s">
        <v>285</v>
      </c>
      <c r="H123" s="70"/>
      <c r="I123" s="70" t="s">
        <v>2426</v>
      </c>
    </row>
    <row r="124" spans="1:9" x14ac:dyDescent="0.25">
      <c r="A124" s="15" t="s">
        <v>702</v>
      </c>
      <c r="B124" s="15" t="s">
        <v>790</v>
      </c>
      <c r="C124" s="19">
        <v>9270</v>
      </c>
      <c r="D124" s="14" t="s">
        <v>792</v>
      </c>
      <c r="E124" s="15" t="s">
        <v>413</v>
      </c>
      <c r="F124" s="14" t="s">
        <v>1290</v>
      </c>
      <c r="G124" s="70"/>
      <c r="H124" s="70"/>
      <c r="I124" s="70" t="s">
        <v>2427</v>
      </c>
    </row>
    <row r="125" spans="1:9" x14ac:dyDescent="0.25">
      <c r="A125" s="14" t="s">
        <v>2082</v>
      </c>
      <c r="B125" s="14" t="s">
        <v>563</v>
      </c>
      <c r="C125" s="24">
        <v>9341</v>
      </c>
      <c r="D125" s="54" t="s">
        <v>564</v>
      </c>
      <c r="E125" s="54" t="s">
        <v>413</v>
      </c>
      <c r="F125" s="54" t="s">
        <v>1163</v>
      </c>
      <c r="G125" s="54" t="s">
        <v>320</v>
      </c>
      <c r="H125" s="70"/>
      <c r="I125" s="70" t="s">
        <v>2449</v>
      </c>
    </row>
    <row r="126" spans="1:9" x14ac:dyDescent="0.25">
      <c r="A126" s="53" t="s">
        <v>868</v>
      </c>
      <c r="B126" s="53" t="s">
        <v>454</v>
      </c>
      <c r="C126" s="120">
        <v>9873</v>
      </c>
      <c r="D126" s="14" t="s">
        <v>455</v>
      </c>
      <c r="E126" s="14" t="s">
        <v>417</v>
      </c>
      <c r="F126" s="14" t="s">
        <v>1088</v>
      </c>
      <c r="G126" s="14" t="s">
        <v>161</v>
      </c>
      <c r="H126" s="70"/>
      <c r="I126" s="70" t="s">
        <v>2451</v>
      </c>
    </row>
    <row r="127" spans="1:9" x14ac:dyDescent="0.25">
      <c r="A127" s="14" t="s">
        <v>2443</v>
      </c>
      <c r="B127" s="14" t="s">
        <v>836</v>
      </c>
      <c r="C127" s="121">
        <v>9225</v>
      </c>
      <c r="D127" s="14" t="s">
        <v>837</v>
      </c>
      <c r="E127" s="14" t="s">
        <v>417</v>
      </c>
      <c r="F127" s="14" t="s">
        <v>1320</v>
      </c>
      <c r="G127" s="14" t="s">
        <v>64</v>
      </c>
      <c r="H127" s="70"/>
      <c r="I127" s="70" t="s">
        <v>2451</v>
      </c>
    </row>
    <row r="128" spans="1:9" x14ac:dyDescent="0.25">
      <c r="A128" s="14" t="s">
        <v>2443</v>
      </c>
      <c r="B128" s="15" t="s">
        <v>790</v>
      </c>
      <c r="C128" s="19">
        <v>9270</v>
      </c>
      <c r="D128" s="14" t="s">
        <v>791</v>
      </c>
      <c r="E128" s="15" t="s">
        <v>413</v>
      </c>
      <c r="F128" s="14" t="s">
        <v>1268</v>
      </c>
      <c r="G128" s="70"/>
      <c r="H128" s="70"/>
      <c r="I128" s="70" t="s">
        <v>2451</v>
      </c>
    </row>
    <row r="129" spans="1:23" x14ac:dyDescent="0.25">
      <c r="A129" s="53" t="s">
        <v>2442</v>
      </c>
      <c r="B129" s="14" t="s">
        <v>747</v>
      </c>
      <c r="C129" s="124">
        <v>9212</v>
      </c>
      <c r="D129" s="14" t="s">
        <v>748</v>
      </c>
      <c r="E129" s="14" t="s">
        <v>417</v>
      </c>
      <c r="F129" s="14" t="s">
        <v>1264</v>
      </c>
      <c r="G129" s="14"/>
      <c r="H129" s="70"/>
      <c r="I129" s="70" t="s">
        <v>2451</v>
      </c>
    </row>
    <row r="130" spans="1:23" x14ac:dyDescent="0.25">
      <c r="A130" s="53" t="s">
        <v>2442</v>
      </c>
      <c r="B130" s="14" t="s">
        <v>747</v>
      </c>
      <c r="C130" s="124">
        <v>9212</v>
      </c>
      <c r="D130" s="14" t="s">
        <v>749</v>
      </c>
      <c r="E130" s="14" t="s">
        <v>413</v>
      </c>
      <c r="F130" s="14" t="s">
        <v>1265</v>
      </c>
      <c r="G130" s="70"/>
      <c r="H130" s="70"/>
      <c r="I130" s="70" t="s">
        <v>2451</v>
      </c>
    </row>
    <row r="131" spans="1:23" x14ac:dyDescent="0.25">
      <c r="A131" s="14" t="s">
        <v>2082</v>
      </c>
      <c r="B131" s="14" t="s">
        <v>2085</v>
      </c>
      <c r="C131" s="22">
        <v>9414</v>
      </c>
      <c r="D131" s="14" t="s">
        <v>491</v>
      </c>
      <c r="E131" s="14" t="s">
        <v>417</v>
      </c>
      <c r="F131" s="14" t="s">
        <v>1112</v>
      </c>
      <c r="G131" s="14" t="s">
        <v>156</v>
      </c>
      <c r="H131" s="70"/>
      <c r="I131" s="70" t="s">
        <v>2473</v>
      </c>
    </row>
    <row r="132" spans="1:23" x14ac:dyDescent="0.25">
      <c r="A132" s="14" t="s">
        <v>2082</v>
      </c>
      <c r="B132" s="14" t="s">
        <v>2085</v>
      </c>
      <c r="C132" s="22">
        <v>9414</v>
      </c>
      <c r="D132" s="14" t="s">
        <v>2204</v>
      </c>
      <c r="E132" s="14" t="s">
        <v>413</v>
      </c>
      <c r="F132" s="14" t="s">
        <v>1113</v>
      </c>
      <c r="G132" s="14" t="s">
        <v>219</v>
      </c>
      <c r="H132" s="70"/>
      <c r="I132" s="70" t="s">
        <v>2473</v>
      </c>
    </row>
    <row r="133" spans="1:23" s="7" customFormat="1" ht="13.5" customHeight="1" x14ac:dyDescent="0.25">
      <c r="A133" s="53" t="s">
        <v>2442</v>
      </c>
      <c r="B133" s="14" t="s">
        <v>2394</v>
      </c>
      <c r="C133" s="126">
        <v>9217</v>
      </c>
      <c r="D133" s="14" t="s">
        <v>2075</v>
      </c>
      <c r="E133" s="14" t="s">
        <v>413</v>
      </c>
      <c r="F133" s="14" t="s">
        <v>1340</v>
      </c>
      <c r="G133" s="14" t="s">
        <v>2172</v>
      </c>
      <c r="H133" s="70"/>
      <c r="I133" s="130" t="s">
        <v>2480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2395</v>
      </c>
      <c r="V133" s="105" t="s">
        <v>2374</v>
      </c>
      <c r="W133" s="105" t="str">
        <f>VLOOKUP(C133,'Status oficina'!$A$2:$C$208,3,FALSE)</f>
        <v>Activa</v>
      </c>
    </row>
    <row r="134" spans="1:23" x14ac:dyDescent="0.25">
      <c r="A134" s="70" t="s">
        <v>2082</v>
      </c>
      <c r="B134" s="70" t="s">
        <v>591</v>
      </c>
      <c r="C134" s="131">
        <v>9838</v>
      </c>
      <c r="D134" s="70" t="s">
        <v>592</v>
      </c>
      <c r="E134" s="70" t="s">
        <v>417</v>
      </c>
      <c r="F134" s="70" t="s">
        <v>1175</v>
      </c>
      <c r="G134" s="70" t="s">
        <v>66</v>
      </c>
      <c r="H134" s="70"/>
      <c r="I134" s="70" t="s">
        <v>2481</v>
      </c>
    </row>
    <row r="135" spans="1:23" x14ac:dyDescent="0.25">
      <c r="A135" s="70" t="s">
        <v>2082</v>
      </c>
      <c r="B135" s="70" t="s">
        <v>517</v>
      </c>
      <c r="C135" s="131">
        <v>9415</v>
      </c>
      <c r="D135" s="70" t="s">
        <v>518</v>
      </c>
      <c r="E135" s="70" t="s">
        <v>413</v>
      </c>
      <c r="F135" s="70" t="s">
        <v>1136</v>
      </c>
      <c r="G135" s="70" t="s">
        <v>157</v>
      </c>
      <c r="H135" s="70"/>
      <c r="I135" s="70" t="s">
        <v>2482</v>
      </c>
    </row>
    <row r="136" spans="1:23" x14ac:dyDescent="0.25">
      <c r="A136" s="70" t="s">
        <v>2082</v>
      </c>
      <c r="B136" s="70" t="s">
        <v>517</v>
      </c>
      <c r="C136" s="131">
        <v>9415</v>
      </c>
      <c r="D136" s="70" t="s">
        <v>519</v>
      </c>
      <c r="E136" s="70" t="s">
        <v>417</v>
      </c>
      <c r="F136" s="70" t="s">
        <v>1137</v>
      </c>
      <c r="G136" s="70" t="s">
        <v>190</v>
      </c>
      <c r="H136" s="70"/>
      <c r="I136" s="70" t="s">
        <v>2482</v>
      </c>
    </row>
    <row r="137" spans="1:23" x14ac:dyDescent="0.25">
      <c r="A137" s="14" t="s">
        <v>2443</v>
      </c>
      <c r="B137" s="14" t="s">
        <v>797</v>
      </c>
      <c r="C137" s="19">
        <v>9271</v>
      </c>
      <c r="D137" s="14" t="s">
        <v>799</v>
      </c>
      <c r="E137" s="14" t="s">
        <v>417</v>
      </c>
      <c r="F137" s="14" t="s">
        <v>1295</v>
      </c>
      <c r="G137" s="14" t="s">
        <v>228</v>
      </c>
      <c r="H137" s="70"/>
      <c r="I137" s="70" t="s">
        <v>2486</v>
      </c>
    </row>
  </sheetData>
  <autoFilter ref="A1:CG24"/>
  <conditionalFormatting sqref="F2">
    <cfRule type="duplicateValues" dxfId="525" priority="757"/>
  </conditionalFormatting>
  <conditionalFormatting sqref="F2">
    <cfRule type="duplicateValues" dxfId="524" priority="758"/>
    <cfRule type="duplicateValues" dxfId="523" priority="759"/>
  </conditionalFormatting>
  <conditionalFormatting sqref="F2">
    <cfRule type="duplicateValues" dxfId="522" priority="760"/>
  </conditionalFormatting>
  <conditionalFormatting sqref="F3">
    <cfRule type="duplicateValues" dxfId="521" priority="749"/>
  </conditionalFormatting>
  <conditionalFormatting sqref="F3">
    <cfRule type="duplicateValues" dxfId="520" priority="750"/>
    <cfRule type="duplicateValues" dxfId="519" priority="751"/>
  </conditionalFormatting>
  <conditionalFormatting sqref="F3">
    <cfRule type="duplicateValues" dxfId="518" priority="752"/>
  </conditionalFormatting>
  <conditionalFormatting sqref="F4:F6">
    <cfRule type="duplicateValues" dxfId="517" priority="741"/>
  </conditionalFormatting>
  <conditionalFormatting sqref="F4:F6">
    <cfRule type="duplicateValues" dxfId="516" priority="742"/>
    <cfRule type="duplicateValues" dxfId="515" priority="743"/>
  </conditionalFormatting>
  <conditionalFormatting sqref="F4:F6">
    <cfRule type="duplicateValues" dxfId="514" priority="744"/>
  </conditionalFormatting>
  <conditionalFormatting sqref="F7">
    <cfRule type="duplicateValues" dxfId="513" priority="733"/>
  </conditionalFormatting>
  <conditionalFormatting sqref="F7">
    <cfRule type="duplicateValues" dxfId="512" priority="734"/>
    <cfRule type="duplicateValues" dxfId="511" priority="735"/>
  </conditionalFormatting>
  <conditionalFormatting sqref="F7">
    <cfRule type="duplicateValues" dxfId="510" priority="736"/>
  </conditionalFormatting>
  <conditionalFormatting sqref="F8">
    <cfRule type="duplicateValues" dxfId="509" priority="725"/>
  </conditionalFormatting>
  <conditionalFormatting sqref="F8">
    <cfRule type="duplicateValues" dxfId="508" priority="726"/>
    <cfRule type="duplicateValues" dxfId="507" priority="727"/>
  </conditionalFormatting>
  <conditionalFormatting sqref="F8">
    <cfRule type="duplicateValues" dxfId="506" priority="728"/>
  </conditionalFormatting>
  <conditionalFormatting sqref="F9">
    <cfRule type="duplicateValues" dxfId="505" priority="717"/>
  </conditionalFormatting>
  <conditionalFormatting sqref="F9">
    <cfRule type="duplicateValues" dxfId="504" priority="718"/>
    <cfRule type="duplicateValues" dxfId="503" priority="719"/>
  </conditionalFormatting>
  <conditionalFormatting sqref="F9">
    <cfRule type="duplicateValues" dxfId="502" priority="720"/>
  </conditionalFormatting>
  <conditionalFormatting sqref="F10">
    <cfRule type="duplicateValues" dxfId="501" priority="709"/>
  </conditionalFormatting>
  <conditionalFormatting sqref="F10">
    <cfRule type="duplicateValues" dxfId="500" priority="710"/>
    <cfRule type="duplicateValues" dxfId="499" priority="711"/>
  </conditionalFormatting>
  <conditionalFormatting sqref="F10">
    <cfRule type="duplicateValues" dxfId="498" priority="712"/>
  </conditionalFormatting>
  <conditionalFormatting sqref="F11">
    <cfRule type="duplicateValues" dxfId="497" priority="701"/>
  </conditionalFormatting>
  <conditionalFormatting sqref="F11">
    <cfRule type="duplicateValues" dxfId="496" priority="702"/>
    <cfRule type="duplicateValues" dxfId="495" priority="703"/>
  </conditionalFormatting>
  <conditionalFormatting sqref="F11">
    <cfRule type="duplicateValues" dxfId="494" priority="704"/>
  </conditionalFormatting>
  <conditionalFormatting sqref="F12">
    <cfRule type="duplicateValues" dxfId="493" priority="693"/>
  </conditionalFormatting>
  <conditionalFormatting sqref="F12">
    <cfRule type="duplicateValues" dxfId="492" priority="694"/>
    <cfRule type="duplicateValues" dxfId="491" priority="695"/>
  </conditionalFormatting>
  <conditionalFormatting sqref="F12">
    <cfRule type="duplicateValues" dxfId="490" priority="696"/>
  </conditionalFormatting>
  <conditionalFormatting sqref="F13">
    <cfRule type="duplicateValues" dxfId="489" priority="685"/>
  </conditionalFormatting>
  <conditionalFormatting sqref="F13">
    <cfRule type="duplicateValues" dxfId="488" priority="686"/>
    <cfRule type="duplicateValues" dxfId="487" priority="687"/>
  </conditionalFormatting>
  <conditionalFormatting sqref="F13">
    <cfRule type="duplicateValues" dxfId="486" priority="688"/>
  </conditionalFormatting>
  <conditionalFormatting sqref="F14">
    <cfRule type="duplicateValues" dxfId="485" priority="677"/>
  </conditionalFormatting>
  <conditionalFormatting sqref="F14">
    <cfRule type="duplicateValues" dxfId="484" priority="678"/>
    <cfRule type="duplicateValues" dxfId="483" priority="679"/>
  </conditionalFormatting>
  <conditionalFormatting sqref="F14">
    <cfRule type="duplicateValues" dxfId="482" priority="680"/>
  </conditionalFormatting>
  <conditionalFormatting sqref="F15">
    <cfRule type="duplicateValues" dxfId="481" priority="669"/>
  </conditionalFormatting>
  <conditionalFormatting sqref="F15">
    <cfRule type="duplicateValues" dxfId="480" priority="670"/>
    <cfRule type="duplicateValues" dxfId="479" priority="671"/>
  </conditionalFormatting>
  <conditionalFormatting sqref="F15">
    <cfRule type="duplicateValues" dxfId="478" priority="672"/>
  </conditionalFormatting>
  <conditionalFormatting sqref="F16">
    <cfRule type="duplicateValues" dxfId="477" priority="661"/>
  </conditionalFormatting>
  <conditionalFormatting sqref="F16">
    <cfRule type="duplicateValues" dxfId="476" priority="662"/>
    <cfRule type="duplicateValues" dxfId="475" priority="663"/>
  </conditionalFormatting>
  <conditionalFormatting sqref="F16">
    <cfRule type="duplicateValues" dxfId="474" priority="664"/>
  </conditionalFormatting>
  <conditionalFormatting sqref="F17">
    <cfRule type="duplicateValues" dxfId="473" priority="653"/>
  </conditionalFormatting>
  <conditionalFormatting sqref="F17">
    <cfRule type="duplicateValues" dxfId="472" priority="654"/>
    <cfRule type="duplicateValues" dxfId="471" priority="655"/>
  </conditionalFormatting>
  <conditionalFormatting sqref="F17">
    <cfRule type="duplicateValues" dxfId="470" priority="656"/>
  </conditionalFormatting>
  <conditionalFormatting sqref="F18">
    <cfRule type="duplicateValues" dxfId="469" priority="645"/>
  </conditionalFormatting>
  <conditionalFormatting sqref="F18">
    <cfRule type="duplicateValues" dxfId="468" priority="646"/>
    <cfRule type="duplicateValues" dxfId="467" priority="647"/>
  </conditionalFormatting>
  <conditionalFormatting sqref="F18">
    <cfRule type="duplicateValues" dxfId="466" priority="648"/>
  </conditionalFormatting>
  <conditionalFormatting sqref="F19">
    <cfRule type="duplicateValues" dxfId="465" priority="637"/>
  </conditionalFormatting>
  <conditionalFormatting sqref="F19">
    <cfRule type="duplicateValues" dxfId="464" priority="638"/>
    <cfRule type="duplicateValues" dxfId="463" priority="639"/>
  </conditionalFormatting>
  <conditionalFormatting sqref="F19">
    <cfRule type="duplicateValues" dxfId="462" priority="640"/>
  </conditionalFormatting>
  <conditionalFormatting sqref="F20">
    <cfRule type="duplicateValues" dxfId="461" priority="629"/>
  </conditionalFormatting>
  <conditionalFormatting sqref="F20">
    <cfRule type="duplicateValues" dxfId="460" priority="630"/>
    <cfRule type="duplicateValues" dxfId="459" priority="631"/>
  </conditionalFormatting>
  <conditionalFormatting sqref="F20">
    <cfRule type="duplicateValues" dxfId="458" priority="632"/>
  </conditionalFormatting>
  <conditionalFormatting sqref="F21">
    <cfRule type="duplicateValues" dxfId="457" priority="621"/>
  </conditionalFormatting>
  <conditionalFormatting sqref="F21">
    <cfRule type="duplicateValues" dxfId="456" priority="622"/>
    <cfRule type="duplicateValues" dxfId="455" priority="623"/>
  </conditionalFormatting>
  <conditionalFormatting sqref="F21">
    <cfRule type="duplicateValues" dxfId="454" priority="624"/>
  </conditionalFormatting>
  <conditionalFormatting sqref="F22:F23">
    <cfRule type="duplicateValues" dxfId="453" priority="613"/>
  </conditionalFormatting>
  <conditionalFormatting sqref="F22:F23">
    <cfRule type="duplicateValues" dxfId="452" priority="614"/>
    <cfRule type="duplicateValues" dxfId="451" priority="615"/>
  </conditionalFormatting>
  <conditionalFormatting sqref="F22:F23">
    <cfRule type="duplicateValues" dxfId="450" priority="616"/>
  </conditionalFormatting>
  <conditionalFormatting sqref="F24">
    <cfRule type="duplicateValues" dxfId="449" priority="605"/>
  </conditionalFormatting>
  <conditionalFormatting sqref="F24">
    <cfRule type="duplicateValues" dxfId="448" priority="606"/>
    <cfRule type="duplicateValues" dxfId="447" priority="607"/>
  </conditionalFormatting>
  <conditionalFormatting sqref="F24">
    <cfRule type="duplicateValues" dxfId="446" priority="608"/>
  </conditionalFormatting>
  <conditionalFormatting sqref="F26">
    <cfRule type="duplicateValues" dxfId="445" priority="597"/>
  </conditionalFormatting>
  <conditionalFormatting sqref="F26">
    <cfRule type="duplicateValues" dxfId="444" priority="598"/>
    <cfRule type="duplicateValues" dxfId="443" priority="599"/>
  </conditionalFormatting>
  <conditionalFormatting sqref="F26">
    <cfRule type="duplicateValues" dxfId="442" priority="600"/>
  </conditionalFormatting>
  <conditionalFormatting sqref="F27">
    <cfRule type="duplicateValues" dxfId="441" priority="592"/>
  </conditionalFormatting>
  <conditionalFormatting sqref="F27">
    <cfRule type="duplicateValues" dxfId="440" priority="593"/>
    <cfRule type="duplicateValues" dxfId="439" priority="594"/>
  </conditionalFormatting>
  <conditionalFormatting sqref="F27">
    <cfRule type="duplicateValues" dxfId="438" priority="595"/>
  </conditionalFormatting>
  <conditionalFormatting sqref="F28">
    <cfRule type="duplicateValues" dxfId="437" priority="586"/>
  </conditionalFormatting>
  <conditionalFormatting sqref="F28">
    <cfRule type="duplicateValues" dxfId="436" priority="587"/>
    <cfRule type="duplicateValues" dxfId="435" priority="588"/>
  </conditionalFormatting>
  <conditionalFormatting sqref="F28">
    <cfRule type="duplicateValues" dxfId="434" priority="589"/>
  </conditionalFormatting>
  <conditionalFormatting sqref="F29:F30">
    <cfRule type="duplicateValues" dxfId="433" priority="580"/>
  </conditionalFormatting>
  <conditionalFormatting sqref="F29:F30">
    <cfRule type="duplicateValues" dxfId="432" priority="581"/>
    <cfRule type="duplicateValues" dxfId="431" priority="582"/>
  </conditionalFormatting>
  <conditionalFormatting sqref="F29:F30">
    <cfRule type="duplicateValues" dxfId="430" priority="583"/>
  </conditionalFormatting>
  <conditionalFormatting sqref="F31">
    <cfRule type="duplicateValues" dxfId="429" priority="574"/>
  </conditionalFormatting>
  <conditionalFormatting sqref="F31">
    <cfRule type="duplicateValues" dxfId="428" priority="575"/>
    <cfRule type="duplicateValues" dxfId="427" priority="576"/>
  </conditionalFormatting>
  <conditionalFormatting sqref="F31">
    <cfRule type="duplicateValues" dxfId="426" priority="577"/>
  </conditionalFormatting>
  <conditionalFormatting sqref="F32:F33">
    <cfRule type="duplicateValues" dxfId="425" priority="568"/>
  </conditionalFormatting>
  <conditionalFormatting sqref="F32:F33">
    <cfRule type="duplicateValues" dxfId="424" priority="569"/>
    <cfRule type="duplicateValues" dxfId="423" priority="570"/>
  </conditionalFormatting>
  <conditionalFormatting sqref="F32:F33">
    <cfRule type="duplicateValues" dxfId="422" priority="571"/>
  </conditionalFormatting>
  <conditionalFormatting sqref="F34">
    <cfRule type="duplicateValues" dxfId="421" priority="562"/>
  </conditionalFormatting>
  <conditionalFormatting sqref="F34">
    <cfRule type="duplicateValues" dxfId="420" priority="563"/>
    <cfRule type="duplicateValues" dxfId="419" priority="564"/>
  </conditionalFormatting>
  <conditionalFormatting sqref="F34">
    <cfRule type="duplicateValues" dxfId="418" priority="565"/>
  </conditionalFormatting>
  <conditionalFormatting sqref="F35">
    <cfRule type="duplicateValues" dxfId="417" priority="556"/>
  </conditionalFormatting>
  <conditionalFormatting sqref="F35">
    <cfRule type="duplicateValues" dxfId="416" priority="557"/>
    <cfRule type="duplicateValues" dxfId="415" priority="558"/>
  </conditionalFormatting>
  <conditionalFormatting sqref="F35">
    <cfRule type="duplicateValues" dxfId="414" priority="559"/>
  </conditionalFormatting>
  <conditionalFormatting sqref="F36">
    <cfRule type="duplicateValues" dxfId="413" priority="550"/>
  </conditionalFormatting>
  <conditionalFormatting sqref="F36">
    <cfRule type="duplicateValues" dxfId="412" priority="551"/>
    <cfRule type="duplicateValues" dxfId="411" priority="552"/>
  </conditionalFormatting>
  <conditionalFormatting sqref="F36">
    <cfRule type="duplicateValues" dxfId="410" priority="553"/>
  </conditionalFormatting>
  <conditionalFormatting sqref="F37">
    <cfRule type="duplicateValues" dxfId="409" priority="543"/>
  </conditionalFormatting>
  <conditionalFormatting sqref="F37">
    <cfRule type="duplicateValues" dxfId="408" priority="544"/>
    <cfRule type="duplicateValues" dxfId="407" priority="545"/>
  </conditionalFormatting>
  <conditionalFormatting sqref="F37">
    <cfRule type="duplicateValues" dxfId="406" priority="546"/>
  </conditionalFormatting>
  <conditionalFormatting sqref="F38">
    <cfRule type="duplicateValues" dxfId="405" priority="537"/>
  </conditionalFormatting>
  <conditionalFormatting sqref="F38">
    <cfRule type="duplicateValues" dxfId="404" priority="538"/>
    <cfRule type="duplicateValues" dxfId="403" priority="539"/>
  </conditionalFormatting>
  <conditionalFormatting sqref="F38">
    <cfRule type="duplicateValues" dxfId="402" priority="540"/>
  </conditionalFormatting>
  <conditionalFormatting sqref="F39">
    <cfRule type="duplicateValues" dxfId="401" priority="531"/>
  </conditionalFormatting>
  <conditionalFormatting sqref="F39">
    <cfRule type="duplicateValues" dxfId="400" priority="532"/>
    <cfRule type="duplicateValues" dxfId="399" priority="533"/>
  </conditionalFormatting>
  <conditionalFormatting sqref="F39">
    <cfRule type="duplicateValues" dxfId="398" priority="534"/>
  </conditionalFormatting>
  <conditionalFormatting sqref="F41">
    <cfRule type="duplicateValues" dxfId="397" priority="525"/>
  </conditionalFormatting>
  <conditionalFormatting sqref="F41">
    <cfRule type="duplicateValues" dxfId="396" priority="526"/>
    <cfRule type="duplicateValues" dxfId="395" priority="527"/>
  </conditionalFormatting>
  <conditionalFormatting sqref="F41">
    <cfRule type="duplicateValues" dxfId="394" priority="528"/>
  </conditionalFormatting>
  <conditionalFormatting sqref="F42">
    <cfRule type="duplicateValues" dxfId="393" priority="519"/>
  </conditionalFormatting>
  <conditionalFormatting sqref="F42">
    <cfRule type="duplicateValues" dxfId="392" priority="520"/>
    <cfRule type="duplicateValues" dxfId="391" priority="521"/>
  </conditionalFormatting>
  <conditionalFormatting sqref="F42">
    <cfRule type="duplicateValues" dxfId="390" priority="522"/>
  </conditionalFormatting>
  <conditionalFormatting sqref="F43">
    <cfRule type="duplicateValues" dxfId="389" priority="513"/>
  </conditionalFormatting>
  <conditionalFormatting sqref="F43">
    <cfRule type="duplicateValues" dxfId="388" priority="514"/>
    <cfRule type="duplicateValues" dxfId="387" priority="515"/>
  </conditionalFormatting>
  <conditionalFormatting sqref="F43">
    <cfRule type="duplicateValues" dxfId="386" priority="516"/>
  </conditionalFormatting>
  <conditionalFormatting sqref="F44">
    <cfRule type="duplicateValues" dxfId="385" priority="507"/>
  </conditionalFormatting>
  <conditionalFormatting sqref="F44">
    <cfRule type="duplicateValues" dxfId="384" priority="508"/>
    <cfRule type="duplicateValues" dxfId="383" priority="509"/>
  </conditionalFormatting>
  <conditionalFormatting sqref="F44">
    <cfRule type="duplicateValues" dxfId="382" priority="510"/>
  </conditionalFormatting>
  <conditionalFormatting sqref="F45">
    <cfRule type="duplicateValues" dxfId="381" priority="499"/>
  </conditionalFormatting>
  <conditionalFormatting sqref="F45">
    <cfRule type="duplicateValues" dxfId="380" priority="500"/>
    <cfRule type="duplicateValues" dxfId="379" priority="501"/>
  </conditionalFormatting>
  <conditionalFormatting sqref="F45">
    <cfRule type="duplicateValues" dxfId="378" priority="502"/>
  </conditionalFormatting>
  <conditionalFormatting sqref="F46">
    <cfRule type="duplicateValues" dxfId="377" priority="493"/>
  </conditionalFormatting>
  <conditionalFormatting sqref="F46">
    <cfRule type="duplicateValues" dxfId="376" priority="494"/>
    <cfRule type="duplicateValues" dxfId="375" priority="495"/>
  </conditionalFormatting>
  <conditionalFormatting sqref="F46">
    <cfRule type="duplicateValues" dxfId="374" priority="496"/>
  </conditionalFormatting>
  <conditionalFormatting sqref="F47">
    <cfRule type="duplicateValues" dxfId="373" priority="487"/>
  </conditionalFormatting>
  <conditionalFormatting sqref="F47">
    <cfRule type="duplicateValues" dxfId="372" priority="488"/>
    <cfRule type="duplicateValues" dxfId="371" priority="489"/>
  </conditionalFormatting>
  <conditionalFormatting sqref="F47">
    <cfRule type="duplicateValues" dxfId="370" priority="490"/>
  </conditionalFormatting>
  <conditionalFormatting sqref="F48">
    <cfRule type="duplicateValues" dxfId="369" priority="481"/>
  </conditionalFormatting>
  <conditionalFormatting sqref="F48">
    <cfRule type="duplicateValues" dxfId="368" priority="482"/>
    <cfRule type="duplicateValues" dxfId="367" priority="483"/>
  </conditionalFormatting>
  <conditionalFormatting sqref="F48">
    <cfRule type="duplicateValues" dxfId="366" priority="484"/>
  </conditionalFormatting>
  <conditionalFormatting sqref="F49">
    <cfRule type="duplicateValues" dxfId="365" priority="475"/>
  </conditionalFormatting>
  <conditionalFormatting sqref="F49">
    <cfRule type="duplicateValues" dxfId="364" priority="476"/>
    <cfRule type="duplicateValues" dxfId="363" priority="477"/>
  </conditionalFormatting>
  <conditionalFormatting sqref="F49">
    <cfRule type="duplicateValues" dxfId="362" priority="478"/>
  </conditionalFormatting>
  <conditionalFormatting sqref="F50">
    <cfRule type="duplicateValues" dxfId="361" priority="469"/>
  </conditionalFormatting>
  <conditionalFormatting sqref="F50">
    <cfRule type="duplicateValues" dxfId="360" priority="470"/>
    <cfRule type="duplicateValues" dxfId="359" priority="471"/>
  </conditionalFormatting>
  <conditionalFormatting sqref="F50">
    <cfRule type="duplicateValues" dxfId="358" priority="472"/>
  </conditionalFormatting>
  <conditionalFormatting sqref="F51">
    <cfRule type="duplicateValues" dxfId="357" priority="461"/>
  </conditionalFormatting>
  <conditionalFormatting sqref="F51">
    <cfRule type="duplicateValues" dxfId="356" priority="462"/>
    <cfRule type="duplicateValues" dxfId="355" priority="463"/>
  </conditionalFormatting>
  <conditionalFormatting sqref="F51">
    <cfRule type="duplicateValues" dxfId="354" priority="464"/>
  </conditionalFormatting>
  <conditionalFormatting sqref="F52">
    <cfRule type="duplicateValues" dxfId="353" priority="455"/>
  </conditionalFormatting>
  <conditionalFormatting sqref="F52">
    <cfRule type="duplicateValues" dxfId="352" priority="456"/>
    <cfRule type="duplicateValues" dxfId="351" priority="457"/>
  </conditionalFormatting>
  <conditionalFormatting sqref="F52">
    <cfRule type="duplicateValues" dxfId="350" priority="458"/>
  </conditionalFormatting>
  <conditionalFormatting sqref="F53">
    <cfRule type="duplicateValues" dxfId="349" priority="449"/>
  </conditionalFormatting>
  <conditionalFormatting sqref="F53">
    <cfRule type="duplicateValues" dxfId="348" priority="450"/>
    <cfRule type="duplicateValues" dxfId="347" priority="451"/>
  </conditionalFormatting>
  <conditionalFormatting sqref="F53">
    <cfRule type="duplicateValues" dxfId="346" priority="452"/>
  </conditionalFormatting>
  <conditionalFormatting sqref="F54">
    <cfRule type="duplicateValues" dxfId="345" priority="443"/>
  </conditionalFormatting>
  <conditionalFormatting sqref="F54">
    <cfRule type="duplicateValues" dxfId="344" priority="444"/>
    <cfRule type="duplicateValues" dxfId="343" priority="445"/>
  </conditionalFormatting>
  <conditionalFormatting sqref="F55">
    <cfRule type="duplicateValues" dxfId="342" priority="438"/>
  </conditionalFormatting>
  <conditionalFormatting sqref="F55">
    <cfRule type="duplicateValues" dxfId="341" priority="439"/>
    <cfRule type="duplicateValues" dxfId="340" priority="440"/>
  </conditionalFormatting>
  <conditionalFormatting sqref="F55">
    <cfRule type="duplicateValues" dxfId="339" priority="441"/>
  </conditionalFormatting>
  <conditionalFormatting sqref="F57">
    <cfRule type="duplicateValues" dxfId="338" priority="432"/>
  </conditionalFormatting>
  <conditionalFormatting sqref="F57">
    <cfRule type="duplicateValues" dxfId="337" priority="433"/>
    <cfRule type="duplicateValues" dxfId="336" priority="434"/>
  </conditionalFormatting>
  <conditionalFormatting sqref="F57">
    <cfRule type="duplicateValues" dxfId="335" priority="435"/>
  </conditionalFormatting>
  <conditionalFormatting sqref="F58">
    <cfRule type="duplicateValues" dxfId="334" priority="426"/>
  </conditionalFormatting>
  <conditionalFormatting sqref="F58">
    <cfRule type="duplicateValues" dxfId="333" priority="427"/>
    <cfRule type="duplicateValues" dxfId="332" priority="428"/>
  </conditionalFormatting>
  <conditionalFormatting sqref="F58">
    <cfRule type="duplicateValues" dxfId="331" priority="429"/>
  </conditionalFormatting>
  <conditionalFormatting sqref="F59:F61">
    <cfRule type="duplicateValues" dxfId="330" priority="419"/>
  </conditionalFormatting>
  <conditionalFormatting sqref="F59:F61">
    <cfRule type="duplicateValues" dxfId="329" priority="420"/>
    <cfRule type="duplicateValues" dxfId="328" priority="421"/>
  </conditionalFormatting>
  <conditionalFormatting sqref="F59:F61">
    <cfRule type="duplicateValues" dxfId="327" priority="422"/>
  </conditionalFormatting>
  <conditionalFormatting sqref="F62">
    <cfRule type="duplicateValues" dxfId="326" priority="412"/>
  </conditionalFormatting>
  <conditionalFormatting sqref="F62">
    <cfRule type="duplicateValues" dxfId="325" priority="413"/>
    <cfRule type="duplicateValues" dxfId="324" priority="414"/>
  </conditionalFormatting>
  <conditionalFormatting sqref="F62">
    <cfRule type="duplicateValues" dxfId="323" priority="415"/>
  </conditionalFormatting>
  <conditionalFormatting sqref="F63">
    <cfRule type="duplicateValues" dxfId="322" priority="405"/>
  </conditionalFormatting>
  <conditionalFormatting sqref="F63">
    <cfRule type="duplicateValues" dxfId="321" priority="406"/>
    <cfRule type="duplicateValues" dxfId="320" priority="407"/>
  </conditionalFormatting>
  <conditionalFormatting sqref="F63">
    <cfRule type="duplicateValues" dxfId="319" priority="408"/>
  </conditionalFormatting>
  <conditionalFormatting sqref="F64">
    <cfRule type="duplicateValues" dxfId="318" priority="398"/>
  </conditionalFormatting>
  <conditionalFormatting sqref="F64">
    <cfRule type="duplicateValues" dxfId="317" priority="399"/>
    <cfRule type="duplicateValues" dxfId="316" priority="400"/>
  </conditionalFormatting>
  <conditionalFormatting sqref="F64">
    <cfRule type="duplicateValues" dxfId="315" priority="401"/>
  </conditionalFormatting>
  <conditionalFormatting sqref="F65">
    <cfRule type="duplicateValues" dxfId="314" priority="391"/>
  </conditionalFormatting>
  <conditionalFormatting sqref="F65">
    <cfRule type="duplicateValues" dxfId="313" priority="392"/>
    <cfRule type="duplicateValues" dxfId="312" priority="393"/>
  </conditionalFormatting>
  <conditionalFormatting sqref="F65">
    <cfRule type="duplicateValues" dxfId="311" priority="394"/>
  </conditionalFormatting>
  <conditionalFormatting sqref="F66">
    <cfRule type="duplicateValues" dxfId="310" priority="384"/>
  </conditionalFormatting>
  <conditionalFormatting sqref="F66">
    <cfRule type="duplicateValues" dxfId="309" priority="385"/>
    <cfRule type="duplicateValues" dxfId="308" priority="386"/>
  </conditionalFormatting>
  <conditionalFormatting sqref="F66">
    <cfRule type="duplicateValues" dxfId="307" priority="387"/>
  </conditionalFormatting>
  <conditionalFormatting sqref="F67">
    <cfRule type="duplicateValues" dxfId="306" priority="377"/>
  </conditionalFormatting>
  <conditionalFormatting sqref="F67">
    <cfRule type="duplicateValues" dxfId="305" priority="378"/>
    <cfRule type="duplicateValues" dxfId="304" priority="379"/>
  </conditionalFormatting>
  <conditionalFormatting sqref="F67">
    <cfRule type="duplicateValues" dxfId="303" priority="380"/>
  </conditionalFormatting>
  <conditionalFormatting sqref="F68">
    <cfRule type="duplicateValues" dxfId="302" priority="370"/>
  </conditionalFormatting>
  <conditionalFormatting sqref="F68">
    <cfRule type="duplicateValues" dxfId="301" priority="371"/>
    <cfRule type="duplicateValues" dxfId="300" priority="372"/>
  </conditionalFormatting>
  <conditionalFormatting sqref="F68">
    <cfRule type="duplicateValues" dxfId="299" priority="373"/>
  </conditionalFormatting>
  <conditionalFormatting sqref="F69">
    <cfRule type="duplicateValues" dxfId="298" priority="363"/>
  </conditionalFormatting>
  <conditionalFormatting sqref="F69">
    <cfRule type="duplicateValues" dxfId="297" priority="364"/>
    <cfRule type="duplicateValues" dxfId="296" priority="365"/>
  </conditionalFormatting>
  <conditionalFormatting sqref="F69">
    <cfRule type="duplicateValues" dxfId="295" priority="366"/>
  </conditionalFormatting>
  <conditionalFormatting sqref="F70">
    <cfRule type="duplicateValues" dxfId="294" priority="356"/>
  </conditionalFormatting>
  <conditionalFormatting sqref="F70">
    <cfRule type="duplicateValues" dxfId="293" priority="357"/>
    <cfRule type="duplicateValues" dxfId="292" priority="358"/>
  </conditionalFormatting>
  <conditionalFormatting sqref="F70">
    <cfRule type="duplicateValues" dxfId="291" priority="359"/>
  </conditionalFormatting>
  <conditionalFormatting sqref="F71">
    <cfRule type="duplicateValues" dxfId="290" priority="349"/>
  </conditionalFormatting>
  <conditionalFormatting sqref="F71">
    <cfRule type="duplicateValues" dxfId="289" priority="350"/>
    <cfRule type="duplicateValues" dxfId="288" priority="351"/>
  </conditionalFormatting>
  <conditionalFormatting sqref="F71">
    <cfRule type="duplicateValues" dxfId="287" priority="352"/>
  </conditionalFormatting>
  <conditionalFormatting sqref="F72">
    <cfRule type="duplicateValues" dxfId="286" priority="337"/>
  </conditionalFormatting>
  <conditionalFormatting sqref="F72">
    <cfRule type="duplicateValues" dxfId="285" priority="338"/>
    <cfRule type="duplicateValues" dxfId="284" priority="339"/>
  </conditionalFormatting>
  <conditionalFormatting sqref="F72">
    <cfRule type="duplicateValues" dxfId="283" priority="340"/>
  </conditionalFormatting>
  <conditionalFormatting sqref="F73">
    <cfRule type="duplicateValues" dxfId="282" priority="330"/>
  </conditionalFormatting>
  <conditionalFormatting sqref="F73">
    <cfRule type="duplicateValues" dxfId="281" priority="331"/>
    <cfRule type="duplicateValues" dxfId="280" priority="332"/>
  </conditionalFormatting>
  <conditionalFormatting sqref="F73">
    <cfRule type="duplicateValues" dxfId="279" priority="333"/>
  </conditionalFormatting>
  <conditionalFormatting sqref="F74">
    <cfRule type="duplicateValues" dxfId="278" priority="323"/>
  </conditionalFormatting>
  <conditionalFormatting sqref="F74">
    <cfRule type="duplicateValues" dxfId="277" priority="324"/>
    <cfRule type="duplicateValues" dxfId="276" priority="325"/>
  </conditionalFormatting>
  <conditionalFormatting sqref="F74">
    <cfRule type="duplicateValues" dxfId="275" priority="326"/>
  </conditionalFormatting>
  <conditionalFormatting sqref="F75">
    <cfRule type="duplicateValues" dxfId="274" priority="316"/>
  </conditionalFormatting>
  <conditionalFormatting sqref="F75">
    <cfRule type="duplicateValues" dxfId="273" priority="317"/>
    <cfRule type="duplicateValues" dxfId="272" priority="318"/>
  </conditionalFormatting>
  <conditionalFormatting sqref="F75">
    <cfRule type="duplicateValues" dxfId="271" priority="319"/>
  </conditionalFormatting>
  <conditionalFormatting sqref="F76">
    <cfRule type="duplicateValues" dxfId="270" priority="309"/>
  </conditionalFormatting>
  <conditionalFormatting sqref="F76">
    <cfRule type="duplicateValues" dxfId="269" priority="310"/>
    <cfRule type="duplicateValues" dxfId="268" priority="311"/>
  </conditionalFormatting>
  <conditionalFormatting sqref="F76">
    <cfRule type="duplicateValues" dxfId="267" priority="312"/>
  </conditionalFormatting>
  <conditionalFormatting sqref="F77">
    <cfRule type="duplicateValues" dxfId="266" priority="302"/>
  </conditionalFormatting>
  <conditionalFormatting sqref="F77">
    <cfRule type="duplicateValues" dxfId="265" priority="303"/>
    <cfRule type="duplicateValues" dxfId="264" priority="304"/>
  </conditionalFormatting>
  <conditionalFormatting sqref="F77">
    <cfRule type="duplicateValues" dxfId="263" priority="305"/>
  </conditionalFormatting>
  <conditionalFormatting sqref="F78">
    <cfRule type="duplicateValues" dxfId="262" priority="295"/>
  </conditionalFormatting>
  <conditionalFormatting sqref="F78">
    <cfRule type="duplicateValues" dxfId="261" priority="296"/>
    <cfRule type="duplicateValues" dxfId="260" priority="297"/>
  </conditionalFormatting>
  <conditionalFormatting sqref="F78">
    <cfRule type="duplicateValues" dxfId="259" priority="298"/>
  </conditionalFormatting>
  <conditionalFormatting sqref="F79">
    <cfRule type="duplicateValues" dxfId="258" priority="288"/>
  </conditionalFormatting>
  <conditionalFormatting sqref="F79">
    <cfRule type="duplicateValues" dxfId="257" priority="289"/>
    <cfRule type="duplicateValues" dxfId="256" priority="290"/>
  </conditionalFormatting>
  <conditionalFormatting sqref="F79">
    <cfRule type="duplicateValues" dxfId="255" priority="291"/>
  </conditionalFormatting>
  <conditionalFormatting sqref="F80">
    <cfRule type="duplicateValues" dxfId="254" priority="281"/>
  </conditionalFormatting>
  <conditionalFormatting sqref="F80">
    <cfRule type="duplicateValues" dxfId="253" priority="282"/>
    <cfRule type="duplicateValues" dxfId="252" priority="283"/>
  </conditionalFormatting>
  <conditionalFormatting sqref="F80">
    <cfRule type="duplicateValues" dxfId="251" priority="284"/>
  </conditionalFormatting>
  <conditionalFormatting sqref="F81">
    <cfRule type="duplicateValues" dxfId="250" priority="267"/>
  </conditionalFormatting>
  <conditionalFormatting sqref="F81">
    <cfRule type="duplicateValues" dxfId="249" priority="268"/>
    <cfRule type="duplicateValues" dxfId="248" priority="269"/>
  </conditionalFormatting>
  <conditionalFormatting sqref="F81">
    <cfRule type="duplicateValues" dxfId="247" priority="270"/>
  </conditionalFormatting>
  <conditionalFormatting sqref="F82">
    <cfRule type="duplicateValues" dxfId="246" priority="260"/>
  </conditionalFormatting>
  <conditionalFormatting sqref="F82">
    <cfRule type="duplicateValues" dxfId="245" priority="261"/>
    <cfRule type="duplicateValues" dxfId="244" priority="262"/>
  </conditionalFormatting>
  <conditionalFormatting sqref="F82">
    <cfRule type="duplicateValues" dxfId="243" priority="263"/>
  </conditionalFormatting>
  <conditionalFormatting sqref="F83">
    <cfRule type="duplicateValues" dxfId="242" priority="253"/>
  </conditionalFormatting>
  <conditionalFormatting sqref="F83">
    <cfRule type="duplicateValues" dxfId="241" priority="254"/>
    <cfRule type="duplicateValues" dxfId="240" priority="255"/>
  </conditionalFormatting>
  <conditionalFormatting sqref="F83">
    <cfRule type="duplicateValues" dxfId="239" priority="256"/>
  </conditionalFormatting>
  <conditionalFormatting sqref="F84">
    <cfRule type="duplicateValues" dxfId="238" priority="246"/>
  </conditionalFormatting>
  <conditionalFormatting sqref="F84">
    <cfRule type="duplicateValues" dxfId="237" priority="247"/>
    <cfRule type="duplicateValues" dxfId="236" priority="248"/>
  </conditionalFormatting>
  <conditionalFormatting sqref="F84">
    <cfRule type="duplicateValues" dxfId="235" priority="249"/>
  </conditionalFormatting>
  <conditionalFormatting sqref="F86">
    <cfRule type="duplicateValues" dxfId="234" priority="236"/>
  </conditionalFormatting>
  <conditionalFormatting sqref="F86">
    <cfRule type="duplicateValues" dxfId="233" priority="237"/>
    <cfRule type="duplicateValues" dxfId="232" priority="238"/>
  </conditionalFormatting>
  <conditionalFormatting sqref="F86">
    <cfRule type="duplicateValues" dxfId="231" priority="239"/>
  </conditionalFormatting>
  <conditionalFormatting sqref="F87">
    <cfRule type="duplicateValues" dxfId="230" priority="229"/>
  </conditionalFormatting>
  <conditionalFormatting sqref="F87">
    <cfRule type="duplicateValues" dxfId="229" priority="230"/>
    <cfRule type="duplicateValues" dxfId="228" priority="231"/>
  </conditionalFormatting>
  <conditionalFormatting sqref="F87">
    <cfRule type="duplicateValues" dxfId="227" priority="232"/>
  </conditionalFormatting>
  <conditionalFormatting sqref="F88">
    <cfRule type="duplicateValues" dxfId="226" priority="222"/>
  </conditionalFormatting>
  <conditionalFormatting sqref="F88">
    <cfRule type="duplicateValues" dxfId="225" priority="223"/>
    <cfRule type="duplicateValues" dxfId="224" priority="224"/>
  </conditionalFormatting>
  <conditionalFormatting sqref="F88">
    <cfRule type="duplicateValues" dxfId="223" priority="225"/>
  </conditionalFormatting>
  <conditionalFormatting sqref="F89">
    <cfRule type="duplicateValues" dxfId="222" priority="215"/>
  </conditionalFormatting>
  <conditionalFormatting sqref="F89">
    <cfRule type="duplicateValues" dxfId="221" priority="216"/>
    <cfRule type="duplicateValues" dxfId="220" priority="217"/>
  </conditionalFormatting>
  <conditionalFormatting sqref="F89">
    <cfRule type="duplicateValues" dxfId="219" priority="218"/>
  </conditionalFormatting>
  <conditionalFormatting sqref="F90">
    <cfRule type="duplicateValues" dxfId="218" priority="208"/>
  </conditionalFormatting>
  <conditionalFormatting sqref="F90">
    <cfRule type="duplicateValues" dxfId="217" priority="209"/>
    <cfRule type="duplicateValues" dxfId="216" priority="210"/>
  </conditionalFormatting>
  <conditionalFormatting sqref="F90">
    <cfRule type="duplicateValues" dxfId="215" priority="211"/>
  </conditionalFormatting>
  <conditionalFormatting sqref="F91">
    <cfRule type="duplicateValues" dxfId="214" priority="201"/>
  </conditionalFormatting>
  <conditionalFormatting sqref="F91">
    <cfRule type="duplicateValues" dxfId="213" priority="202"/>
    <cfRule type="duplicateValues" dxfId="212" priority="203"/>
  </conditionalFormatting>
  <conditionalFormatting sqref="F91">
    <cfRule type="duplicateValues" dxfId="211" priority="204"/>
  </conditionalFormatting>
  <conditionalFormatting sqref="F92">
    <cfRule type="duplicateValues" dxfId="210" priority="194"/>
  </conditionalFormatting>
  <conditionalFormatting sqref="F92">
    <cfRule type="duplicateValues" dxfId="209" priority="195"/>
    <cfRule type="duplicateValues" dxfId="208" priority="196"/>
  </conditionalFormatting>
  <conditionalFormatting sqref="F92">
    <cfRule type="duplicateValues" dxfId="207" priority="197"/>
  </conditionalFormatting>
  <conditionalFormatting sqref="F93">
    <cfRule type="duplicateValues" dxfId="206" priority="187"/>
  </conditionalFormatting>
  <conditionalFormatting sqref="F93">
    <cfRule type="duplicateValues" dxfId="205" priority="188"/>
    <cfRule type="duplicateValues" dxfId="204" priority="189"/>
  </conditionalFormatting>
  <conditionalFormatting sqref="F93">
    <cfRule type="duplicateValues" dxfId="203" priority="190"/>
  </conditionalFormatting>
  <conditionalFormatting sqref="F94">
    <cfRule type="duplicateValues" dxfId="202" priority="180"/>
  </conditionalFormatting>
  <conditionalFormatting sqref="F94">
    <cfRule type="duplicateValues" dxfId="201" priority="181"/>
    <cfRule type="duplicateValues" dxfId="200" priority="182"/>
  </conditionalFormatting>
  <conditionalFormatting sqref="F94">
    <cfRule type="duplicateValues" dxfId="199" priority="183"/>
  </conditionalFormatting>
  <conditionalFormatting sqref="F95">
    <cfRule type="duplicateValues" dxfId="198" priority="173"/>
  </conditionalFormatting>
  <conditionalFormatting sqref="F95">
    <cfRule type="duplicateValues" dxfId="197" priority="174"/>
    <cfRule type="duplicateValues" dxfId="196" priority="175"/>
  </conditionalFormatting>
  <conditionalFormatting sqref="F95">
    <cfRule type="duplicateValues" dxfId="195" priority="176"/>
  </conditionalFormatting>
  <conditionalFormatting sqref="F96">
    <cfRule type="duplicateValues" dxfId="194" priority="166"/>
    <cfRule type="duplicateValues" dxfId="193" priority="167"/>
  </conditionalFormatting>
  <conditionalFormatting sqref="F96">
    <cfRule type="duplicateValues" dxfId="192" priority="168"/>
  </conditionalFormatting>
  <conditionalFormatting sqref="F96">
    <cfRule type="duplicateValues" dxfId="191" priority="169"/>
  </conditionalFormatting>
  <conditionalFormatting sqref="F97">
    <cfRule type="duplicateValues" dxfId="190" priority="161"/>
    <cfRule type="duplicateValues" dxfId="189" priority="162"/>
  </conditionalFormatting>
  <conditionalFormatting sqref="F97">
    <cfRule type="duplicateValues" dxfId="188" priority="163"/>
  </conditionalFormatting>
  <conditionalFormatting sqref="F97">
    <cfRule type="duplicateValues" dxfId="187" priority="164"/>
  </conditionalFormatting>
  <conditionalFormatting sqref="F98">
    <cfRule type="duplicateValues" dxfId="186" priority="156"/>
    <cfRule type="duplicateValues" dxfId="185" priority="157"/>
  </conditionalFormatting>
  <conditionalFormatting sqref="F98">
    <cfRule type="duplicateValues" dxfId="184" priority="158"/>
  </conditionalFormatting>
  <conditionalFormatting sqref="F98">
    <cfRule type="duplicateValues" dxfId="183" priority="159"/>
  </conditionalFormatting>
  <conditionalFormatting sqref="F99">
    <cfRule type="duplicateValues" dxfId="182" priority="151"/>
    <cfRule type="duplicateValues" dxfId="181" priority="152"/>
  </conditionalFormatting>
  <conditionalFormatting sqref="F99">
    <cfRule type="duplicateValues" dxfId="180" priority="153"/>
  </conditionalFormatting>
  <conditionalFormatting sqref="F99">
    <cfRule type="duplicateValues" dxfId="179" priority="154"/>
  </conditionalFormatting>
  <conditionalFormatting sqref="F100">
    <cfRule type="duplicateValues" dxfId="178" priority="146"/>
    <cfRule type="duplicateValues" dxfId="177" priority="147"/>
  </conditionalFormatting>
  <conditionalFormatting sqref="F100">
    <cfRule type="duplicateValues" dxfId="176" priority="148"/>
  </conditionalFormatting>
  <conditionalFormatting sqref="F100">
    <cfRule type="duplicateValues" dxfId="175" priority="149"/>
  </conditionalFormatting>
  <conditionalFormatting sqref="F101">
    <cfRule type="duplicateValues" dxfId="174" priority="141"/>
    <cfRule type="duplicateValues" dxfId="173" priority="142"/>
  </conditionalFormatting>
  <conditionalFormatting sqref="F101">
    <cfRule type="duplicateValues" dxfId="172" priority="143"/>
  </conditionalFormatting>
  <conditionalFormatting sqref="F101">
    <cfRule type="duplicateValues" dxfId="171" priority="144"/>
  </conditionalFormatting>
  <conditionalFormatting sqref="F102">
    <cfRule type="duplicateValues" dxfId="170" priority="136"/>
    <cfRule type="duplicateValues" dxfId="169" priority="137"/>
  </conditionalFormatting>
  <conditionalFormatting sqref="F102">
    <cfRule type="duplicateValues" dxfId="168" priority="138"/>
  </conditionalFormatting>
  <conditionalFormatting sqref="F102">
    <cfRule type="duplicateValues" dxfId="167" priority="139"/>
  </conditionalFormatting>
  <conditionalFormatting sqref="F103">
    <cfRule type="duplicateValues" dxfId="166" priority="130"/>
    <cfRule type="duplicateValues" dxfId="165" priority="131"/>
  </conditionalFormatting>
  <conditionalFormatting sqref="F103">
    <cfRule type="duplicateValues" dxfId="164" priority="132"/>
  </conditionalFormatting>
  <conditionalFormatting sqref="F103">
    <cfRule type="duplicateValues" dxfId="163" priority="133"/>
  </conditionalFormatting>
  <conditionalFormatting sqref="F104 F106">
    <cfRule type="duplicateValues" dxfId="162" priority="124"/>
    <cfRule type="duplicateValues" dxfId="161" priority="125"/>
  </conditionalFormatting>
  <conditionalFormatting sqref="F104 F106">
    <cfRule type="duplicateValues" dxfId="160" priority="126"/>
  </conditionalFormatting>
  <conditionalFormatting sqref="F107:F108">
    <cfRule type="duplicateValues" dxfId="159" priority="118"/>
    <cfRule type="duplicateValues" dxfId="158" priority="119"/>
  </conditionalFormatting>
  <conditionalFormatting sqref="F107:F108">
    <cfRule type="duplicateValues" dxfId="157" priority="120"/>
  </conditionalFormatting>
  <conditionalFormatting sqref="F107:F108">
    <cfRule type="duplicateValues" dxfId="156" priority="121"/>
  </conditionalFormatting>
  <conditionalFormatting sqref="F109">
    <cfRule type="duplicateValues" dxfId="155" priority="112"/>
    <cfRule type="duplicateValues" dxfId="154" priority="113"/>
  </conditionalFormatting>
  <conditionalFormatting sqref="F109">
    <cfRule type="duplicateValues" dxfId="153" priority="114"/>
  </conditionalFormatting>
  <conditionalFormatting sqref="F109">
    <cfRule type="duplicateValues" dxfId="152" priority="115"/>
  </conditionalFormatting>
  <conditionalFormatting sqref="F110">
    <cfRule type="duplicateValues" dxfId="151" priority="106"/>
    <cfRule type="duplicateValues" dxfId="150" priority="107"/>
  </conditionalFormatting>
  <conditionalFormatting sqref="F110">
    <cfRule type="duplicateValues" dxfId="149" priority="108"/>
  </conditionalFormatting>
  <conditionalFormatting sqref="F110">
    <cfRule type="duplicateValues" dxfId="148" priority="109"/>
  </conditionalFormatting>
  <conditionalFormatting sqref="F111">
    <cfRule type="duplicateValues" dxfId="147" priority="100"/>
    <cfRule type="duplicateValues" dxfId="146" priority="101"/>
  </conditionalFormatting>
  <conditionalFormatting sqref="F111">
    <cfRule type="duplicateValues" dxfId="145" priority="102"/>
  </conditionalFormatting>
  <conditionalFormatting sqref="F111">
    <cfRule type="duplicateValues" dxfId="144" priority="103"/>
  </conditionalFormatting>
  <conditionalFormatting sqref="F112">
    <cfRule type="duplicateValues" dxfId="143" priority="96"/>
  </conditionalFormatting>
  <conditionalFormatting sqref="F112">
    <cfRule type="duplicateValues" dxfId="142" priority="93"/>
  </conditionalFormatting>
  <conditionalFormatting sqref="F112">
    <cfRule type="duplicateValues" dxfId="141" priority="94"/>
    <cfRule type="duplicateValues" dxfId="140" priority="95"/>
  </conditionalFormatting>
  <conditionalFormatting sqref="F113">
    <cfRule type="duplicateValues" dxfId="139" priority="91"/>
  </conditionalFormatting>
  <conditionalFormatting sqref="F113">
    <cfRule type="duplicateValues" dxfId="138" priority="88"/>
  </conditionalFormatting>
  <conditionalFormatting sqref="F113">
    <cfRule type="duplicateValues" dxfId="137" priority="89"/>
    <cfRule type="duplicateValues" dxfId="136" priority="90"/>
  </conditionalFormatting>
  <conditionalFormatting sqref="F114">
    <cfRule type="duplicateValues" dxfId="135" priority="84"/>
    <cfRule type="duplicateValues" dxfId="134" priority="85"/>
  </conditionalFormatting>
  <conditionalFormatting sqref="F114">
    <cfRule type="duplicateValues" dxfId="133" priority="86"/>
  </conditionalFormatting>
  <conditionalFormatting sqref="F114">
    <cfRule type="duplicateValues" dxfId="132" priority="87"/>
  </conditionalFormatting>
  <conditionalFormatting sqref="F115">
    <cfRule type="duplicateValues" dxfId="131" priority="80"/>
    <cfRule type="duplicateValues" dxfId="130" priority="81"/>
  </conditionalFormatting>
  <conditionalFormatting sqref="F115">
    <cfRule type="duplicateValues" dxfId="129" priority="82"/>
  </conditionalFormatting>
  <conditionalFormatting sqref="F115">
    <cfRule type="duplicateValues" dxfId="128" priority="83"/>
  </conditionalFormatting>
  <conditionalFormatting sqref="F116">
    <cfRule type="duplicateValues" dxfId="127" priority="76"/>
    <cfRule type="duplicateValues" dxfId="126" priority="77"/>
  </conditionalFormatting>
  <conditionalFormatting sqref="F116">
    <cfRule type="duplicateValues" dxfId="125" priority="78"/>
  </conditionalFormatting>
  <conditionalFormatting sqref="F116">
    <cfRule type="duplicateValues" dxfId="124" priority="79"/>
  </conditionalFormatting>
  <conditionalFormatting sqref="F117">
    <cfRule type="duplicateValues" dxfId="123" priority="72"/>
    <cfRule type="duplicateValues" dxfId="122" priority="73"/>
  </conditionalFormatting>
  <conditionalFormatting sqref="F117">
    <cfRule type="duplicateValues" dxfId="121" priority="74"/>
  </conditionalFormatting>
  <conditionalFormatting sqref="F117">
    <cfRule type="duplicateValues" dxfId="120" priority="75"/>
  </conditionalFormatting>
  <conditionalFormatting sqref="F118">
    <cfRule type="duplicateValues" dxfId="119" priority="68"/>
    <cfRule type="duplicateValues" dxfId="118" priority="69"/>
  </conditionalFormatting>
  <conditionalFormatting sqref="F118">
    <cfRule type="duplicateValues" dxfId="117" priority="70"/>
  </conditionalFormatting>
  <conditionalFormatting sqref="F118">
    <cfRule type="duplicateValues" dxfId="116" priority="71"/>
  </conditionalFormatting>
  <conditionalFormatting sqref="F119">
    <cfRule type="duplicateValues" dxfId="115" priority="64"/>
    <cfRule type="duplicateValues" dxfId="114" priority="65"/>
  </conditionalFormatting>
  <conditionalFormatting sqref="F119">
    <cfRule type="duplicateValues" dxfId="113" priority="66"/>
  </conditionalFormatting>
  <conditionalFormatting sqref="F119">
    <cfRule type="duplicateValues" dxfId="112" priority="67"/>
  </conditionalFormatting>
  <conditionalFormatting sqref="F120">
    <cfRule type="duplicateValues" dxfId="111" priority="60"/>
    <cfRule type="duplicateValues" dxfId="110" priority="61"/>
  </conditionalFormatting>
  <conditionalFormatting sqref="F120">
    <cfRule type="duplicateValues" dxfId="109" priority="62"/>
  </conditionalFormatting>
  <conditionalFormatting sqref="F120">
    <cfRule type="duplicateValues" dxfId="108" priority="63"/>
  </conditionalFormatting>
  <conditionalFormatting sqref="F121">
    <cfRule type="duplicateValues" dxfId="107" priority="52"/>
    <cfRule type="duplicateValues" dxfId="106" priority="53"/>
  </conditionalFormatting>
  <conditionalFormatting sqref="F121">
    <cfRule type="duplicateValues" dxfId="105" priority="54"/>
  </conditionalFormatting>
  <conditionalFormatting sqref="F121">
    <cfRule type="duplicateValues" dxfId="104" priority="55"/>
  </conditionalFormatting>
  <conditionalFormatting sqref="F122">
    <cfRule type="duplicateValues" dxfId="103" priority="48"/>
    <cfRule type="duplicateValues" dxfId="102" priority="49"/>
  </conditionalFormatting>
  <conditionalFormatting sqref="F122">
    <cfRule type="duplicateValues" dxfId="101" priority="50"/>
  </conditionalFormatting>
  <conditionalFormatting sqref="F122">
    <cfRule type="duplicateValues" dxfId="100" priority="51"/>
  </conditionalFormatting>
  <conditionalFormatting sqref="F123">
    <cfRule type="duplicateValues" dxfId="99" priority="44"/>
    <cfRule type="duplicateValues" dxfId="98" priority="45"/>
  </conditionalFormatting>
  <conditionalFormatting sqref="F123">
    <cfRule type="duplicateValues" dxfId="97" priority="46"/>
  </conditionalFormatting>
  <conditionalFormatting sqref="F123">
    <cfRule type="duplicateValues" dxfId="96" priority="47"/>
  </conditionalFormatting>
  <conditionalFormatting sqref="F124">
    <cfRule type="duplicateValues" dxfId="95" priority="40"/>
    <cfRule type="duplicateValues" dxfId="94" priority="41"/>
  </conditionalFormatting>
  <conditionalFormatting sqref="F124">
    <cfRule type="duplicateValues" dxfId="93" priority="42"/>
  </conditionalFormatting>
  <conditionalFormatting sqref="F124">
    <cfRule type="duplicateValues" dxfId="92" priority="43"/>
  </conditionalFormatting>
  <conditionalFormatting sqref="F125">
    <cfRule type="duplicateValues" dxfId="91" priority="36"/>
    <cfRule type="duplicateValues" dxfId="90" priority="37"/>
  </conditionalFormatting>
  <conditionalFormatting sqref="F125">
    <cfRule type="duplicateValues" dxfId="89" priority="38"/>
  </conditionalFormatting>
  <conditionalFormatting sqref="F125">
    <cfRule type="duplicateValues" dxfId="88" priority="39"/>
  </conditionalFormatting>
  <conditionalFormatting sqref="F126">
    <cfRule type="duplicateValues" dxfId="87" priority="32"/>
    <cfRule type="duplicateValues" dxfId="86" priority="33"/>
  </conditionalFormatting>
  <conditionalFormatting sqref="F126">
    <cfRule type="duplicateValues" dxfId="85" priority="34"/>
  </conditionalFormatting>
  <conditionalFormatting sqref="F126">
    <cfRule type="duplicateValues" dxfId="84" priority="35"/>
  </conditionalFormatting>
  <conditionalFormatting sqref="F127">
    <cfRule type="duplicateValues" dxfId="83" priority="28"/>
    <cfRule type="duplicateValues" dxfId="82" priority="29"/>
  </conditionalFormatting>
  <conditionalFormatting sqref="F127">
    <cfRule type="duplicateValues" dxfId="81" priority="30"/>
  </conditionalFormatting>
  <conditionalFormatting sqref="F127">
    <cfRule type="duplicateValues" dxfId="80" priority="31"/>
  </conditionalFormatting>
  <conditionalFormatting sqref="F128">
    <cfRule type="duplicateValues" dxfId="79" priority="24"/>
    <cfRule type="duplicateValues" dxfId="78" priority="25"/>
  </conditionalFormatting>
  <conditionalFormatting sqref="F128">
    <cfRule type="duplicateValues" dxfId="77" priority="26"/>
  </conditionalFormatting>
  <conditionalFormatting sqref="F128">
    <cfRule type="duplicateValues" dxfId="76" priority="27"/>
  </conditionalFormatting>
  <conditionalFormatting sqref="F129">
    <cfRule type="duplicateValues" dxfId="75" priority="21"/>
  </conditionalFormatting>
  <conditionalFormatting sqref="F129">
    <cfRule type="duplicateValues" dxfId="74" priority="22"/>
    <cfRule type="duplicateValues" dxfId="73" priority="23"/>
  </conditionalFormatting>
  <conditionalFormatting sqref="F130">
    <cfRule type="duplicateValues" dxfId="72" priority="18"/>
  </conditionalFormatting>
  <conditionalFormatting sqref="F130">
    <cfRule type="duplicateValues" dxfId="71" priority="19"/>
    <cfRule type="duplicateValues" dxfId="70" priority="20"/>
  </conditionalFormatting>
  <conditionalFormatting sqref="F131">
    <cfRule type="duplicateValues" dxfId="69" priority="14"/>
    <cfRule type="duplicateValues" dxfId="68" priority="15"/>
  </conditionalFormatting>
  <conditionalFormatting sqref="F131">
    <cfRule type="duplicateValues" dxfId="67" priority="16"/>
  </conditionalFormatting>
  <conditionalFormatting sqref="F131">
    <cfRule type="duplicateValues" dxfId="66" priority="17"/>
  </conditionalFormatting>
  <conditionalFormatting sqref="F132">
    <cfRule type="duplicateValues" dxfId="65" priority="10"/>
    <cfRule type="duplicateValues" dxfId="64" priority="11"/>
  </conditionalFormatting>
  <conditionalFormatting sqref="F132">
    <cfRule type="duplicateValues" dxfId="63" priority="12"/>
  </conditionalFormatting>
  <conditionalFormatting sqref="F132">
    <cfRule type="duplicateValues" dxfId="62" priority="13"/>
  </conditionalFormatting>
  <conditionalFormatting sqref="I133:T133">
    <cfRule type="cellIs" dxfId="61" priority="5" operator="equal">
      <formula>0</formula>
    </cfRule>
  </conditionalFormatting>
  <conditionalFormatting sqref="F133">
    <cfRule type="duplicateValues" dxfId="60" priority="6"/>
    <cfRule type="duplicateValues" dxfId="59" priority="7"/>
  </conditionalFormatting>
  <conditionalFormatting sqref="F133">
    <cfRule type="duplicateValues" dxfId="58" priority="8"/>
  </conditionalFormatting>
  <conditionalFormatting sqref="F133">
    <cfRule type="duplicateValues" dxfId="57" priority="9"/>
  </conditionalFormatting>
  <conditionalFormatting sqref="F137">
    <cfRule type="duplicateValues" dxfId="56" priority="1"/>
    <cfRule type="duplicateValues" dxfId="55" priority="2"/>
  </conditionalFormatting>
  <conditionalFormatting sqref="F137">
    <cfRule type="duplicateValues" dxfId="54" priority="3"/>
  </conditionalFormatting>
  <conditionalFormatting sqref="F137">
    <cfRule type="duplicateValues" dxfId="5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2026-06-01T12:52:04Z</dcterms:modified>
</cp:coreProperties>
</file>