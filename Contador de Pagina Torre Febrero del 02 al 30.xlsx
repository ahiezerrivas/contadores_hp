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d$\Users\c606409\Documents\Respaldo Siffs\11.- PREVENTIVO TORRE- REGION\Contadores de Pagina Mensual\2026\2.-Febrer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U19" i="1" l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M177" i="3"/>
  <c r="S176" i="3"/>
  <c r="M176" i="3"/>
  <c r="S178" i="3"/>
  <c r="O177" i="3"/>
  <c r="O178" i="3"/>
  <c r="U178" i="3"/>
  <c r="M178" i="3"/>
  <c r="Q177" i="3"/>
  <c r="U177" i="3" s="1"/>
  <c r="O176" i="3"/>
  <c r="S177" i="3"/>
  <c r="Q176" i="3"/>
  <c r="U176" i="3" s="1"/>
  <c r="U27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0" i="1" l="1"/>
  <c r="U2" i="1" l="1"/>
  <c r="U6" i="1" l="1"/>
  <c r="U26" i="1" l="1"/>
  <c r="U3" i="1" l="1"/>
  <c r="U4" i="1"/>
  <c r="U5" i="1"/>
  <c r="U7" i="1"/>
  <c r="U8" i="1"/>
  <c r="U10" i="1"/>
  <c r="U14" i="1"/>
  <c r="U15" i="1"/>
  <c r="U31" i="1"/>
  <c r="U11" i="1"/>
  <c r="U16" i="1"/>
  <c r="U32" i="1"/>
  <c r="U34" i="1"/>
  <c r="U33" i="1"/>
  <c r="U18" i="1"/>
  <c r="U20" i="1"/>
  <c r="U21" i="1"/>
  <c r="U22" i="1"/>
  <c r="U23" i="1"/>
  <c r="U24" i="1"/>
  <c r="U25" i="1"/>
  <c r="U9" i="1"/>
  <c r="U35" i="1"/>
  <c r="U36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<sst xmlns="http://schemas.openxmlformats.org/spreadsheetml/2006/main" count="2069" uniqueCount="1209">
  <si>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</si>
  <si>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</si>
  <si>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</si>
  <si>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</si>
  <si>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</si>
  <si>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</si>
  <si>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</si>
  <si>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</si>
  <si>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</si>
  <si>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</si>
  <si>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</si>
  <si>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</si>
  <si>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</si>
  <si>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</si>
  <si>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</si>
  <si>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</si>
  <si>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</si>
  <si>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</si>
  <si>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</si>
  <si>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</si>
  <si>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</si>
  <si>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</si>
  <si>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</si>
  <si>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</si>
  <si>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</si>
  <si>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</si>
  <si>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</si>
  <si>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</si>
  <si>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</si>
  <si>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</si>
  <si>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</si>
  <si>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</si>
  <si>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</si>
  <si>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</si>
  <si>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</si>
  <si>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</si>
  <si>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</si>
  <si>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</si>
  <si>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</si>
  <si>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</si>
  <si>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</si>
  <si>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</si>
  <si>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</si>
  <si>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</si>
  <si>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</si>
  <si>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</si>
  <si>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</si>
  <si>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</si>
  <si>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</si>
  <si>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</si>
  <si>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</si>
  <si>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</si>
  <si>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</si>
  <si>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</si>
  <si>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</si>
  <si>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</si>
  <si>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</si>
  <si>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</si>
  <si>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</si>
  <si>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</si>
  <si>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</si>
  <si>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</si>
  <si>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</si>
  <si>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</si>
  <si>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</si>
  <si>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</si>
  <si>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</si>
  <si>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</si>
  <si>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</si>
  <si>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</si>
  <si>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</si>
  <si>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10.0.32.99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</si>
  <si>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</si>
  <si>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</si>
  <si>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</si>
  <si>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</si>
  <si>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</si>
  <si>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</si>
  <si>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</si>
  <si>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</si>
  <si>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</si>
  <si>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</si>
  <si>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</si>
  <si>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</si>
  <si>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</si>
  <si>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</si>
  <si>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</si>
  <si>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</si>
  <si>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</si>
  <si>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</si>
  <si>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</si>
  <si>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</si>
  <si>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</si>
  <si>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</si>
  <si>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</si>
  <si>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</si>
  <si>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</si>
  <si>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</si>
  <si>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</si>
  <si>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</si>
  <si>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</si>
  <si>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</si>
  <si>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</si>
  <si>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</si>
  <si>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</si>
  <si>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</si>
  <si>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</si>
  <si>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</si>
  <si>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</si>
  <si>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</si>
  <si>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</si>
  <si>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</si>
  <si>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</si>
  <si>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</si>
  <si>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</si>
  <si>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</si>
  <si>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</si>
  <si>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</si>
  <si>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</si>
  <si>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</si>
  <si>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</si>
  <si>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</si>
  <si>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</si>
  <si>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</si>
  <si>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</si>
  <si>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</si>
  <si>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</si>
  <si>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</si>
  <si>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</si>
  <si>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</si>
  <si>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</si>
  <si>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</si>
  <si>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</si>
  <si>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</si>
  <si>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</si>
  <si>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</si>
  <si>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</si>
  <si>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</si>
  <si>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</si>
  <si>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</si>
  <si>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</si>
  <si>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</si>
  <si>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</si>
  <si>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</si>
  <si>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</si>
  <si>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</si>
  <si>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</si>
  <si>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</si>
  <si>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</si>
  <si>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</si>
  <si>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</si>
  <si>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</si>
  <si>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</si>
  <si>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</si>
  <si>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</si>
  <si>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</si>
  <si>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</si>
  <si>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</si>
  <si>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</si>
  <si>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</si>
  <si>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</si>
  <si>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</si>
  <si>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</si>
  <si>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</si>
  <si>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</si>
  <si>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</si>
  <si>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</si>
  <si>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</si>
  <si>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</si>
  <si>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</si>
  <si>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</si>
  <si>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</si>
  <si>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</si>
  <si>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</si>
  <si>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</si>
  <si>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</si>
  <si>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</si>
  <si>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</si>
  <si>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</si>
  <si>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</si>
  <si>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</si>
  <si>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</si>
  <si>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</si>
  <si>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</si>
  <si>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</si>
  <si>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</si>
  <si>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</si>
  <si>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</si>
  <si>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TBMP32M2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</si>
  <si>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</si>
  <si>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</si>
  <si>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</si>
  <si>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</si>
  <si>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</si>
  <si>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</si>
  <si>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</si>
  <si>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</si>
  <si>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</si>
  <si>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</si>
  <si>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</si>
  <si>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</si>
  <si>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</si>
  <si>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</si>
  <si>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</si>
  <si>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</si>
  <si>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</si>
  <si>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</si>
  <si>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</si>
  <si>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</si>
  <si>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</si>
  <si>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</si>
  <si>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</si>
  <si>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</si>
  <si>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</si>
  <si>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</si>
  <si>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</si>
  <si>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</si>
  <si>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</si>
  <si>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</si>
  <si>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</si>
  <si>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</si>
  <si>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</si>
  <si>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</si>
  <si>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</si>
  <si>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</si>
  <si>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</si>
  <si>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</si>
  <si>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</si>
  <si>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</si>
  <si>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</si>
  <si>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</si>
  <si>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</si>
  <si>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</si>
  <si>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</si>
  <si>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</si>
  <si>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</si>
  <si>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</si>
  <si>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</si>
  <si>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</si>
  <si>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</si>
  <si>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</si>
  <si>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</si>
  <si>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</si>
  <si>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</si>
  <si>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</si>
  <si>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</si>
  <si>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</si>
  <si>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</si>
  <si>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</si>
  <si>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</si>
  <si>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</si>
  <si>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</si>
  <si>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</si>
  <si>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</si>
  <si>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</si>
  <si>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</si>
  <si>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</si>
  <si>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</si>
  <si>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</si>
  <si>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</si>
  <si>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</si>
  <si>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</si>
  <si>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</si>
  <si>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</si>
  <si>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</si>
  <si>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</si>
  <si>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</si>
  <si>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</si>
  <si>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</si>
  <si>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</si>
  <si>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</si>
  <si>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</si>
  <si>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</si>
  <si>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</si>
  <si>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</si>
  <si>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</si>
  <si>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</si>
  <si>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</si>
  <si>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</si>
  <si>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</si>
  <si>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</si>
  <si>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</si>
  <si>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</si>
  <si>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</si>
  <si>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</si>
  <si>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TBMP31L1</t>
  </si>
  <si>
    <t>10.0.31.200</t>
  </si>
  <si>
    <t>Equipos con contadores en 0</t>
  </si>
  <si>
    <t>Coord. Impresión y Distrib. de Valores</t>
  </si>
  <si>
    <t>FRU83010</t>
  </si>
  <si>
    <t>HRN01672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</si>
  <si>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</si>
  <si>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</si>
  <si>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</si>
  <si>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</si>
  <si>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</si>
  <si>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</si>
  <si>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</si>
  <si>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</si>
  <si>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</si>
  <si>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</si>
  <si>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</si>
  <si>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</si>
  <si>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</si>
  <si>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</si>
  <si>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</si>
  <si>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</si>
  <si>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</si>
  <si>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</si>
  <si>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</si>
  <si>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</si>
  <si>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</si>
  <si>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</si>
  <si>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</si>
  <si>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</si>
  <si>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</si>
  <si>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</si>
  <si>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</si>
  <si>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</si>
  <si>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</si>
  <si>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</si>
  <si>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</si>
  <si>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</si>
  <si>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</si>
  <si>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</si>
  <si>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</si>
  <si>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</si>
  <si>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</si>
  <si>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</si>
  <si>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</si>
  <si>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</si>
  <si>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</si>
  <si>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</si>
  <si>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</si>
  <si>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</si>
  <si>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</si>
  <si>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</si>
  <si>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</si>
  <si>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</si>
  <si>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</si>
  <si>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</si>
  <si>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</si>
  <si>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</si>
  <si>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</si>
  <si>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</si>
  <si>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</si>
  <si>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</si>
  <si>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</si>
  <si>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</si>
  <si>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</si>
  <si>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</si>
  <si>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</si>
  <si>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</si>
  <si>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</si>
  <si>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</si>
  <si>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</si>
  <si>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</si>
  <si>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</si>
  <si>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</si>
  <si>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</si>
  <si>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</si>
  <si>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</si>
  <si>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</si>
  <si>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</si>
  <si>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</si>
  <si>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</si>
  <si>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</si>
  <si>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</si>
  <si>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</si>
  <si>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</si>
  <si>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</si>
  <si>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</si>
  <si>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</si>
  <si>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</si>
  <si>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</si>
  <si>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</si>
  <si>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</si>
  <si>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</si>
  <si>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</si>
  <si>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</si>
  <si>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</si>
  <si>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</si>
  <si>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</si>
  <si>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</si>
  <si>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</si>
  <si>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</si>
  <si>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</si>
  <si>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</si>
  <si>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</si>
  <si>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</si>
  <si>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</si>
  <si>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</si>
  <si>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</si>
  <si>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</si>
  <si>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</si>
  <si>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</si>
  <si>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</si>
  <si>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</si>
  <si>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</si>
  <si>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</si>
  <si>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</si>
  <si>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</si>
  <si>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</si>
  <si>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</si>
  <si>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</si>
  <si>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</si>
  <si>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</si>
  <si>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</si>
  <si>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</si>
  <si>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</si>
  <si>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</si>
  <si>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</si>
  <si>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</si>
  <si>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</si>
  <si>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</si>
  <si>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</si>
  <si>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</si>
  <si>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</si>
  <si>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</si>
  <si>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</si>
  <si>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</si>
  <si>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</si>
  <si>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</si>
  <si>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</si>
  <si>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</si>
  <si>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</si>
  <si>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</si>
  <si>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</si>
  <si>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</si>
  <si>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</si>
  <si>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</si>
  <si>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</si>
  <si>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</si>
  <si>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</si>
  <si>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</si>
  <si>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</si>
  <si>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</si>
  <si>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</si>
  <si>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</si>
  <si>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</si>
  <si>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</si>
  <si>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</si>
  <si>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</si>
  <si>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</si>
  <si>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</si>
  <si>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</si>
  <si>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</si>
  <si>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</si>
  <si>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</si>
  <si>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</si>
  <si>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</si>
  <si>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</si>
  <si>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</si>
  <si>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</si>
  <si>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</si>
  <si>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</si>
  <si>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</si>
  <si>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</si>
  <si>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</si>
  <si>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</si>
  <si>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</si>
  <si>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</si>
  <si>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</si>
  <si>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</si>
  <si>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</si>
  <si>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</si>
  <si>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</si>
  <si>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</si>
  <si>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</si>
  <si>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</si>
  <si>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</si>
  <si>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</si>
  <si>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</si>
  <si>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</si>
  <si>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</si>
  <si>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</si>
  <si>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</si>
  <si>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</si>
  <si>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</si>
  <si>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</si>
  <si>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</si>
  <si>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</si>
  <si>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</si>
  <si>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</si>
  <si>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</si>
  <si>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</si>
  <si>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</si>
  <si>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</si>
  <si>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</si>
  <si>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</si>
  <si>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</si>
  <si>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</si>
  <si>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</si>
  <si>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</si>
  <si>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</si>
  <si>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</si>
  <si>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</si>
  <si>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</si>
  <si>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</si>
  <si>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</si>
  <si>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</si>
  <si>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</si>
  <si>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</si>
  <si>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</si>
  <si>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</si>
  <si>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</si>
  <si>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</si>
  <si>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</si>
  <si>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</si>
  <si>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</si>
  <si>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</si>
  <si>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</si>
  <si>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</si>
  <si>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</si>
  <si>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</si>
  <si>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</si>
  <si>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</si>
  <si>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</si>
  <si>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</si>
  <si>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</si>
  <si>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</si>
  <si>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</si>
  <si>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</si>
  <si>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</si>
  <si>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</si>
  <si>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</si>
  <si>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</si>
  <si>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</si>
  <si>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</si>
  <si>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</si>
  <si>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</si>
  <si>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</si>
  <si>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</si>
  <si>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</si>
  <si>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</si>
  <si>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</si>
  <si>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</si>
  <si>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</si>
  <si>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</si>
  <si>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</si>
  <si>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</si>
  <si>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</si>
  <si>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</si>
  <si>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</si>
  <si>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</si>
  <si>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</si>
  <si>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</si>
  <si>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</si>
  <si>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</si>
  <si>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</si>
  <si>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</si>
  <si>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</si>
  <si>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</si>
  <si>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</si>
  <si>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</si>
  <si>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</si>
  <si>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</si>
  <si>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</si>
  <si>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</si>
  <si>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</si>
  <si>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</si>
  <si>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</si>
  <si>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</si>
  <si>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</si>
  <si>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</si>
  <si>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</si>
  <si>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</si>
  <si>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</si>
  <si>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</si>
  <si>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</si>
  <si>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</si>
  <si>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</si>
  <si>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</si>
  <si>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</si>
  <si>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</si>
  <si>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</si>
  <si>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</si>
  <si>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</si>
  <si>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</si>
  <si>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</si>
  <si>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</si>
  <si>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</si>
  <si>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</si>
  <si>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</si>
  <si>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</si>
  <si>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</si>
  <si>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</si>
  <si>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</si>
  <si>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</si>
  <si>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</si>
  <si>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</si>
  <si>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</si>
  <si>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</si>
  <si>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</si>
  <si>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</si>
  <si>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</si>
  <si>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</si>
  <si>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</si>
  <si>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</si>
  <si>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</si>
  <si>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</si>
  <si>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</si>
  <si>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</si>
  <si>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</si>
  <si>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</si>
  <si>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</si>
  <si>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</si>
  <si>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</si>
  <si>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</si>
  <si>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</si>
  <si>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</si>
  <si>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</si>
  <si>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</si>
  <si>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</si>
  <si>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</si>
  <si>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</si>
  <si>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</si>
  <si>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</si>
  <si>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</si>
  <si>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</si>
  <si>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</si>
  <si>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</si>
  <si>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</si>
  <si>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</si>
  <si>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</si>
  <si>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</si>
  <si>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</si>
  <si>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</si>
  <si>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</si>
  <si>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</si>
  <si>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</si>
  <si>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</si>
  <si>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</si>
  <si>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</si>
  <si>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</si>
  <si>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</si>
  <si>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</si>
  <si>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</si>
  <si>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</si>
  <si>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</si>
  <si>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</si>
  <si>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</si>
  <si>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</si>
  <si>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</si>
  <si>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</si>
  <si>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</si>
  <si>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</si>
  <si>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</si>
  <si>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</si>
  <si>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</si>
  <si>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</si>
  <si>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</si>
  <si>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</si>
  <si>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</si>
  <si>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</si>
  <si>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</si>
  <si>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</si>
  <si>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</si>
  <si>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</si>
  <si>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</si>
  <si>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</si>
  <si>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</si>
  <si>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</si>
  <si>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</si>
  <si>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</si>
  <si>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</si>
  <si>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</si>
  <si>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</si>
  <si>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</si>
  <si>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</si>
  <si>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</si>
  <si>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</si>
  <si>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</si>
  <si>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</si>
  <si>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</si>
  <si>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</si>
  <si>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</si>
  <si>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</si>
  <si>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</si>
  <si>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</si>
  <si>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</si>
  <si>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</si>
  <si>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</si>
  <si>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</si>
  <si>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</si>
  <si>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</si>
  <si>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</si>
  <si>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</si>
  <si>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</si>
  <si>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</si>
  <si>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</si>
  <si>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</si>
  <si>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</si>
  <si>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</si>
  <si>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</si>
  <si>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</si>
  <si>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</si>
  <si>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</si>
  <si>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</si>
  <si>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</si>
  <si>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</si>
  <si>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</si>
  <si>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</si>
  <si>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</si>
  <si>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</si>
  <si>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</si>
  <si>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</si>
  <si>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</si>
  <si>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</si>
  <si>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</si>
  <si>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</si>
  <si>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</si>
  <si>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</si>
  <si>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</si>
  <si>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</si>
  <si>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</si>
  <si>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</si>
  <si>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</si>
  <si>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</si>
  <si>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</si>
  <si>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</si>
  <si>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</si>
  <si>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</si>
  <si>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</si>
  <si>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</si>
  <si>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</si>
  <si>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</si>
  <si>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</si>
  <si>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</si>
  <si>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</si>
  <si>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</si>
  <si>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</si>
  <si>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</si>
  <si>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</si>
  <si>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</si>
  <si>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</si>
  <si>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</si>
  <si>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</si>
  <si>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</si>
  <si>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</si>
  <si>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</si>
  <si>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</si>
  <si>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</si>
  <si>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</si>
  <si>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</si>
  <si>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</si>
  <si>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</si>
  <si>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</si>
  <si>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</si>
  <si>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</si>
  <si>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</si>
  <si>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</si>
  <si>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</si>
  <si>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</si>
  <si>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</si>
  <si>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</si>
  <si>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</si>
  <si>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</si>
  <si>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</si>
  <si>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</si>
  <si>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</si>
  <si>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</si>
  <si>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</si>
  <si>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</si>
  <si>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</si>
  <si>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</si>
  <si>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</si>
  <si>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</si>
  <si>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</si>
  <si>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</si>
  <si>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</si>
  <si>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</si>
  <si>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</si>
  <si>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</si>
  <si>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</si>
  <si>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</si>
  <si>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</si>
  <si>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</si>
  <si>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</si>
  <si>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</si>
  <si>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</si>
  <si>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</si>
  <si>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</si>
  <si>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</si>
  <si>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</si>
  <si>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</si>
  <si>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</si>
  <si>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</si>
  <si>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</si>
  <si>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</si>
  <si>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</si>
  <si>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</si>
  <si>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</si>
  <si>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</si>
  <si>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</si>
  <si>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</si>
  <si>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</si>
  <si>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</si>
  <si>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</si>
  <si>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</si>
  <si>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</si>
  <si>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</si>
  <si>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</si>
  <si>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</si>
  <si>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</si>
  <si>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</si>
  <si>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</si>
  <si>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</si>
  <si>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</si>
  <si>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</si>
  <si>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</si>
  <si>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</si>
  <si>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</si>
  <si>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</si>
  <si>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</si>
  <si>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</si>
  <si>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</si>
  <si>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</si>
  <si>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</si>
  <si>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</si>
  <si>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</si>
  <si>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</si>
  <si>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</si>
  <si>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</si>
  <si>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</si>
  <si>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</si>
  <si>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</si>
  <si>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</si>
  <si>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</si>
  <si>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</si>
  <si>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</si>
  <si>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</si>
  <si>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</si>
  <si>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</si>
  <si>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</si>
  <si>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</si>
  <si>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</si>
  <si>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</si>
  <si>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</si>
  <si>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</si>
  <si>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</si>
  <si>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</si>
  <si>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</si>
  <si>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</si>
  <si>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</si>
  <si>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</si>
  <si>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</si>
  <si>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</si>
  <si>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</si>
  <si>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</si>
  <si>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</si>
  <si>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</si>
  <si>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</si>
  <si>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</si>
  <si>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</si>
  <si>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</si>
  <si>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</si>
  <si>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</si>
  <si>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</si>
  <si>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</si>
  <si>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</si>
  <si>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</si>
  <si>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</si>
  <si>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</si>
  <si>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</si>
  <si>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</si>
  <si>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</si>
  <si>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</si>
  <si>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</si>
  <si>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</si>
  <si>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</si>
  <si>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</si>
  <si>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</si>
  <si>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</si>
  <si>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</si>
  <si>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</si>
  <si>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</si>
  <si>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</si>
  <si>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</si>
  <si>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</si>
  <si>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</si>
  <si>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</si>
  <si>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</si>
  <si>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</si>
  <si>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</si>
  <si>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</si>
  <si>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</si>
  <si>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</si>
  <si>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</si>
  <si>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</si>
  <si>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</si>
  <si>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</si>
  <si>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</si>
  <si>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</si>
  <si>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</si>
  <si>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</si>
  <si>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</si>
  <si>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</si>
  <si>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</si>
  <si>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</si>
  <si>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</si>
  <si>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</si>
  <si>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</si>
  <si>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</si>
  <si>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</si>
  <si>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</si>
  <si>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</si>
  <si>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</si>
  <si>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</si>
  <si>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</si>
  <si>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</si>
  <si>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</si>
  <si>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</si>
  <si>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</si>
  <si>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</si>
  <si>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</si>
  <si>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</si>
  <si>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</si>
  <si>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</si>
  <si>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</si>
  <si>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</si>
  <si>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</si>
  <si>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</si>
  <si>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</si>
  <si>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</si>
  <si>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</si>
  <si>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</si>
  <si>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</si>
  <si>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</si>
  <si>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</si>
  <si>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</si>
  <si>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</si>
  <si>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</si>
  <si>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</si>
  <si>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</si>
  <si>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</si>
  <si>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</si>
  <si>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</si>
  <si>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</si>
  <si>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</si>
  <si>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</si>
  <si>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</si>
  <si>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</si>
  <si>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</si>
  <si>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</si>
  <si>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</si>
  <si>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</si>
  <si>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</si>
  <si>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</si>
  <si>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</si>
  <si>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</si>
  <si>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</si>
  <si>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</si>
  <si>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</si>
  <si>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</si>
  <si>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</si>
  <si>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</si>
  <si>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</si>
  <si>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</si>
  <si>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</si>
  <si>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</si>
  <si>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</si>
  <si>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</si>
  <si>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</si>
  <si>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</si>
  <si>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</si>
  <si>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</si>
  <si>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</si>
  <si>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</si>
  <si>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</si>
  <si>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</si>
  <si>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</si>
  <si>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</si>
  <si>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</si>
  <si>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</si>
  <si>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</si>
  <si>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</si>
  <si>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</si>
  <si>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</si>
  <si>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</si>
  <si>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</si>
  <si>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</si>
  <si>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</si>
  <si>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</si>
  <si>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</si>
  <si>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</si>
  <si>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</si>
  <si>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</si>
  <si>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</si>
  <si>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</si>
  <si>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</si>
  <si>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</si>
  <si>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</si>
  <si>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</si>
  <si>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</si>
  <si>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</si>
  <si>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</si>
  <si>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</si>
  <si>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</si>
  <si>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</si>
  <si>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</si>
  <si>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</si>
  <si>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</si>
  <si>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</si>
  <si>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</si>
  <si>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</si>
  <si>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</si>
  <si>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</si>
  <si>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</si>
  <si>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</si>
  <si>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</si>
  <si>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</si>
  <si>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</si>
  <si>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</si>
  <si>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</si>
  <si>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</si>
  <si>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</si>
  <si>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</si>
  <si>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</si>
  <si>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</si>
  <si>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</si>
  <si>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</si>
  <si>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</si>
  <si>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</si>
  <si>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</si>
  <si>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</si>
  <si>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</si>
  <si>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</si>
  <si>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</si>
  <si>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</si>
  <si>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</si>
  <si>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</si>
  <si>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</si>
  <si>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</si>
  <si>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</si>
  <si>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</si>
  <si>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</si>
  <si>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</si>
  <si>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</si>
  <si>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</si>
  <si>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</si>
  <si>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</si>
  <si>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</si>
  <si>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</si>
  <si>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</si>
  <si>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</si>
  <si>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</si>
  <si>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</si>
  <si>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</si>
  <si>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</si>
  <si>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</si>
  <si>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</si>
  <si>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</si>
  <si>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</si>
  <si>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</si>
  <si>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</si>
  <si>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</si>
  <si>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</si>
  <si>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</si>
  <si>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</si>
  <si>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</si>
  <si>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</si>
  <si>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</si>
  <si>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</si>
  <si>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</si>
  <si>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</si>
  <si>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</si>
  <si>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</si>
  <si>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</si>
  <si>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</si>
  <si>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</si>
  <si>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</si>
  <si>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</si>
  <si>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</si>
  <si>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</si>
  <si>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</si>
  <si>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</si>
  <si>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</si>
  <si>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</si>
  <si>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</si>
  <si>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</si>
  <si>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</si>
  <si>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</si>
  <si>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</si>
  <si>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</si>
  <si>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</si>
  <si>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</si>
  <si>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</si>
  <si>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</si>
  <si>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</si>
  <si>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</si>
  <si>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</si>
  <si>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</si>
  <si>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</si>
  <si>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</si>
  <si>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</si>
  <si>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</si>
  <si>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</si>
  <si>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</si>
  <si>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</si>
  <si>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</si>
  <si>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</si>
  <si>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</si>
  <si>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</si>
  <si>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</si>
  <si>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</si>
  <si>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</si>
  <si>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</si>
  <si>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</si>
  <si>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</si>
  <si>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</si>
  <si>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</si>
  <si>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</si>
  <si>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</si>
  <si>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</si>
  <si>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</si>
  <si>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</si>
  <si>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</si>
  <si>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</si>
  <si>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</si>
  <si>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</si>
  <si>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</si>
  <si>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</si>
  <si>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</si>
  <si>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</si>
  <si>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</si>
  <si>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</si>
  <si>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</si>
  <si>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</si>
  <si>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</si>
  <si>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</si>
  <si>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</si>
  <si>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</si>
  <si>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</si>
  <si>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</si>
  <si>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</si>
  <si>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</si>
  <si>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</si>
  <si>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</si>
  <si>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</si>
  <si>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</si>
  <si>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</si>
  <si>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</si>
  <si>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</si>
  <si>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</si>
  <si>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</si>
  <si>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</si>
  <si>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</si>
  <si>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</si>
  <si>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</si>
  <si>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</si>
  <si>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</si>
  <si>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</si>
  <si>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</si>
  <si>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</si>
  <si>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</si>
  <si>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</si>
  <si>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</si>
  <si>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</si>
  <si>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</si>
  <si>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</si>
  <si>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</si>
  <si>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</si>
  <si>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</si>
  <si>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</si>
  <si>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</si>
  <si>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</si>
  <si>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</si>
  <si>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</si>
  <si>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</si>
  <si>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</si>
  <si>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</si>
  <si>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</si>
  <si>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</si>
  <si>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</si>
  <si>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</si>
  <si>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</si>
  <si>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</si>
  <si>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</si>
  <si>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</si>
  <si>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</si>
  <si>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</si>
  <si>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</si>
  <si>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</si>
  <si>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</si>
  <si>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</si>
  <si>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</si>
  <si>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</si>
  <si>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</si>
  <si>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</si>
  <si>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</si>
  <si>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</si>
  <si>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</si>
  <si>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</si>
  <si>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</si>
  <si>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</si>
  <si>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</si>
  <si>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</si>
  <si>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</si>
  <si>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</si>
  <si>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</si>
  <si>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</si>
  <si>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</si>
  <si>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</si>
  <si>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</si>
  <si>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</si>
  <si>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</si>
  <si>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</si>
  <si>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Contador del Mes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</si>
</sst>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3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4/08%20Agosto%202024/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4/08%20Agosto%202024/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4/08%20Agosto%202024/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5/01%20Enero/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5/01%20Enero/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5/01%20Enero/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PREVENTIVO%20TORRE-%20REGION/Dispositivos%20Diarios/2025/01%20ENERO/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PREVENTIVO%20TORRE-%20REGION/Dispositivos%20Diarios/2025/01%20ENERO/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G1" zoomScale="71" zoomScaleNormal="71" workbookViewId="0">
      <pane ySplit="1" topLeftCell="A2" activePane="bottomLeft" state="frozen"/>
      <selection activeCell="Q1" sqref="Q1"/>
      <selection pane="bottomLeft" activeCell="J9" sqref="J9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bestFit="1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85</v>
      </c>
      <c r="B1" s="113" t="s">
        <v>119</v>
      </c>
      <c r="C1" s="113" t="s">
        <v>115</v>
      </c>
      <c r="D1" s="113" t="s">
        <v>160</v>
      </c>
      <c r="E1" s="113" t="s">
        <v>271</v>
      </c>
      <c r="F1" s="113" t="s">
        <v>0</v>
      </c>
      <c r="G1" s="113" t="s">
        <v>1</v>
      </c>
      <c r="H1" s="113" t="s">
        <v>2</v>
      </c>
      <c r="I1" s="114" t="s">
        <v>1208</v>
      </c>
      <c r="J1" s="115" t="s">
        <v>1134</v>
      </c>
      <c r="K1" s="115" t="s">
        <v>1135</v>
      </c>
      <c r="L1" s="116" t="s">
        <v>1136</v>
      </c>
      <c r="M1" s="116" t="s">
        <v>1137</v>
      </c>
      <c r="N1" s="115" t="s">
        <v>1138</v>
      </c>
      <c r="O1" s="115" t="s">
        <v>1139</v>
      </c>
      <c r="P1" s="116" t="s">
        <v>1140</v>
      </c>
      <c r="Q1" s="116" t="s">
        <v>1141</v>
      </c>
      <c r="R1" s="115" t="s">
        <v>1142</v>
      </c>
      <c r="S1" s="115" t="s">
        <v>1143</v>
      </c>
      <c r="T1" s="113" t="s">
        <v>208</v>
      </c>
      <c r="U1" s="113" t="s">
        <v>287</v>
      </c>
      <c r="V1" s="117" t="s">
        <v>1144</v>
      </c>
      <c r="W1" s="147" t="s">
        <v>205</v>
      </c>
      <c r="X1" s="125" t="s">
        <v>1166</v>
      </c>
    </row>
    <row r="2" spans="1:24" ht="16.5" customHeight="1" x14ac:dyDescent="0.25">
      <c r="A2" s="2" t="s">
        <v>86</v>
      </c>
      <c r="B2" s="87" t="s">
        <v>116</v>
      </c>
      <c r="C2" s="17" t="s">
        <v>270</v>
      </c>
      <c r="D2" s="7" t="s">
        <v>132</v>
      </c>
      <c r="E2" s="17" t="s">
        <v>215</v>
      </c>
      <c r="F2" s="89" t="s">
        <v>3</v>
      </c>
      <c r="G2" s="24" t="s">
        <v>128</v>
      </c>
      <c r="H2" s="13" t="s">
        <v>129</v>
      </c>
      <c r="I2" s="33">
        <v>276084</v>
      </c>
      <c r="J2" s="68">
        <v>276162</v>
      </c>
      <c r="K2" s="68">
        <v>78</v>
      </c>
      <c r="L2" s="68">
        <v>276394</v>
      </c>
      <c r="M2" s="68">
        <v>232</v>
      </c>
      <c r="N2" s="33">
        <v>276456</v>
      </c>
      <c r="O2" s="33">
        <v>62</v>
      </c>
      <c r="P2" s="33">
        <v>276639</v>
      </c>
      <c r="Q2" s="33">
        <v>183</v>
      </c>
      <c r="R2" s="33"/>
      <c r="S2" s="33"/>
      <c r="T2" s="33">
        <v>555</v>
      </c>
      <c r="U2" s="34">
        <f>COUNTIFS(P2:Q2,"=0")</f>
        <v>0</v>
      </c>
      <c r="V2" s="118">
        <v>46055</v>
      </c>
      <c r="W2" s="148"/>
      <c r="X2" s="67" t="s">
        <v>1167</v>
      </c>
    </row>
    <row r="3" spans="1:24" ht="16.5" customHeight="1" x14ac:dyDescent="0.25">
      <c r="A3" s="2" t="s">
        <v>86</v>
      </c>
      <c r="B3" s="87" t="s">
        <v>116</v>
      </c>
      <c r="C3" s="17" t="s">
        <v>270</v>
      </c>
      <c r="D3" s="7" t="s">
        <v>133</v>
      </c>
      <c r="E3" s="17" t="s">
        <v>215</v>
      </c>
      <c r="F3" s="89" t="s">
        <v>3</v>
      </c>
      <c r="G3" s="24" t="s">
        <v>130</v>
      </c>
      <c r="H3" s="13" t="s">
        <v>131</v>
      </c>
      <c r="I3" s="33">
        <v>195988</v>
      </c>
      <c r="J3" s="68">
        <v>196075</v>
      </c>
      <c r="K3" s="68">
        <v>87</v>
      </c>
      <c r="L3" s="68">
        <v>196151</v>
      </c>
      <c r="M3" s="68">
        <v>76</v>
      </c>
      <c r="N3" s="33">
        <v>196289</v>
      </c>
      <c r="O3" s="33">
        <v>138</v>
      </c>
      <c r="P3" s="33">
        <v>196395</v>
      </c>
      <c r="Q3" s="33">
        <v>106</v>
      </c>
      <c r="R3" s="33"/>
      <c r="S3" s="33"/>
      <c r="T3" s="33">
        <v>407</v>
      </c>
      <c r="U3" s="34">
        <f>COUNTIFS(P3:Q3,"=0")</f>
        <v>0</v>
      </c>
      <c r="V3" s="118">
        <v>46055</v>
      </c>
      <c r="W3" s="148"/>
      <c r="X3" s="67" t="s">
        <v>1167</v>
      </c>
    </row>
    <row r="4" spans="1:24" s="81" customFormat="1" ht="16.5" customHeight="1" x14ac:dyDescent="0.25">
      <c r="A4" s="89" t="s">
        <v>86</v>
      </c>
      <c r="B4" s="87" t="s">
        <v>116</v>
      </c>
      <c r="C4" s="17" t="s">
        <v>272</v>
      </c>
      <c r="D4" s="7" t="s">
        <v>226</v>
      </c>
      <c r="E4" s="17" t="s">
        <v>225</v>
      </c>
      <c r="F4" s="89" t="s">
        <v>4</v>
      </c>
      <c r="G4" s="103" t="s">
        <v>137</v>
      </c>
      <c r="H4" s="143" t="s">
        <v>138</v>
      </c>
      <c r="I4" s="33">
        <v>59991</v>
      </c>
      <c r="J4" s="68">
        <v>60022</v>
      </c>
      <c r="K4" s="68">
        <v>31</v>
      </c>
      <c r="L4" s="68">
        <v>60044</v>
      </c>
      <c r="M4" s="68">
        <v>22</v>
      </c>
      <c r="N4" s="33">
        <v>60074</v>
      </c>
      <c r="O4" s="33">
        <v>30</v>
      </c>
      <c r="P4" s="33">
        <v>60110</v>
      </c>
      <c r="Q4" s="33">
        <v>36</v>
      </c>
      <c r="R4" s="33"/>
      <c r="S4" s="33"/>
      <c r="T4" s="33">
        <v>119</v>
      </c>
      <c r="U4" s="34">
        <f>COUNTIFS(P4:Q4,"=0")</f>
        <v>0</v>
      </c>
      <c r="V4" s="118">
        <v>46055</v>
      </c>
      <c r="W4" s="90"/>
      <c r="X4" s="80" t="s">
        <v>1167</v>
      </c>
    </row>
    <row r="5" spans="1:24" s="81" customFormat="1" ht="16.5" customHeight="1" x14ac:dyDescent="0.25">
      <c r="A5" s="78" t="s">
        <v>86</v>
      </c>
      <c r="B5" s="83" t="s">
        <v>116</v>
      </c>
      <c r="C5" s="72" t="s">
        <v>273</v>
      </c>
      <c r="D5" s="7" t="s">
        <v>1026</v>
      </c>
      <c r="E5" s="96" t="s">
        <v>230</v>
      </c>
      <c r="F5" s="78" t="s">
        <v>4</v>
      </c>
      <c r="G5" s="79" t="s">
        <v>29</v>
      </c>
      <c r="H5" s="88" t="s">
        <v>125</v>
      </c>
      <c r="I5" s="33">
        <v>59849</v>
      </c>
      <c r="J5" s="68">
        <v>59857</v>
      </c>
      <c r="K5" s="68">
        <v>8</v>
      </c>
      <c r="L5" s="68">
        <v>59872</v>
      </c>
      <c r="M5" s="68">
        <v>15</v>
      </c>
      <c r="N5" s="33">
        <v>59878</v>
      </c>
      <c r="O5" s="33">
        <v>6</v>
      </c>
      <c r="P5" s="33">
        <v>60016</v>
      </c>
      <c r="Q5" s="33">
        <v>138</v>
      </c>
      <c r="R5" s="33"/>
      <c r="S5" s="33"/>
      <c r="T5" s="33">
        <v>167</v>
      </c>
      <c r="U5" s="34">
        <f>COUNTIFS(P5:Q5,"=0")</f>
        <v>0</v>
      </c>
      <c r="V5" s="118">
        <v>46055</v>
      </c>
      <c r="W5" s="90"/>
      <c r="X5" s="80" t="s">
        <v>1167</v>
      </c>
    </row>
    <row r="6" spans="1:24" s="81" customFormat="1" ht="16.5" customHeight="1" x14ac:dyDescent="0.25">
      <c r="A6" s="14" t="s">
        <v>86</v>
      </c>
      <c r="B6" s="83" t="s">
        <v>116</v>
      </c>
      <c r="C6" s="135" t="s">
        <v>113</v>
      </c>
      <c r="D6" s="7" t="s">
        <v>1147</v>
      </c>
      <c r="E6" s="139" t="s">
        <v>1123</v>
      </c>
      <c r="F6" s="79" t="s">
        <v>4</v>
      </c>
      <c r="G6" s="27" t="s">
        <v>134</v>
      </c>
      <c r="H6" s="6" t="s">
        <v>1124</v>
      </c>
      <c r="I6" s="33">
        <v>61581</v>
      </c>
      <c r="J6" s="68">
        <v>61581</v>
      </c>
      <c r="K6" s="68">
        <v>0</v>
      </c>
      <c r="L6" s="68">
        <v>61581</v>
      </c>
      <c r="M6" s="68">
        <v>0</v>
      </c>
      <c r="N6" s="33">
        <v>61581</v>
      </c>
      <c r="O6" s="33">
        <v>0</v>
      </c>
      <c r="P6" s="33">
        <v>61581</v>
      </c>
      <c r="Q6" s="33">
        <v>0</v>
      </c>
      <c r="R6" s="33"/>
      <c r="S6" s="33"/>
      <c r="T6" s="33">
        <v>0</v>
      </c>
      <c r="U6" s="34">
        <f>COUNTIFS(P6:Q6,"=0")</f>
        <v>1</v>
      </c>
      <c r="V6" s="118">
        <v>46055</v>
      </c>
      <c r="W6" s="146" t="s">
        <v>1125</v>
      </c>
      <c r="X6" s="15" t="s">
        <v>1167</v>
      </c>
    </row>
    <row r="7" spans="1:24" s="81" customFormat="1" ht="16.5" customHeight="1" x14ac:dyDescent="0.25">
      <c r="A7" s="78" t="s">
        <v>86</v>
      </c>
      <c r="B7" s="83" t="s">
        <v>116</v>
      </c>
      <c r="C7" s="72" t="s">
        <v>113</v>
      </c>
      <c r="D7" s="108" t="s">
        <v>163</v>
      </c>
      <c r="E7" s="94" t="s">
        <v>231</v>
      </c>
      <c r="F7" s="78" t="s">
        <v>4</v>
      </c>
      <c r="G7" s="79" t="s">
        <v>74</v>
      </c>
      <c r="H7" s="88" t="s">
        <v>1063</v>
      </c>
      <c r="I7" s="33">
        <v>120714</v>
      </c>
      <c r="J7" s="68">
        <v>120816</v>
      </c>
      <c r="K7" s="68">
        <v>102</v>
      </c>
      <c r="L7" s="68">
        <v>120926</v>
      </c>
      <c r="M7" s="68">
        <v>110</v>
      </c>
      <c r="N7" s="33">
        <v>121020</v>
      </c>
      <c r="O7" s="33">
        <v>94</v>
      </c>
      <c r="P7" s="33">
        <v>121152</v>
      </c>
      <c r="Q7" s="33">
        <v>132</v>
      </c>
      <c r="R7" s="33"/>
      <c r="S7" s="33"/>
      <c r="T7" s="33">
        <v>438</v>
      </c>
      <c r="U7" s="34">
        <f>COUNTIFS(P7:Q7,"=0")</f>
        <v>0</v>
      </c>
      <c r="V7" s="118">
        <v>46055</v>
      </c>
      <c r="W7" s="90"/>
      <c r="X7" s="80" t="s">
        <v>1167</v>
      </c>
    </row>
    <row r="8" spans="1:24" ht="16.5" customHeight="1" x14ac:dyDescent="0.25">
      <c r="A8" s="89" t="s">
        <v>86</v>
      </c>
      <c r="B8" s="89" t="s">
        <v>116</v>
      </c>
      <c r="C8" s="134" t="s">
        <v>113</v>
      </c>
      <c r="D8" s="136" t="s">
        <v>1071</v>
      </c>
      <c r="E8" s="138" t="s">
        <v>1069</v>
      </c>
      <c r="F8" s="89" t="s">
        <v>4</v>
      </c>
      <c r="G8" s="103" t="s">
        <v>1070</v>
      </c>
      <c r="H8" s="144" t="s">
        <v>146</v>
      </c>
      <c r="I8" s="33">
        <v>3063</v>
      </c>
      <c r="J8" s="68">
        <v>3063</v>
      </c>
      <c r="K8" s="68">
        <v>0</v>
      </c>
      <c r="L8" s="68">
        <v>3063</v>
      </c>
      <c r="M8" s="68">
        <v>0</v>
      </c>
      <c r="N8" s="33">
        <v>3063</v>
      </c>
      <c r="O8" s="33">
        <v>0</v>
      </c>
      <c r="P8" s="33">
        <v>3063</v>
      </c>
      <c r="Q8" s="33">
        <v>0</v>
      </c>
      <c r="R8" s="33"/>
      <c r="S8" s="33"/>
      <c r="T8" s="33">
        <v>0</v>
      </c>
      <c r="U8" s="34">
        <f>COUNTIFS(P8:Q8,"=0")</f>
        <v>1</v>
      </c>
      <c r="V8" s="118">
        <v>46055</v>
      </c>
      <c r="W8" s="90" t="s">
        <v>1182</v>
      </c>
      <c r="X8" s="80" t="s">
        <v>1167</v>
      </c>
    </row>
    <row r="9" spans="1:24" s="81" customFormat="1" ht="16.5" customHeight="1" x14ac:dyDescent="0.25">
      <c r="A9" s="14" t="s">
        <v>86</v>
      </c>
      <c r="B9" s="78" t="s">
        <v>116</v>
      </c>
      <c r="C9" s="135" t="s">
        <v>113</v>
      </c>
      <c r="D9" s="7" t="s">
        <v>162</v>
      </c>
      <c r="E9" s="139" t="s">
        <v>255</v>
      </c>
      <c r="F9" s="78" t="s">
        <v>3</v>
      </c>
      <c r="G9" s="27" t="s">
        <v>49</v>
      </c>
      <c r="H9" s="6" t="s">
        <v>82</v>
      </c>
      <c r="I9" s="33">
        <v>543692</v>
      </c>
      <c r="J9" s="68">
        <v>543749</v>
      </c>
      <c r="K9" s="68">
        <v>57</v>
      </c>
      <c r="L9" s="68">
        <v>543787</v>
      </c>
      <c r="M9" s="68">
        <v>38</v>
      </c>
      <c r="N9" s="33">
        <v>543838</v>
      </c>
      <c r="O9" s="33">
        <v>51</v>
      </c>
      <c r="P9" s="33">
        <v>543942</v>
      </c>
      <c r="Q9" s="33">
        <v>104</v>
      </c>
      <c r="R9" s="33"/>
      <c r="S9" s="33"/>
      <c r="T9" s="33">
        <v>250</v>
      </c>
      <c r="U9" s="34">
        <f>COUNTIFS(P9:Q9,"=0")</f>
        <v>0</v>
      </c>
      <c r="V9" s="118">
        <v>46055</v>
      </c>
      <c r="W9" s="146"/>
      <c r="X9" s="15" t="s">
        <v>1167</v>
      </c>
    </row>
    <row r="10" spans="1:24" ht="16.5" customHeight="1" x14ac:dyDescent="0.25">
      <c r="A10" s="14" t="s">
        <v>86</v>
      </c>
      <c r="B10" s="83" t="s">
        <v>116</v>
      </c>
      <c r="C10" s="72" t="s">
        <v>111</v>
      </c>
      <c r="D10" s="7" t="s">
        <v>164</v>
      </c>
      <c r="E10" s="93" t="s">
        <v>233</v>
      </c>
      <c r="F10" s="78" t="s">
        <v>3</v>
      </c>
      <c r="G10" s="27" t="s">
        <v>59</v>
      </c>
      <c r="H10" s="6" t="s">
        <v>60</v>
      </c>
      <c r="I10" s="33">
        <v>795853</v>
      </c>
      <c r="J10" s="68">
        <v>796411</v>
      </c>
      <c r="K10" s="68">
        <v>558</v>
      </c>
      <c r="L10" s="68">
        <v>796792</v>
      </c>
      <c r="M10" s="68">
        <v>381</v>
      </c>
      <c r="N10" s="33">
        <v>797078</v>
      </c>
      <c r="O10" s="33">
        <v>286</v>
      </c>
      <c r="P10" s="33">
        <v>797535</v>
      </c>
      <c r="Q10" s="33">
        <v>457</v>
      </c>
      <c r="R10" s="33"/>
      <c r="S10" s="33"/>
      <c r="T10" s="33">
        <v>1682</v>
      </c>
      <c r="U10" s="34">
        <f>COUNTIFS(P10:Q10,"=0")</f>
        <v>0</v>
      </c>
      <c r="V10" s="118">
        <v>46055</v>
      </c>
      <c r="W10" s="146"/>
      <c r="X10" s="15" t="s">
        <v>1167</v>
      </c>
    </row>
    <row r="11" spans="1:24" ht="16.5" customHeight="1" x14ac:dyDescent="0.25">
      <c r="A11" s="14" t="s">
        <v>86</v>
      </c>
      <c r="B11" s="78" t="s">
        <v>116</v>
      </c>
      <c r="C11" s="72" t="s">
        <v>114</v>
      </c>
      <c r="D11" s="7" t="s">
        <v>165</v>
      </c>
      <c r="E11" s="107" t="s">
        <v>1075</v>
      </c>
      <c r="F11" s="78" t="s">
        <v>3</v>
      </c>
      <c r="G11" s="27" t="s">
        <v>1173</v>
      </c>
      <c r="H11" s="6" t="s">
        <v>289</v>
      </c>
      <c r="I11" s="33">
        <v>701109</v>
      </c>
      <c r="J11" s="68">
        <v>701142</v>
      </c>
      <c r="K11" s="68">
        <v>33</v>
      </c>
      <c r="L11" s="68">
        <v>701152</v>
      </c>
      <c r="M11" s="68">
        <v>10</v>
      </c>
      <c r="N11" s="33">
        <v>701165</v>
      </c>
      <c r="O11" s="33">
        <v>13</v>
      </c>
      <c r="P11" s="33">
        <v>701171</v>
      </c>
      <c r="Q11" s="33">
        <v>6</v>
      </c>
      <c r="R11" s="33"/>
      <c r="S11" s="33"/>
      <c r="T11" s="33">
        <v>62</v>
      </c>
      <c r="U11" s="34">
        <f>COUNTIFS(P11:Q11,"=0")</f>
        <v>0</v>
      </c>
      <c r="V11" s="118">
        <v>46055</v>
      </c>
      <c r="W11" s="112"/>
      <c r="X11" s="18" t="s">
        <v>1167</v>
      </c>
    </row>
    <row r="12" spans="1:24" ht="16.5" customHeight="1" x14ac:dyDescent="0.25">
      <c r="A12" s="14" t="s">
        <v>86</v>
      </c>
      <c r="B12" s="78" t="s">
        <v>116</v>
      </c>
      <c r="C12" s="72" t="s">
        <v>114</v>
      </c>
      <c r="D12" s="7" t="s">
        <v>1174</v>
      </c>
      <c r="E12" s="106" t="s">
        <v>1171</v>
      </c>
      <c r="F12" s="88" t="s">
        <v>1169</v>
      </c>
      <c r="G12" s="6" t="s">
        <v>1175</v>
      </c>
      <c r="H12" s="6" t="s">
        <v>1170</v>
      </c>
      <c r="I12" s="33">
        <v>205581</v>
      </c>
      <c r="J12" s="68">
        <v>205581</v>
      </c>
      <c r="K12" s="68">
        <v>0</v>
      </c>
      <c r="L12" s="68">
        <v>205581</v>
      </c>
      <c r="M12" s="68">
        <v>0</v>
      </c>
      <c r="N12" s="33">
        <v>205581</v>
      </c>
      <c r="O12" s="33">
        <v>0</v>
      </c>
      <c r="P12" s="33">
        <v>205581</v>
      </c>
      <c r="Q12" s="33">
        <v>0</v>
      </c>
      <c r="R12" s="33"/>
      <c r="S12" s="33"/>
      <c r="T12" s="33">
        <v>0</v>
      </c>
      <c r="U12" s="34">
        <f>COUNTIFS(P12:Q12,"=0")</f>
        <v>1</v>
      </c>
      <c r="V12" s="118">
        <v>46055</v>
      </c>
      <c r="W12" s="146" t="s">
        <v>1176</v>
      </c>
      <c r="X12" s="15" t="s">
        <v>1167</v>
      </c>
    </row>
    <row r="13" spans="1:24" ht="16.5" customHeight="1" x14ac:dyDescent="0.25">
      <c r="A13" s="78" t="s">
        <v>86</v>
      </c>
      <c r="B13" s="78" t="s">
        <v>116</v>
      </c>
      <c r="C13" s="72" t="s">
        <v>98</v>
      </c>
      <c r="D13" s="108" t="s">
        <v>166</v>
      </c>
      <c r="E13" s="96" t="s">
        <v>235</v>
      </c>
      <c r="F13" s="78" t="s">
        <v>4</v>
      </c>
      <c r="G13" s="79" t="s">
        <v>70</v>
      </c>
      <c r="H13" s="88" t="s">
        <v>1185</v>
      </c>
      <c r="I13" s="33">
        <v>261252</v>
      </c>
      <c r="J13" s="68">
        <v>261802</v>
      </c>
      <c r="K13" s="68">
        <v>550</v>
      </c>
      <c r="L13" s="68">
        <v>262235</v>
      </c>
      <c r="M13" s="68">
        <v>433</v>
      </c>
      <c r="N13" s="33">
        <v>262566</v>
      </c>
      <c r="O13" s="33">
        <v>331</v>
      </c>
      <c r="P13" s="33">
        <v>263136</v>
      </c>
      <c r="Q13" s="33">
        <v>570</v>
      </c>
      <c r="R13" s="33"/>
      <c r="S13" s="33"/>
      <c r="T13" s="33">
        <v>1884</v>
      </c>
      <c r="U13" s="34">
        <f>COUNTIFS(P13:Q13,"=0")</f>
        <v>0</v>
      </c>
      <c r="V13" s="118">
        <v>46055</v>
      </c>
      <c r="W13" s="90" t="s">
        <v>1186</v>
      </c>
      <c r="X13" s="80" t="s">
        <v>1167</v>
      </c>
    </row>
    <row r="14" spans="1:24" ht="16.5" customHeight="1" x14ac:dyDescent="0.25">
      <c r="A14" s="78" t="s">
        <v>86</v>
      </c>
      <c r="B14" s="78" t="s">
        <v>116</v>
      </c>
      <c r="C14" s="73" t="s">
        <v>97</v>
      </c>
      <c r="D14" s="7" t="s">
        <v>169</v>
      </c>
      <c r="E14" s="30" t="s">
        <v>1038</v>
      </c>
      <c r="F14" s="78" t="s">
        <v>3</v>
      </c>
      <c r="G14" s="79" t="s">
        <v>61</v>
      </c>
      <c r="H14" s="88" t="s">
        <v>77</v>
      </c>
      <c r="I14" s="33">
        <v>826949</v>
      </c>
      <c r="J14" s="68">
        <v>827912</v>
      </c>
      <c r="K14" s="68">
        <v>963</v>
      </c>
      <c r="L14" s="68">
        <v>828859</v>
      </c>
      <c r="M14" s="68">
        <v>947</v>
      </c>
      <c r="N14" s="33">
        <v>829295</v>
      </c>
      <c r="O14" s="33">
        <v>436</v>
      </c>
      <c r="P14" s="33">
        <v>830224</v>
      </c>
      <c r="Q14" s="33">
        <v>929</v>
      </c>
      <c r="R14" s="33"/>
      <c r="S14" s="33"/>
      <c r="T14" s="33">
        <v>3275</v>
      </c>
      <c r="U14" s="34">
        <f>COUNTIFS(P14:Q14,"=0")</f>
        <v>0</v>
      </c>
      <c r="V14" s="118">
        <v>46055</v>
      </c>
      <c r="W14" s="146"/>
      <c r="X14" s="15" t="s">
        <v>1167</v>
      </c>
    </row>
    <row r="15" spans="1:24" ht="16.5" customHeight="1" x14ac:dyDescent="0.25">
      <c r="A15" s="14" t="s">
        <v>86</v>
      </c>
      <c r="B15" s="78" t="s">
        <v>116</v>
      </c>
      <c r="C15" s="72" t="s">
        <v>110</v>
      </c>
      <c r="D15" s="7" t="s">
        <v>171</v>
      </c>
      <c r="E15" s="93" t="s">
        <v>241</v>
      </c>
      <c r="F15" s="78" t="s">
        <v>3</v>
      </c>
      <c r="G15" s="27" t="s">
        <v>51</v>
      </c>
      <c r="H15" s="6" t="s">
        <v>52</v>
      </c>
      <c r="I15" s="33">
        <v>1064017</v>
      </c>
      <c r="J15" s="68">
        <v>1066184</v>
      </c>
      <c r="K15" s="68">
        <v>2167</v>
      </c>
      <c r="L15" s="68">
        <v>1068999</v>
      </c>
      <c r="M15" s="68">
        <v>2815</v>
      </c>
      <c r="N15" s="33">
        <v>1070445</v>
      </c>
      <c r="O15" s="33">
        <v>1446</v>
      </c>
      <c r="P15" s="33">
        <v>1073510</v>
      </c>
      <c r="Q15" s="33">
        <v>3065</v>
      </c>
      <c r="R15" s="33"/>
      <c r="S15" s="33"/>
      <c r="T15" s="33">
        <v>9493</v>
      </c>
      <c r="U15" s="34">
        <f>COUNTIFS(P15:Q15,"=0")</f>
        <v>0</v>
      </c>
      <c r="V15" s="118">
        <v>46055</v>
      </c>
      <c r="W15" s="146"/>
      <c r="X15" s="15" t="s">
        <v>1167</v>
      </c>
    </row>
    <row r="16" spans="1:24" ht="16.5" customHeight="1" x14ac:dyDescent="0.25">
      <c r="A16" s="14" t="s">
        <v>86</v>
      </c>
      <c r="B16" s="78" t="s">
        <v>116</v>
      </c>
      <c r="C16" s="72" t="s">
        <v>109</v>
      </c>
      <c r="D16" s="7" t="s">
        <v>172</v>
      </c>
      <c r="E16" s="106" t="s">
        <v>1122</v>
      </c>
      <c r="F16" s="88" t="s">
        <v>118</v>
      </c>
      <c r="G16" s="6" t="s">
        <v>47</v>
      </c>
      <c r="H16" s="142" t="s">
        <v>69</v>
      </c>
      <c r="I16" s="33">
        <v>1429810</v>
      </c>
      <c r="J16" s="68">
        <v>1430286</v>
      </c>
      <c r="K16" s="68">
        <v>476</v>
      </c>
      <c r="L16" s="68">
        <v>1430751</v>
      </c>
      <c r="M16" s="68">
        <v>465</v>
      </c>
      <c r="N16" s="33">
        <v>1430910</v>
      </c>
      <c r="O16" s="33">
        <v>159</v>
      </c>
      <c r="P16" s="33">
        <v>1431184</v>
      </c>
      <c r="Q16" s="33">
        <v>274</v>
      </c>
      <c r="R16" s="33"/>
      <c r="S16" s="33"/>
      <c r="T16" s="33">
        <v>1374</v>
      </c>
      <c r="U16" s="34">
        <f>COUNTIFS(P16:Q16,"=0")</f>
        <v>0</v>
      </c>
      <c r="V16" s="118">
        <v>46055</v>
      </c>
      <c r="W16" s="146"/>
      <c r="X16" s="15" t="s">
        <v>1167</v>
      </c>
    </row>
    <row r="17" spans="1:24" ht="16.5" customHeight="1" x14ac:dyDescent="0.25">
      <c r="A17" s="14" t="s">
        <v>86</v>
      </c>
      <c r="B17" s="78" t="s">
        <v>116</v>
      </c>
      <c r="C17" s="72" t="s">
        <v>101</v>
      </c>
      <c r="D17" s="7" t="s">
        <v>1180</v>
      </c>
      <c r="E17" s="106" t="s">
        <v>1181</v>
      </c>
      <c r="F17" s="78" t="s">
        <v>3</v>
      </c>
      <c r="G17" s="6" t="s">
        <v>57</v>
      </c>
      <c r="H17" s="142" t="s">
        <v>1113</v>
      </c>
      <c r="I17" s="33">
        <v>426615</v>
      </c>
      <c r="J17" s="68">
        <v>427038</v>
      </c>
      <c r="K17" s="68">
        <v>423</v>
      </c>
      <c r="L17" s="68">
        <v>427285</v>
      </c>
      <c r="M17" s="68">
        <v>247</v>
      </c>
      <c r="N17" s="33">
        <v>427479</v>
      </c>
      <c r="O17" s="33">
        <v>194</v>
      </c>
      <c r="P17" s="33">
        <v>427811</v>
      </c>
      <c r="Q17" s="33">
        <v>332</v>
      </c>
      <c r="R17" s="33"/>
      <c r="S17" s="33"/>
      <c r="T17" s="33">
        <v>1196</v>
      </c>
      <c r="U17" s="34">
        <f>COUNTIFS(P17:Q17,"=0")</f>
        <v>0</v>
      </c>
      <c r="V17" s="118">
        <v>46055</v>
      </c>
      <c r="W17" s="146"/>
      <c r="X17" s="15" t="s">
        <v>1167</v>
      </c>
    </row>
    <row r="18" spans="1:24" ht="16.5" customHeight="1" x14ac:dyDescent="0.25">
      <c r="A18" s="14" t="s">
        <v>86</v>
      </c>
      <c r="B18" s="78" t="s">
        <v>116</v>
      </c>
      <c r="C18" s="73" t="s">
        <v>92</v>
      </c>
      <c r="D18" s="7" t="s">
        <v>1128</v>
      </c>
      <c r="E18" s="97" t="s">
        <v>249</v>
      </c>
      <c r="F18" s="78" t="s">
        <v>3</v>
      </c>
      <c r="G18" s="27" t="s">
        <v>1189</v>
      </c>
      <c r="H18" s="6" t="s">
        <v>12</v>
      </c>
      <c r="I18" s="33">
        <v>978303</v>
      </c>
      <c r="J18" s="68">
        <v>979901</v>
      </c>
      <c r="K18" s="68">
        <v>1598</v>
      </c>
      <c r="L18" s="68">
        <v>980751</v>
      </c>
      <c r="M18" s="68">
        <v>850</v>
      </c>
      <c r="N18" s="33">
        <v>981533</v>
      </c>
      <c r="O18" s="33">
        <v>782</v>
      </c>
      <c r="P18" s="33">
        <v>983117</v>
      </c>
      <c r="Q18" s="33">
        <v>1584</v>
      </c>
      <c r="R18" s="33"/>
      <c r="S18" s="33"/>
      <c r="T18" s="33">
        <v>4814</v>
      </c>
      <c r="U18" s="34">
        <f>COUNTIFS(P18:Q18,"=0")</f>
        <v>0</v>
      </c>
      <c r="V18" s="118">
        <v>46055</v>
      </c>
      <c r="W18" s="146" t="s">
        <v>1207</v>
      </c>
      <c r="X18" s="15" t="s">
        <v>1167</v>
      </c>
    </row>
    <row r="19" spans="1:24" ht="16.5" customHeight="1" x14ac:dyDescent="0.25">
      <c r="A19" s="14" t="s">
        <v>86</v>
      </c>
      <c r="B19" s="78" t="s">
        <v>116</v>
      </c>
      <c r="C19" s="73" t="s">
        <v>92</v>
      </c>
      <c r="D19" s="7" t="s">
        <v>1187</v>
      </c>
      <c r="E19" s="93" t="s">
        <v>1188</v>
      </c>
      <c r="F19" s="78" t="s">
        <v>4</v>
      </c>
      <c r="G19" s="27" t="s">
        <v>1192</v>
      </c>
      <c r="H19" s="6" t="s">
        <v>1190</v>
      </c>
      <c r="I19" s="33">
        <v>28691</v>
      </c>
      <c r="J19" s="68">
        <v>28692</v>
      </c>
      <c r="K19" s="68">
        <v>1</v>
      </c>
      <c r="L19" s="68">
        <v>28692</v>
      </c>
      <c r="M19" s="68">
        <v>0</v>
      </c>
      <c r="N19" s="33">
        <v>28692</v>
      </c>
      <c r="O19" s="33">
        <v>0</v>
      </c>
      <c r="P19" s="33">
        <v>28692</v>
      </c>
      <c r="Q19" s="33">
        <v>0</v>
      </c>
      <c r="R19" s="33"/>
      <c r="S19" s="33"/>
      <c r="T19" s="33">
        <v>1</v>
      </c>
      <c r="U19" s="34">
        <f>COUNTIFS(P19:Q19,"=0")</f>
        <v>1</v>
      </c>
      <c r="V19" s="118">
        <v>46055</v>
      </c>
      <c r="W19" s="146" t="s">
        <v>1191</v>
      </c>
      <c r="X19" s="15" t="s">
        <v>1167</v>
      </c>
    </row>
    <row r="20" spans="1:24" ht="16.5" customHeight="1" x14ac:dyDescent="0.25">
      <c r="A20" s="14" t="s">
        <v>86</v>
      </c>
      <c r="B20" s="78" t="s">
        <v>116</v>
      </c>
      <c r="C20" s="72" t="s">
        <v>104</v>
      </c>
      <c r="D20" s="7" t="s">
        <v>1065</v>
      </c>
      <c r="E20" s="93" t="s">
        <v>1066</v>
      </c>
      <c r="F20" s="78" t="s">
        <v>3</v>
      </c>
      <c r="G20" s="27" t="s">
        <v>1067</v>
      </c>
      <c r="H20" s="6" t="s">
        <v>66</v>
      </c>
      <c r="I20" s="33">
        <v>207880</v>
      </c>
      <c r="J20" s="68">
        <v>208103</v>
      </c>
      <c r="K20" s="68">
        <v>223</v>
      </c>
      <c r="L20" s="68">
        <v>208336</v>
      </c>
      <c r="M20" s="68">
        <v>233</v>
      </c>
      <c r="N20" s="33">
        <v>208647</v>
      </c>
      <c r="O20" s="33">
        <v>311</v>
      </c>
      <c r="P20" s="33">
        <v>208925</v>
      </c>
      <c r="Q20" s="33">
        <v>278</v>
      </c>
      <c r="R20" s="33"/>
      <c r="S20" s="33"/>
      <c r="T20" s="33">
        <v>1045</v>
      </c>
      <c r="U20" s="34">
        <f>COUNTIFS(P20:Q20,"=0")</f>
        <v>0</v>
      </c>
      <c r="V20" s="118">
        <v>46055</v>
      </c>
      <c r="W20" s="146"/>
      <c r="X20" s="15" t="s">
        <v>1167</v>
      </c>
    </row>
    <row r="21" spans="1:24" s="81" customFormat="1" ht="16.5" customHeight="1" x14ac:dyDescent="0.25">
      <c r="A21" s="14" t="s">
        <v>86</v>
      </c>
      <c r="B21" s="78" t="s">
        <v>116</v>
      </c>
      <c r="C21" s="72" t="s">
        <v>103</v>
      </c>
      <c r="D21" s="7" t="s">
        <v>178</v>
      </c>
      <c r="E21" s="93" t="s">
        <v>250</v>
      </c>
      <c r="F21" s="78" t="s">
        <v>3</v>
      </c>
      <c r="G21" s="27" t="s">
        <v>24</v>
      </c>
      <c r="H21" s="6" t="s">
        <v>25</v>
      </c>
      <c r="I21" s="33">
        <v>644115</v>
      </c>
      <c r="J21" s="68">
        <v>644493</v>
      </c>
      <c r="K21" s="68">
        <v>378</v>
      </c>
      <c r="L21" s="68">
        <v>644914</v>
      </c>
      <c r="M21" s="68">
        <v>421</v>
      </c>
      <c r="N21" s="33">
        <v>645206</v>
      </c>
      <c r="O21" s="33">
        <v>292</v>
      </c>
      <c r="P21" s="33">
        <v>645628</v>
      </c>
      <c r="Q21" s="33">
        <v>422</v>
      </c>
      <c r="R21" s="33"/>
      <c r="S21" s="33"/>
      <c r="T21" s="33">
        <v>1513</v>
      </c>
      <c r="U21" s="34">
        <f>COUNTIFS(P21:Q21,"=0")</f>
        <v>0</v>
      </c>
      <c r="V21" s="118">
        <v>46055</v>
      </c>
      <c r="W21" s="146"/>
      <c r="X21" s="15" t="s">
        <v>1167</v>
      </c>
    </row>
    <row r="22" spans="1:24" ht="16.5" customHeight="1" x14ac:dyDescent="0.25">
      <c r="A22" s="14" t="s">
        <v>86</v>
      </c>
      <c r="B22" s="78" t="s">
        <v>116</v>
      </c>
      <c r="C22" s="72" t="s">
        <v>88</v>
      </c>
      <c r="D22" s="11" t="s">
        <v>1129</v>
      </c>
      <c r="E22" s="97" t="s">
        <v>251</v>
      </c>
      <c r="F22" s="78" t="s">
        <v>3</v>
      </c>
      <c r="G22" s="27" t="s">
        <v>34</v>
      </c>
      <c r="H22" s="6" t="s">
        <v>35</v>
      </c>
      <c r="I22" s="33">
        <v>297046</v>
      </c>
      <c r="J22" s="68">
        <v>297133</v>
      </c>
      <c r="K22" s="68">
        <v>87</v>
      </c>
      <c r="L22" s="68">
        <v>297267</v>
      </c>
      <c r="M22" s="68">
        <v>134</v>
      </c>
      <c r="N22" s="33">
        <v>297325</v>
      </c>
      <c r="O22" s="33">
        <v>58</v>
      </c>
      <c r="P22" s="33">
        <v>297464</v>
      </c>
      <c r="Q22" s="33">
        <v>139</v>
      </c>
      <c r="R22" s="33"/>
      <c r="S22" s="33"/>
      <c r="T22" s="33">
        <v>418</v>
      </c>
      <c r="U22" s="34">
        <f>COUNTIFS(P22:Q22,"=0")</f>
        <v>0</v>
      </c>
      <c r="V22" s="118">
        <v>46055</v>
      </c>
      <c r="W22" s="146"/>
      <c r="X22" s="15" t="s">
        <v>1167</v>
      </c>
    </row>
    <row r="23" spans="1:24" ht="16.5" customHeight="1" x14ac:dyDescent="0.25">
      <c r="A23" s="14" t="s">
        <v>86</v>
      </c>
      <c r="B23" s="78" t="s">
        <v>116</v>
      </c>
      <c r="C23" s="73" t="s">
        <v>88</v>
      </c>
      <c r="D23" s="7" t="s">
        <v>1130</v>
      </c>
      <c r="E23" s="97" t="s">
        <v>1028</v>
      </c>
      <c r="F23" s="78" t="s">
        <v>3</v>
      </c>
      <c r="G23" s="27" t="s">
        <v>30</v>
      </c>
      <c r="H23" s="131" t="s">
        <v>31</v>
      </c>
      <c r="I23" s="33">
        <v>415162</v>
      </c>
      <c r="J23" s="68">
        <v>415223</v>
      </c>
      <c r="K23" s="68">
        <v>61</v>
      </c>
      <c r="L23" s="68">
        <v>415245</v>
      </c>
      <c r="M23" s="68">
        <v>22</v>
      </c>
      <c r="N23" s="33">
        <v>415252</v>
      </c>
      <c r="O23" s="33">
        <v>7</v>
      </c>
      <c r="P23" s="33">
        <v>415318</v>
      </c>
      <c r="Q23" s="33">
        <v>66</v>
      </c>
      <c r="R23" s="33"/>
      <c r="S23" s="33"/>
      <c r="T23" s="33">
        <v>156</v>
      </c>
      <c r="U23" s="34">
        <f>COUNTIFS(P23:Q23,"=0")</f>
        <v>0</v>
      </c>
      <c r="V23" s="118">
        <v>46055</v>
      </c>
      <c r="W23" s="112"/>
      <c r="X23" s="18" t="s">
        <v>1167</v>
      </c>
    </row>
    <row r="24" spans="1:24" ht="16.5" customHeight="1" x14ac:dyDescent="0.25">
      <c r="A24" s="78" t="s">
        <v>86</v>
      </c>
      <c r="B24" s="78" t="s">
        <v>116</v>
      </c>
      <c r="C24" s="73" t="s">
        <v>105</v>
      </c>
      <c r="D24" s="11" t="s">
        <v>1131</v>
      </c>
      <c r="E24" s="30" t="s">
        <v>253</v>
      </c>
      <c r="F24" s="78" t="s">
        <v>4</v>
      </c>
      <c r="G24" s="79" t="s">
        <v>211</v>
      </c>
      <c r="H24" s="88" t="s">
        <v>122</v>
      </c>
      <c r="I24" s="33">
        <v>109480</v>
      </c>
      <c r="J24" s="68">
        <v>109505</v>
      </c>
      <c r="K24" s="68">
        <v>25</v>
      </c>
      <c r="L24" s="68">
        <v>109519</v>
      </c>
      <c r="M24" s="68">
        <v>14</v>
      </c>
      <c r="N24" s="33">
        <v>109521</v>
      </c>
      <c r="O24" s="33">
        <v>2</v>
      </c>
      <c r="P24" s="33">
        <v>109525</v>
      </c>
      <c r="Q24" s="33">
        <v>4</v>
      </c>
      <c r="R24" s="33"/>
      <c r="S24" s="33"/>
      <c r="T24" s="33">
        <v>45</v>
      </c>
      <c r="U24" s="34">
        <f>COUNTIFS(P24:Q24,"=0")</f>
        <v>0</v>
      </c>
      <c r="V24" s="118">
        <v>46055</v>
      </c>
      <c r="W24" s="78" t="s">
        <v>218</v>
      </c>
      <c r="X24" s="132" t="s">
        <v>1167</v>
      </c>
    </row>
    <row r="25" spans="1:24" ht="16.5" customHeight="1" x14ac:dyDescent="0.25">
      <c r="A25" s="79" t="s">
        <v>86</v>
      </c>
      <c r="B25" s="79" t="s">
        <v>116</v>
      </c>
      <c r="C25" s="74" t="s">
        <v>105</v>
      </c>
      <c r="D25" s="7" t="s">
        <v>1096</v>
      </c>
      <c r="E25" s="124" t="s">
        <v>254</v>
      </c>
      <c r="F25" s="79" t="s">
        <v>4</v>
      </c>
      <c r="G25" s="79" t="s">
        <v>222</v>
      </c>
      <c r="H25" s="88" t="s">
        <v>127</v>
      </c>
      <c r="I25" s="33">
        <v>133578</v>
      </c>
      <c r="J25" s="68">
        <v>133578</v>
      </c>
      <c r="K25" s="68">
        <v>0</v>
      </c>
      <c r="L25" s="68">
        <v>133578</v>
      </c>
      <c r="M25" s="68">
        <v>0</v>
      </c>
      <c r="N25" s="33">
        <v>133578</v>
      </c>
      <c r="O25" s="33">
        <v>0</v>
      </c>
      <c r="P25" s="33">
        <v>133578</v>
      </c>
      <c r="Q25" s="33">
        <v>0</v>
      </c>
      <c r="R25" s="33"/>
      <c r="S25" s="33"/>
      <c r="T25" s="33">
        <v>0</v>
      </c>
      <c r="U25" s="34">
        <f>COUNTIFS(P25:Q25,"=0")</f>
        <v>1</v>
      </c>
      <c r="V25" s="118">
        <v>46055</v>
      </c>
      <c r="W25" s="149" t="s">
        <v>276</v>
      </c>
      <c r="X25" s="104" t="s">
        <v>1167</v>
      </c>
    </row>
    <row r="26" spans="1:24" ht="16.5" customHeight="1" x14ac:dyDescent="0.25">
      <c r="A26" s="1" t="s">
        <v>86</v>
      </c>
      <c r="B26" s="78" t="s">
        <v>116</v>
      </c>
      <c r="C26" s="72" t="s">
        <v>105</v>
      </c>
      <c r="D26" s="7" t="s">
        <v>180</v>
      </c>
      <c r="E26" s="97" t="s">
        <v>252</v>
      </c>
      <c r="F26" s="78" t="s">
        <v>118</v>
      </c>
      <c r="G26" s="21" t="s">
        <v>32</v>
      </c>
      <c r="H26" s="6" t="s">
        <v>1088</v>
      </c>
      <c r="I26" s="33">
        <v>1120995</v>
      </c>
      <c r="J26" s="68">
        <v>1122867</v>
      </c>
      <c r="K26" s="68">
        <v>1872</v>
      </c>
      <c r="L26" s="68">
        <v>1124149</v>
      </c>
      <c r="M26" s="68">
        <v>1282</v>
      </c>
      <c r="N26" s="33">
        <v>1125599</v>
      </c>
      <c r="O26" s="33">
        <v>1450</v>
      </c>
      <c r="P26" s="33">
        <v>1127905</v>
      </c>
      <c r="Q26" s="33">
        <v>2306</v>
      </c>
      <c r="R26" s="33"/>
      <c r="S26" s="33"/>
      <c r="T26" s="33">
        <v>6910</v>
      </c>
      <c r="U26" s="34">
        <f>COUNTIFS(P26:Q26,"=0")</f>
        <v>0</v>
      </c>
      <c r="V26" s="118">
        <v>46055</v>
      </c>
      <c r="W26" s="146"/>
      <c r="X26" s="15" t="s">
        <v>1167</v>
      </c>
    </row>
    <row r="27" spans="1:24" ht="16.5" customHeight="1" x14ac:dyDescent="0.25">
      <c r="A27" s="79" t="s">
        <v>86</v>
      </c>
      <c r="B27" s="79" t="s">
        <v>116</v>
      </c>
      <c r="C27" s="74" t="s">
        <v>107</v>
      </c>
      <c r="D27" s="7" t="s">
        <v>1164</v>
      </c>
      <c r="E27" s="122" t="s">
        <v>1165</v>
      </c>
      <c r="F27" s="78" t="s">
        <v>3</v>
      </c>
      <c r="G27" s="79" t="s">
        <v>67</v>
      </c>
      <c r="H27" s="88" t="s">
        <v>18</v>
      </c>
      <c r="I27" s="33">
        <v>883585</v>
      </c>
      <c r="J27" s="68">
        <v>886591</v>
      </c>
      <c r="K27" s="68">
        <v>3006</v>
      </c>
      <c r="L27" s="68">
        <v>889617</v>
      </c>
      <c r="M27" s="68">
        <v>3026</v>
      </c>
      <c r="N27" s="33">
        <v>891462</v>
      </c>
      <c r="O27" s="33">
        <v>1845</v>
      </c>
      <c r="P27" s="33">
        <v>894994</v>
      </c>
      <c r="Q27" s="33">
        <v>3532</v>
      </c>
      <c r="R27" s="33"/>
      <c r="S27" s="33"/>
      <c r="T27" s="33">
        <v>11409</v>
      </c>
      <c r="U27" s="34">
        <f>COUNTIFS(P27:Q27,"=0")</f>
        <v>0</v>
      </c>
      <c r="V27" s="118">
        <v>46055</v>
      </c>
      <c r="W27" s="149"/>
      <c r="X27" s="104" t="s">
        <v>1167</v>
      </c>
    </row>
    <row r="28" spans="1:24" ht="16.5" customHeight="1" x14ac:dyDescent="0.25">
      <c r="A28" s="14" t="s">
        <v>86</v>
      </c>
      <c r="B28" s="78" t="s">
        <v>116</v>
      </c>
      <c r="C28" s="72" t="s">
        <v>108</v>
      </c>
      <c r="D28" s="7" t="s">
        <v>181</v>
      </c>
      <c r="E28" s="106" t="s">
        <v>1119</v>
      </c>
      <c r="F28" s="78" t="s">
        <v>118</v>
      </c>
      <c r="G28" s="27" t="s">
        <v>43</v>
      </c>
      <c r="H28" s="6" t="s">
        <v>80</v>
      </c>
      <c r="I28" s="33">
        <v>880220</v>
      </c>
      <c r="J28" s="68">
        <v>887845</v>
      </c>
      <c r="K28" s="68">
        <v>7625</v>
      </c>
      <c r="L28" s="68">
        <v>895685</v>
      </c>
      <c r="M28" s="68">
        <v>7840</v>
      </c>
      <c r="N28" s="33">
        <v>900341</v>
      </c>
      <c r="O28" s="33">
        <v>4656</v>
      </c>
      <c r="P28" s="33">
        <v>908451</v>
      </c>
      <c r="Q28" s="33">
        <v>8110</v>
      </c>
      <c r="R28" s="33"/>
      <c r="S28" s="33"/>
      <c r="T28" s="33">
        <v>28231</v>
      </c>
      <c r="U28" s="34">
        <v>0</v>
      </c>
      <c r="V28" s="118">
        <v>46055</v>
      </c>
      <c r="W28" s="146"/>
      <c r="X28" s="15" t="s">
        <v>1167</v>
      </c>
    </row>
    <row r="29" spans="1:24" ht="16.5" customHeight="1" x14ac:dyDescent="0.25">
      <c r="A29" s="14" t="s">
        <v>86</v>
      </c>
      <c r="B29" s="78" t="s">
        <v>116</v>
      </c>
      <c r="C29" s="72" t="s">
        <v>108</v>
      </c>
      <c r="D29" s="7" t="s">
        <v>182</v>
      </c>
      <c r="E29" s="106" t="s">
        <v>1177</v>
      </c>
      <c r="F29" s="78" t="s">
        <v>3</v>
      </c>
      <c r="G29" s="27" t="s">
        <v>1178</v>
      </c>
      <c r="H29" s="142" t="s">
        <v>46</v>
      </c>
      <c r="I29" s="33">
        <v>1142591</v>
      </c>
      <c r="J29" s="68">
        <v>1143255</v>
      </c>
      <c r="K29" s="68">
        <v>664</v>
      </c>
      <c r="L29" s="68">
        <v>1143777</v>
      </c>
      <c r="M29" s="68">
        <v>522</v>
      </c>
      <c r="N29" s="33">
        <v>1144246</v>
      </c>
      <c r="O29" s="33">
        <v>469</v>
      </c>
      <c r="P29" s="33">
        <v>1144772</v>
      </c>
      <c r="Q29" s="33">
        <v>526</v>
      </c>
      <c r="R29" s="33"/>
      <c r="S29" s="33"/>
      <c r="T29" s="33">
        <v>2181</v>
      </c>
      <c r="U29" s="34">
        <v>0</v>
      </c>
      <c r="V29" s="118">
        <v>46055</v>
      </c>
      <c r="W29" s="146"/>
      <c r="X29" s="15" t="s">
        <v>1167</v>
      </c>
    </row>
    <row r="30" spans="1:24" ht="16.5" customHeight="1" x14ac:dyDescent="0.25">
      <c r="A30" s="14" t="s">
        <v>86</v>
      </c>
      <c r="B30" s="78" t="s">
        <v>116</v>
      </c>
      <c r="C30" s="72" t="s">
        <v>96</v>
      </c>
      <c r="D30" s="7" t="s">
        <v>183</v>
      </c>
      <c r="E30" s="95" t="s">
        <v>1079</v>
      </c>
      <c r="F30" s="78" t="s">
        <v>3</v>
      </c>
      <c r="G30" s="27" t="s">
        <v>1156</v>
      </c>
      <c r="H30" s="6" t="s">
        <v>1080</v>
      </c>
      <c r="I30" s="33">
        <v>191644</v>
      </c>
      <c r="J30" s="68">
        <v>191920</v>
      </c>
      <c r="K30" s="68">
        <v>276</v>
      </c>
      <c r="L30" s="68">
        <v>192503</v>
      </c>
      <c r="M30" s="68">
        <v>583</v>
      </c>
      <c r="N30" s="33">
        <v>192661</v>
      </c>
      <c r="O30" s="33">
        <v>158</v>
      </c>
      <c r="P30" s="33">
        <v>193356</v>
      </c>
      <c r="Q30" s="33">
        <v>695</v>
      </c>
      <c r="R30" s="33"/>
      <c r="S30" s="33"/>
      <c r="T30" s="33">
        <v>1712</v>
      </c>
      <c r="U30" s="34">
        <f>COUNTIFS(P30:Q30,"=0")</f>
        <v>0</v>
      </c>
      <c r="V30" s="118">
        <v>46055</v>
      </c>
      <c r="W30" s="146"/>
      <c r="X30" s="15" t="s">
        <v>1167</v>
      </c>
    </row>
    <row r="31" spans="1:24" ht="16.5" customHeight="1" x14ac:dyDescent="0.25">
      <c r="A31" s="14" t="s">
        <v>86</v>
      </c>
      <c r="B31" s="78" t="s">
        <v>116</v>
      </c>
      <c r="C31" s="72" t="s">
        <v>96</v>
      </c>
      <c r="D31" s="11" t="s">
        <v>184</v>
      </c>
      <c r="E31" s="95" t="s">
        <v>242</v>
      </c>
      <c r="F31" s="78" t="s">
        <v>3</v>
      </c>
      <c r="G31" s="27" t="s">
        <v>1155</v>
      </c>
      <c r="H31" s="88" t="s">
        <v>1154</v>
      </c>
      <c r="I31" s="33">
        <v>1076185</v>
      </c>
      <c r="J31" s="68">
        <v>1078102</v>
      </c>
      <c r="K31" s="68">
        <v>1917</v>
      </c>
      <c r="L31" s="68">
        <v>1080448</v>
      </c>
      <c r="M31" s="68">
        <v>2346</v>
      </c>
      <c r="N31" s="33">
        <v>1081736</v>
      </c>
      <c r="O31" s="33">
        <v>1288</v>
      </c>
      <c r="P31" s="33">
        <v>1083125</v>
      </c>
      <c r="Q31" s="33">
        <v>1389</v>
      </c>
      <c r="R31" s="33"/>
      <c r="S31" s="33"/>
      <c r="T31" s="33">
        <v>6940</v>
      </c>
      <c r="U31" s="34">
        <f>COUNTIFS(P31:Q31,"=0")</f>
        <v>0</v>
      </c>
      <c r="V31" s="118">
        <v>46055</v>
      </c>
      <c r="W31" s="146"/>
      <c r="X31" s="15" t="s">
        <v>1167</v>
      </c>
    </row>
    <row r="32" spans="1:24" s="81" customFormat="1" ht="16.5" customHeight="1" x14ac:dyDescent="0.25">
      <c r="A32" s="14" t="s">
        <v>86</v>
      </c>
      <c r="B32" s="78" t="s">
        <v>116</v>
      </c>
      <c r="C32" s="72" t="s">
        <v>96</v>
      </c>
      <c r="D32" s="11" t="s">
        <v>1161</v>
      </c>
      <c r="E32" s="95" t="s">
        <v>245</v>
      </c>
      <c r="F32" s="78" t="s">
        <v>3</v>
      </c>
      <c r="G32" s="27" t="s">
        <v>17</v>
      </c>
      <c r="H32" s="6" t="s">
        <v>38</v>
      </c>
      <c r="I32" s="33">
        <v>436766</v>
      </c>
      <c r="J32" s="68">
        <v>436881</v>
      </c>
      <c r="K32" s="68">
        <v>115</v>
      </c>
      <c r="L32" s="68">
        <v>437124</v>
      </c>
      <c r="M32" s="68">
        <v>243</v>
      </c>
      <c r="N32" s="33">
        <v>437229</v>
      </c>
      <c r="O32" s="33">
        <v>105</v>
      </c>
      <c r="P32" s="33">
        <v>437392</v>
      </c>
      <c r="Q32" s="33">
        <v>163</v>
      </c>
      <c r="R32" s="33"/>
      <c r="S32" s="33"/>
      <c r="T32" s="33">
        <v>626</v>
      </c>
      <c r="U32" s="34">
        <f>COUNTIFS(P32:Q32,"=0")</f>
        <v>0</v>
      </c>
      <c r="V32" s="118">
        <v>46055</v>
      </c>
      <c r="W32" s="146"/>
      <c r="X32" s="15" t="s">
        <v>1167</v>
      </c>
    </row>
    <row r="33" spans="1:24" s="81" customFormat="1" ht="16.5" customHeight="1" x14ac:dyDescent="0.25">
      <c r="A33" s="14" t="s">
        <v>86</v>
      </c>
      <c r="B33" s="78" t="s">
        <v>116</v>
      </c>
      <c r="C33" s="72" t="s">
        <v>96</v>
      </c>
      <c r="D33" s="7" t="s">
        <v>1157</v>
      </c>
      <c r="E33" s="94" t="s">
        <v>244</v>
      </c>
      <c r="F33" s="78" t="s">
        <v>3</v>
      </c>
      <c r="G33" s="27" t="s">
        <v>1158</v>
      </c>
      <c r="H33" s="6" t="s">
        <v>207</v>
      </c>
      <c r="I33" s="33">
        <v>744252</v>
      </c>
      <c r="J33" s="68">
        <v>745220</v>
      </c>
      <c r="K33" s="68">
        <v>968</v>
      </c>
      <c r="L33" s="68">
        <v>746075</v>
      </c>
      <c r="M33" s="68">
        <v>855</v>
      </c>
      <c r="N33" s="33">
        <v>746416</v>
      </c>
      <c r="O33" s="33">
        <v>341</v>
      </c>
      <c r="P33" s="33">
        <v>747003</v>
      </c>
      <c r="Q33" s="33">
        <v>587</v>
      </c>
      <c r="R33" s="33"/>
      <c r="S33" s="33"/>
      <c r="T33" s="33">
        <v>2751</v>
      </c>
      <c r="U33" s="34">
        <f>COUNTIFS(P33:Q33,"=0")</f>
        <v>0</v>
      </c>
      <c r="V33" s="118">
        <v>46055</v>
      </c>
      <c r="W33" s="150"/>
      <c r="X33" s="120" t="s">
        <v>1167</v>
      </c>
    </row>
    <row r="34" spans="1:24" s="81" customFormat="1" ht="16.5" customHeight="1" x14ac:dyDescent="0.25">
      <c r="A34" s="14" t="s">
        <v>86</v>
      </c>
      <c r="B34" s="78" t="s">
        <v>116</v>
      </c>
      <c r="C34" s="72" t="s">
        <v>96</v>
      </c>
      <c r="D34" s="11" t="s">
        <v>1159</v>
      </c>
      <c r="E34" s="137" t="s">
        <v>244</v>
      </c>
      <c r="F34" s="78" t="s">
        <v>118</v>
      </c>
      <c r="G34" s="27" t="s">
        <v>1160</v>
      </c>
      <c r="H34" s="6" t="s">
        <v>290</v>
      </c>
      <c r="I34" s="33">
        <v>1008830</v>
      </c>
      <c r="J34" s="68">
        <v>1008839</v>
      </c>
      <c r="K34" s="68">
        <v>9</v>
      </c>
      <c r="L34" s="68">
        <v>1008860</v>
      </c>
      <c r="M34" s="68">
        <v>21</v>
      </c>
      <c r="N34" s="33">
        <v>1008886</v>
      </c>
      <c r="O34" s="33">
        <v>26</v>
      </c>
      <c r="P34" s="33">
        <v>1008886</v>
      </c>
      <c r="Q34" s="33">
        <v>0</v>
      </c>
      <c r="R34" s="33"/>
      <c r="S34" s="33"/>
      <c r="T34" s="33">
        <v>56</v>
      </c>
      <c r="U34" s="34">
        <f>COUNTIFS(P34:Q34,"=0")</f>
        <v>1</v>
      </c>
      <c r="V34" s="118">
        <v>46055</v>
      </c>
      <c r="W34" s="146"/>
      <c r="X34" s="15" t="s">
        <v>1167</v>
      </c>
    </row>
    <row r="35" spans="1:24" s="81" customFormat="1" ht="16.5" customHeight="1" x14ac:dyDescent="0.25">
      <c r="A35" s="14" t="s">
        <v>86</v>
      </c>
      <c r="B35" s="78" t="s">
        <v>116</v>
      </c>
      <c r="C35" s="72" t="s">
        <v>112</v>
      </c>
      <c r="D35" s="11" t="s">
        <v>185</v>
      </c>
      <c r="E35" s="85" t="s">
        <v>1030</v>
      </c>
      <c r="F35" s="78" t="s">
        <v>3</v>
      </c>
      <c r="G35" s="27" t="s">
        <v>72</v>
      </c>
      <c r="H35" s="6" t="s">
        <v>73</v>
      </c>
      <c r="I35" s="33">
        <v>620002</v>
      </c>
      <c r="J35" s="68">
        <v>620306</v>
      </c>
      <c r="K35" s="68">
        <v>304</v>
      </c>
      <c r="L35" s="68">
        <v>620488</v>
      </c>
      <c r="M35" s="68">
        <v>182</v>
      </c>
      <c r="N35" s="33">
        <v>620656</v>
      </c>
      <c r="O35" s="33">
        <v>168</v>
      </c>
      <c r="P35" s="33">
        <v>620980</v>
      </c>
      <c r="Q35" s="33">
        <v>324</v>
      </c>
      <c r="R35" s="33"/>
      <c r="S35" s="33"/>
      <c r="T35" s="33">
        <v>978</v>
      </c>
      <c r="U35" s="34">
        <f>COUNTIFS(P35:Q35,"=0")</f>
        <v>0</v>
      </c>
      <c r="V35" s="118">
        <v>46055</v>
      </c>
      <c r="W35" s="146"/>
      <c r="X35" s="15" t="s">
        <v>1167</v>
      </c>
    </row>
    <row r="36" spans="1:24" ht="16.5" customHeight="1" x14ac:dyDescent="0.25">
      <c r="A36" s="14" t="s">
        <v>86</v>
      </c>
      <c r="B36" s="78" t="s">
        <v>116</v>
      </c>
      <c r="C36" s="72" t="s">
        <v>91</v>
      </c>
      <c r="D36" s="127" t="s">
        <v>285</v>
      </c>
      <c r="E36" s="85" t="s">
        <v>267</v>
      </c>
      <c r="F36" s="78" t="s">
        <v>3</v>
      </c>
      <c r="G36" s="27" t="s">
        <v>286</v>
      </c>
      <c r="H36" s="130" t="s">
        <v>281</v>
      </c>
      <c r="I36" s="33">
        <v>441283</v>
      </c>
      <c r="J36" s="68">
        <v>441335</v>
      </c>
      <c r="K36" s="68">
        <v>52</v>
      </c>
      <c r="L36" s="68">
        <v>441434</v>
      </c>
      <c r="M36" s="68">
        <v>99</v>
      </c>
      <c r="N36" s="33">
        <v>441543</v>
      </c>
      <c r="O36" s="33">
        <v>109</v>
      </c>
      <c r="P36" s="33">
        <v>441852</v>
      </c>
      <c r="Q36" s="33">
        <v>309</v>
      </c>
      <c r="R36" s="33"/>
      <c r="S36" s="33"/>
      <c r="T36" s="33">
        <v>569</v>
      </c>
      <c r="U36" s="34">
        <f>COUNTIFS(P36:Q36,"=0")</f>
        <v>0</v>
      </c>
      <c r="V36" s="118">
        <v>46055</v>
      </c>
      <c r="W36" s="146"/>
      <c r="X36" s="15" t="s">
        <v>1167</v>
      </c>
    </row>
    <row r="37" spans="1:24" ht="16.5" customHeight="1" x14ac:dyDescent="0.25">
      <c r="A37" s="78" t="s">
        <v>86</v>
      </c>
      <c r="B37" s="78" t="s">
        <v>116</v>
      </c>
      <c r="C37" s="72" t="s">
        <v>91</v>
      </c>
      <c r="D37" s="11" t="s">
        <v>186</v>
      </c>
      <c r="E37" s="30" t="s">
        <v>1077</v>
      </c>
      <c r="F37" s="90" t="s">
        <v>3</v>
      </c>
      <c r="G37" s="79" t="s">
        <v>10</v>
      </c>
      <c r="H37" s="129" t="s">
        <v>41</v>
      </c>
      <c r="I37" s="33">
        <v>365060</v>
      </c>
      <c r="J37" s="68">
        <v>365240</v>
      </c>
      <c r="K37" s="68">
        <v>180</v>
      </c>
      <c r="L37" s="68">
        <v>365535</v>
      </c>
      <c r="M37" s="68">
        <v>295</v>
      </c>
      <c r="N37" s="33">
        <v>365638</v>
      </c>
      <c r="O37" s="33">
        <v>103</v>
      </c>
      <c r="P37" s="33">
        <v>365893</v>
      </c>
      <c r="Q37" s="33">
        <v>255</v>
      </c>
      <c r="R37" s="33"/>
      <c r="S37" s="33"/>
      <c r="T37" s="33">
        <v>833</v>
      </c>
      <c r="U37" s="34">
        <f>COUNTIFS(P37:Q37,"=0")</f>
        <v>0</v>
      </c>
      <c r="V37" s="118">
        <v>46055</v>
      </c>
      <c r="W37" s="90"/>
      <c r="X37" s="80" t="s">
        <v>1167</v>
      </c>
    </row>
    <row r="38" spans="1:24" ht="16.5" customHeight="1" x14ac:dyDescent="0.25">
      <c r="A38" s="14" t="s">
        <v>86</v>
      </c>
      <c r="B38" s="78" t="s">
        <v>116</v>
      </c>
      <c r="C38" s="72" t="s">
        <v>106</v>
      </c>
      <c r="D38" s="10" t="s">
        <v>188</v>
      </c>
      <c r="E38" s="84" t="s">
        <v>264</v>
      </c>
      <c r="F38" s="78" t="s">
        <v>3</v>
      </c>
      <c r="G38" s="27" t="s">
        <v>71</v>
      </c>
      <c r="H38" s="6" t="s">
        <v>28</v>
      </c>
      <c r="I38" s="33">
        <v>563389</v>
      </c>
      <c r="J38" s="68">
        <v>564047</v>
      </c>
      <c r="K38" s="68">
        <v>658</v>
      </c>
      <c r="L38" s="68">
        <v>564726</v>
      </c>
      <c r="M38" s="68">
        <v>679</v>
      </c>
      <c r="N38" s="33">
        <v>564950</v>
      </c>
      <c r="O38" s="33">
        <v>224</v>
      </c>
      <c r="P38" s="33">
        <v>565271</v>
      </c>
      <c r="Q38" s="33">
        <v>321</v>
      </c>
      <c r="R38" s="33"/>
      <c r="S38" s="33"/>
      <c r="T38" s="33">
        <v>1882</v>
      </c>
      <c r="U38" s="34">
        <f>COUNTIFS(P38:Q38,"=0")</f>
        <v>0</v>
      </c>
      <c r="V38" s="118">
        <v>46055</v>
      </c>
      <c r="W38" s="151"/>
      <c r="X38" s="25" t="s">
        <v>1167</v>
      </c>
    </row>
    <row r="39" spans="1:24" ht="16.5" customHeight="1" x14ac:dyDescent="0.25">
      <c r="A39" s="14" t="s">
        <v>86</v>
      </c>
      <c r="B39" s="78" t="s">
        <v>116</v>
      </c>
      <c r="C39" s="73" t="s">
        <v>106</v>
      </c>
      <c r="D39" s="7" t="s">
        <v>187</v>
      </c>
      <c r="E39" s="31" t="s">
        <v>263</v>
      </c>
      <c r="F39" s="78" t="s">
        <v>3</v>
      </c>
      <c r="G39" s="27" t="s">
        <v>36</v>
      </c>
      <c r="H39" s="6" t="s">
        <v>37</v>
      </c>
      <c r="I39" s="33">
        <v>1010936</v>
      </c>
      <c r="J39" s="68">
        <v>1011703</v>
      </c>
      <c r="K39" s="68">
        <v>767</v>
      </c>
      <c r="L39" s="68">
        <v>1012598</v>
      </c>
      <c r="M39" s="68">
        <v>895</v>
      </c>
      <c r="N39" s="33">
        <v>1013266</v>
      </c>
      <c r="O39" s="33">
        <v>668</v>
      </c>
      <c r="P39" s="33">
        <v>1015112</v>
      </c>
      <c r="Q39" s="33">
        <v>1846</v>
      </c>
      <c r="R39" s="33"/>
      <c r="S39" s="33"/>
      <c r="T39" s="33">
        <v>4176</v>
      </c>
      <c r="U39" s="34">
        <f>COUNTIFS(P39:Q39,"=0")</f>
        <v>0</v>
      </c>
      <c r="V39" s="118">
        <v>46055</v>
      </c>
      <c r="W39" s="112"/>
      <c r="X39" s="18" t="s">
        <v>1167</v>
      </c>
    </row>
    <row r="40" spans="1:24" ht="16.5" customHeight="1" x14ac:dyDescent="0.25">
      <c r="A40" s="6" t="s">
        <v>86</v>
      </c>
      <c r="B40" s="88" t="s">
        <v>116</v>
      </c>
      <c r="C40" s="76" t="s">
        <v>87</v>
      </c>
      <c r="D40" s="11" t="s">
        <v>190</v>
      </c>
      <c r="E40" s="140" t="s">
        <v>214</v>
      </c>
      <c r="F40" s="88" t="s">
        <v>220</v>
      </c>
      <c r="G40" s="27" t="s">
        <v>83</v>
      </c>
      <c r="H40" s="6" t="s">
        <v>221</v>
      </c>
      <c r="I40" s="33">
        <v>115858</v>
      </c>
      <c r="J40" s="68">
        <v>116150</v>
      </c>
      <c r="K40" s="68">
        <v>292</v>
      </c>
      <c r="L40" s="68">
        <v>116363</v>
      </c>
      <c r="M40" s="68">
        <v>213</v>
      </c>
      <c r="N40" s="33">
        <v>116528</v>
      </c>
      <c r="O40" s="33">
        <v>165</v>
      </c>
      <c r="P40" s="33">
        <v>116791</v>
      </c>
      <c r="Q40" s="33">
        <v>263</v>
      </c>
      <c r="R40" s="33"/>
      <c r="S40" s="33"/>
      <c r="T40" s="33">
        <v>933</v>
      </c>
      <c r="U40" s="34">
        <f>COUNTIFS(P40:Q40,"=0")</f>
        <v>0</v>
      </c>
      <c r="V40" s="118">
        <v>46055</v>
      </c>
      <c r="W40" s="146" t="s">
        <v>1083</v>
      </c>
      <c r="X40" s="15" t="s">
        <v>1167</v>
      </c>
    </row>
    <row r="41" spans="1:24" ht="16.5" customHeight="1" x14ac:dyDescent="0.25">
      <c r="A41" s="14" t="s">
        <v>86</v>
      </c>
      <c r="B41" s="78" t="s">
        <v>116</v>
      </c>
      <c r="C41" s="72" t="s">
        <v>87</v>
      </c>
      <c r="D41" s="7" t="s">
        <v>161</v>
      </c>
      <c r="E41" s="28" t="s">
        <v>214</v>
      </c>
      <c r="F41" s="78" t="s">
        <v>3</v>
      </c>
      <c r="G41" s="22" t="s">
        <v>5</v>
      </c>
      <c r="H41" s="131" t="s">
        <v>6</v>
      </c>
      <c r="I41" s="33">
        <v>448186</v>
      </c>
      <c r="J41" s="68">
        <v>448499</v>
      </c>
      <c r="K41" s="68">
        <v>313</v>
      </c>
      <c r="L41" s="68">
        <v>449180</v>
      </c>
      <c r="M41" s="68">
        <v>681</v>
      </c>
      <c r="N41" s="33">
        <v>449445</v>
      </c>
      <c r="O41" s="33">
        <v>265</v>
      </c>
      <c r="P41" s="33">
        <v>450223</v>
      </c>
      <c r="Q41" s="33">
        <v>778</v>
      </c>
      <c r="R41" s="33"/>
      <c r="S41" s="33"/>
      <c r="T41" s="33">
        <v>2037</v>
      </c>
      <c r="U41" s="34">
        <f>COUNTIFS(P41:Q41,"=0")</f>
        <v>0</v>
      </c>
      <c r="V41" s="118">
        <v>46055</v>
      </c>
      <c r="W41" s="112" t="s">
        <v>1083</v>
      </c>
      <c r="X41" s="18" t="s">
        <v>1167</v>
      </c>
    </row>
    <row r="42" spans="1:24" ht="16.5" customHeight="1" x14ac:dyDescent="0.25">
      <c r="A42" s="2" t="s">
        <v>86</v>
      </c>
      <c r="B42" s="89" t="s">
        <v>116</v>
      </c>
      <c r="C42" s="71" t="s">
        <v>87</v>
      </c>
      <c r="D42" s="7" t="s">
        <v>1193</v>
      </c>
      <c r="E42" s="29" t="s">
        <v>1194</v>
      </c>
      <c r="F42" s="78" t="s">
        <v>42</v>
      </c>
      <c r="G42" s="24" t="s">
        <v>1087</v>
      </c>
      <c r="H42" s="110" t="s">
        <v>154</v>
      </c>
      <c r="I42" s="33">
        <v>44045</v>
      </c>
      <c r="J42" s="68">
        <v>44045</v>
      </c>
      <c r="K42" s="68">
        <v>0</v>
      </c>
      <c r="L42" s="68">
        <v>44045</v>
      </c>
      <c r="M42" s="68">
        <v>0</v>
      </c>
      <c r="N42" s="33">
        <v>44045</v>
      </c>
      <c r="O42" s="33">
        <v>0</v>
      </c>
      <c r="P42" s="33">
        <v>44045</v>
      </c>
      <c r="Q42" s="33">
        <v>0</v>
      </c>
      <c r="R42" s="33"/>
      <c r="S42" s="33"/>
      <c r="T42" s="33">
        <v>0</v>
      </c>
      <c r="U42" s="34">
        <v>0</v>
      </c>
      <c r="V42" s="118">
        <v>46055</v>
      </c>
      <c r="W42" s="146" t="s">
        <v>1195</v>
      </c>
      <c r="X42" s="15" t="s">
        <v>1167</v>
      </c>
    </row>
    <row r="43" spans="1:24" ht="16.5" customHeight="1" x14ac:dyDescent="0.25">
      <c r="A43" s="2" t="s">
        <v>86</v>
      </c>
      <c r="B43" s="89" t="s">
        <v>116</v>
      </c>
      <c r="C43" s="71" t="s">
        <v>87</v>
      </c>
      <c r="D43" s="7" t="s">
        <v>1201</v>
      </c>
      <c r="E43" s="29" t="s">
        <v>1202</v>
      </c>
      <c r="F43" s="78" t="s">
        <v>1203</v>
      </c>
      <c r="G43" s="24" t="s">
        <v>1204</v>
      </c>
      <c r="H43" s="110" t="s">
        <v>1205</v>
      </c>
      <c r="I43" s="33">
        <v>3552</v>
      </c>
      <c r="J43" s="68">
        <v>3552</v>
      </c>
      <c r="K43" s="68">
        <v>0</v>
      </c>
      <c r="L43" s="68">
        <v>3727</v>
      </c>
      <c r="M43" s="68">
        <v>175</v>
      </c>
      <c r="N43" s="33">
        <v>3727</v>
      </c>
      <c r="O43" s="33">
        <v>0</v>
      </c>
      <c r="P43" s="33">
        <v>3727</v>
      </c>
      <c r="Q43" s="33">
        <v>0</v>
      </c>
      <c r="R43" s="33"/>
      <c r="S43" s="33"/>
      <c r="T43" s="33">
        <v>175</v>
      </c>
      <c r="U43" s="34">
        <v>0</v>
      </c>
      <c r="V43" s="118">
        <v>46055</v>
      </c>
      <c r="W43" s="146" t="s">
        <v>1206</v>
      </c>
      <c r="X43" s="15" t="s">
        <v>1167</v>
      </c>
    </row>
    <row r="44" spans="1:24" ht="16.5" customHeight="1" x14ac:dyDescent="0.25">
      <c r="A44" s="78" t="s">
        <v>86</v>
      </c>
      <c r="B44" s="78" t="s">
        <v>116</v>
      </c>
      <c r="C44" s="72" t="s">
        <v>99</v>
      </c>
      <c r="D44" s="7" t="s">
        <v>193</v>
      </c>
      <c r="E44" s="141" t="s">
        <v>266</v>
      </c>
      <c r="F44" s="78" t="s">
        <v>4</v>
      </c>
      <c r="G44" s="79" t="s">
        <v>23</v>
      </c>
      <c r="H44" s="88" t="s">
        <v>124</v>
      </c>
      <c r="I44" s="33">
        <v>284744</v>
      </c>
      <c r="J44" s="68">
        <v>284753</v>
      </c>
      <c r="K44" s="68">
        <v>9</v>
      </c>
      <c r="L44" s="68">
        <v>284753</v>
      </c>
      <c r="M44" s="68">
        <v>0</v>
      </c>
      <c r="N44" s="33">
        <v>284860</v>
      </c>
      <c r="O44" s="33">
        <v>107</v>
      </c>
      <c r="P44" s="33">
        <v>285107</v>
      </c>
      <c r="Q44" s="33">
        <v>247</v>
      </c>
      <c r="R44" s="33"/>
      <c r="S44" s="33"/>
      <c r="T44" s="33">
        <v>363</v>
      </c>
      <c r="U44" s="34">
        <f>COUNTIFS(P44:Q44,"=0")</f>
        <v>0</v>
      </c>
      <c r="V44" s="118">
        <v>46055</v>
      </c>
      <c r="W44" s="90"/>
      <c r="X44" s="80" t="s">
        <v>1167</v>
      </c>
    </row>
    <row r="45" spans="1:24" s="81" customFormat="1" ht="16.5" customHeight="1" x14ac:dyDescent="0.25">
      <c r="A45" s="14" t="s">
        <v>86</v>
      </c>
      <c r="B45" s="78" t="s">
        <v>116</v>
      </c>
      <c r="C45" s="72" t="s">
        <v>99</v>
      </c>
      <c r="D45" s="7" t="s">
        <v>194</v>
      </c>
      <c r="E45" s="31" t="s">
        <v>266</v>
      </c>
      <c r="F45" s="78" t="s">
        <v>3</v>
      </c>
      <c r="G45" s="27" t="s">
        <v>78</v>
      </c>
      <c r="H45" s="6" t="s">
        <v>79</v>
      </c>
      <c r="I45" s="33">
        <v>1216545</v>
      </c>
      <c r="J45" s="68">
        <v>1216988</v>
      </c>
      <c r="K45" s="68">
        <v>443</v>
      </c>
      <c r="L45" s="68">
        <v>1217668</v>
      </c>
      <c r="M45" s="68">
        <v>680</v>
      </c>
      <c r="N45" s="33">
        <v>1219221</v>
      </c>
      <c r="O45" s="33">
        <v>1553</v>
      </c>
      <c r="P45" s="33">
        <v>1221434</v>
      </c>
      <c r="Q45" s="33">
        <v>2213</v>
      </c>
      <c r="R45" s="33"/>
      <c r="S45" s="33"/>
      <c r="T45" s="33">
        <v>4889</v>
      </c>
      <c r="U45" s="34">
        <f>COUNTIFS(P45:Q45,"=0")</f>
        <v>0</v>
      </c>
      <c r="V45" s="118">
        <v>46055</v>
      </c>
      <c r="W45" s="146"/>
      <c r="X45" s="15" t="s">
        <v>1167</v>
      </c>
    </row>
    <row r="46" spans="1:24" ht="16.5" customHeight="1" x14ac:dyDescent="0.25">
      <c r="A46" s="14" t="s">
        <v>86</v>
      </c>
      <c r="B46" s="78" t="s">
        <v>116</v>
      </c>
      <c r="C46" s="72" t="s">
        <v>100</v>
      </c>
      <c r="D46" s="7" t="s">
        <v>1036</v>
      </c>
      <c r="E46" s="31" t="s">
        <v>223</v>
      </c>
      <c r="F46" s="78" t="s">
        <v>292</v>
      </c>
      <c r="G46" s="14" t="s">
        <v>84</v>
      </c>
      <c r="H46" s="6" t="s">
        <v>293</v>
      </c>
      <c r="I46" s="33">
        <v>37570</v>
      </c>
      <c r="J46" s="68">
        <v>37657</v>
      </c>
      <c r="K46" s="68">
        <v>87</v>
      </c>
      <c r="L46" s="68">
        <v>37768</v>
      </c>
      <c r="M46" s="68">
        <v>111</v>
      </c>
      <c r="N46" s="33">
        <v>38025</v>
      </c>
      <c r="O46" s="33">
        <v>257</v>
      </c>
      <c r="P46" s="33">
        <v>38342</v>
      </c>
      <c r="Q46" s="33">
        <v>317</v>
      </c>
      <c r="R46" s="33"/>
      <c r="S46" s="33"/>
      <c r="T46" s="33">
        <v>772</v>
      </c>
      <c r="U46" s="34">
        <f>COUNTIFS(P46:Q46,"=0")</f>
        <v>0</v>
      </c>
      <c r="V46" s="118">
        <v>46055</v>
      </c>
      <c r="W46" s="146"/>
      <c r="X46" s="15" t="s">
        <v>1167</v>
      </c>
    </row>
    <row r="47" spans="1:24" ht="16.5" customHeight="1" x14ac:dyDescent="0.25">
      <c r="A47" s="14" t="s">
        <v>86</v>
      </c>
      <c r="B47" s="78" t="s">
        <v>116</v>
      </c>
      <c r="C47" s="72" t="s">
        <v>100</v>
      </c>
      <c r="D47" s="7" t="s">
        <v>196</v>
      </c>
      <c r="E47" s="31" t="s">
        <v>223</v>
      </c>
      <c r="F47" s="78" t="s">
        <v>3</v>
      </c>
      <c r="G47" s="27" t="s">
        <v>21</v>
      </c>
      <c r="H47" s="6" t="s">
        <v>22</v>
      </c>
      <c r="I47" s="33">
        <v>161041</v>
      </c>
      <c r="J47" s="68">
        <v>161071</v>
      </c>
      <c r="K47" s="68">
        <v>30</v>
      </c>
      <c r="L47" s="68">
        <v>161091</v>
      </c>
      <c r="M47" s="68">
        <v>20</v>
      </c>
      <c r="N47" s="33">
        <v>161117</v>
      </c>
      <c r="O47" s="33">
        <v>26</v>
      </c>
      <c r="P47" s="33">
        <v>161242</v>
      </c>
      <c r="Q47" s="33">
        <v>125</v>
      </c>
      <c r="R47" s="33"/>
      <c r="S47" s="33"/>
      <c r="T47" s="33">
        <v>201</v>
      </c>
      <c r="U47" s="34">
        <f>COUNTIFS(P47:Q47,"=0")</f>
        <v>0</v>
      </c>
      <c r="V47" s="118">
        <v>46055</v>
      </c>
      <c r="W47" s="146"/>
      <c r="X47" s="15" t="s">
        <v>1167</v>
      </c>
    </row>
    <row r="48" spans="1:24" ht="16.5" customHeight="1" x14ac:dyDescent="0.25">
      <c r="A48" s="14" t="s">
        <v>86</v>
      </c>
      <c r="B48" s="78" t="s">
        <v>116</v>
      </c>
      <c r="C48" s="72" t="s">
        <v>100</v>
      </c>
      <c r="D48" s="110" t="s">
        <v>197</v>
      </c>
      <c r="E48" s="99" t="s">
        <v>268</v>
      </c>
      <c r="F48" s="78" t="s">
        <v>42</v>
      </c>
      <c r="G48" s="27" t="s">
        <v>75</v>
      </c>
      <c r="H48" s="6" t="s">
        <v>147</v>
      </c>
      <c r="I48" s="33">
        <v>23783</v>
      </c>
      <c r="J48" s="68">
        <v>23832</v>
      </c>
      <c r="K48" s="68">
        <v>49</v>
      </c>
      <c r="L48" s="68">
        <v>23840</v>
      </c>
      <c r="M48" s="68">
        <v>8</v>
      </c>
      <c r="N48" s="33">
        <v>23841</v>
      </c>
      <c r="O48" s="33">
        <v>1</v>
      </c>
      <c r="P48" s="33">
        <v>23842</v>
      </c>
      <c r="Q48" s="33">
        <v>1</v>
      </c>
      <c r="R48" s="33"/>
      <c r="S48" s="33"/>
      <c r="T48" s="33">
        <v>59</v>
      </c>
      <c r="U48" s="34">
        <f>COUNTIFS(P48:Q48,"=0")</f>
        <v>0</v>
      </c>
      <c r="V48" s="118">
        <v>46055</v>
      </c>
      <c r="W48" s="146"/>
      <c r="X48" s="15" t="s">
        <v>1167</v>
      </c>
    </row>
    <row r="49" spans="1:24" ht="16.5" customHeight="1" x14ac:dyDescent="0.25">
      <c r="A49" s="2" t="s">
        <v>86</v>
      </c>
      <c r="B49" s="89" t="s">
        <v>116</v>
      </c>
      <c r="C49" s="71" t="s">
        <v>100</v>
      </c>
      <c r="D49" s="7" t="s">
        <v>1035</v>
      </c>
      <c r="E49" s="31" t="s">
        <v>223</v>
      </c>
      <c r="F49" s="78" t="s">
        <v>42</v>
      </c>
      <c r="G49" s="24" t="s">
        <v>158</v>
      </c>
      <c r="H49" s="102" t="s">
        <v>159</v>
      </c>
      <c r="I49" s="33">
        <v>11484</v>
      </c>
      <c r="J49" s="68">
        <v>11484</v>
      </c>
      <c r="K49" s="68">
        <v>0</v>
      </c>
      <c r="L49" s="68">
        <v>11489</v>
      </c>
      <c r="M49" s="68">
        <v>5</v>
      </c>
      <c r="N49" s="33">
        <v>11492</v>
      </c>
      <c r="O49" s="33">
        <v>3</v>
      </c>
      <c r="P49" s="33">
        <v>11528</v>
      </c>
      <c r="Q49" s="33">
        <v>36</v>
      </c>
      <c r="R49" s="33"/>
      <c r="S49" s="33"/>
      <c r="T49" s="33">
        <v>44</v>
      </c>
      <c r="U49" s="34">
        <f>COUNTIFS(P49:Q49,"=0")</f>
        <v>0</v>
      </c>
      <c r="V49" s="118">
        <v>46055</v>
      </c>
      <c r="W49" s="146"/>
      <c r="X49" s="15" t="s">
        <v>1167</v>
      </c>
    </row>
    <row r="50" spans="1:24" ht="16.5" customHeight="1" x14ac:dyDescent="0.25">
      <c r="A50" s="2" t="s">
        <v>86</v>
      </c>
      <c r="B50" s="89" t="s">
        <v>116</v>
      </c>
      <c r="C50" s="71" t="s">
        <v>1196</v>
      </c>
      <c r="D50" s="9" t="s">
        <v>1133</v>
      </c>
      <c r="E50" s="31" t="s">
        <v>1197</v>
      </c>
      <c r="F50" s="89" t="s">
        <v>4</v>
      </c>
      <c r="G50" s="24" t="s">
        <v>1198</v>
      </c>
      <c r="H50" s="102" t="s">
        <v>141</v>
      </c>
      <c r="I50" s="33">
        <v>154183</v>
      </c>
      <c r="J50" s="68">
        <v>154221</v>
      </c>
      <c r="K50" s="68">
        <v>38</v>
      </c>
      <c r="L50" s="68">
        <v>154258</v>
      </c>
      <c r="M50" s="68">
        <v>37</v>
      </c>
      <c r="N50" s="33">
        <v>154277</v>
      </c>
      <c r="O50" s="33">
        <v>19</v>
      </c>
      <c r="P50" s="33">
        <v>154288</v>
      </c>
      <c r="Q50" s="33">
        <v>11</v>
      </c>
      <c r="R50" s="33"/>
      <c r="S50" s="33"/>
      <c r="T50" s="33">
        <v>105</v>
      </c>
      <c r="U50" s="34">
        <v>0</v>
      </c>
      <c r="V50" s="118">
        <v>46055</v>
      </c>
      <c r="W50" s="146" t="s">
        <v>1199</v>
      </c>
      <c r="X50" s="15" t="s">
        <v>1167</v>
      </c>
    </row>
    <row r="51" spans="1:24" s="81" customFormat="1" ht="16.5" customHeight="1" x14ac:dyDescent="0.25">
      <c r="A51" s="89" t="s">
        <v>86</v>
      </c>
      <c r="B51" s="87" t="s">
        <v>116</v>
      </c>
      <c r="C51" s="17" t="s">
        <v>274</v>
      </c>
      <c r="D51" s="9" t="s">
        <v>1027</v>
      </c>
      <c r="E51" s="29" t="s">
        <v>224</v>
      </c>
      <c r="F51" s="89" t="s">
        <v>4</v>
      </c>
      <c r="G51" s="103" t="s">
        <v>135</v>
      </c>
      <c r="H51" s="145" t="s">
        <v>136</v>
      </c>
      <c r="I51" s="33">
        <v>203459</v>
      </c>
      <c r="J51" s="68">
        <v>203635</v>
      </c>
      <c r="K51" s="68">
        <v>176</v>
      </c>
      <c r="L51" s="68">
        <v>203970</v>
      </c>
      <c r="M51" s="68">
        <v>335</v>
      </c>
      <c r="N51" s="33">
        <v>204083</v>
      </c>
      <c r="O51" s="33">
        <v>113</v>
      </c>
      <c r="P51" s="33">
        <v>204551</v>
      </c>
      <c r="Q51" s="33">
        <v>468</v>
      </c>
      <c r="R51" s="33"/>
      <c r="S51" s="33"/>
      <c r="T51" s="33">
        <v>1092</v>
      </c>
      <c r="U51" s="34">
        <f>COUNTIFS(P51:Q51,"=0")</f>
        <v>0</v>
      </c>
      <c r="V51" s="118">
        <v>46055</v>
      </c>
      <c r="W51" s="90"/>
      <c r="X51" s="80" t="s">
        <v>1167</v>
      </c>
    </row>
    <row r="52" spans="1:24" ht="16.5" customHeight="1" x14ac:dyDescent="0.25">
      <c r="A52" s="78" t="s">
        <v>86</v>
      </c>
      <c r="B52" s="78" t="s">
        <v>116</v>
      </c>
      <c r="C52" s="17" t="s">
        <v>275</v>
      </c>
      <c r="D52" s="111" t="s">
        <v>228</v>
      </c>
      <c r="E52" s="123" t="s">
        <v>227</v>
      </c>
      <c r="F52" s="89" t="s">
        <v>4</v>
      </c>
      <c r="G52" s="79" t="s">
        <v>203</v>
      </c>
      <c r="H52" s="88" t="s">
        <v>204</v>
      </c>
      <c r="I52" s="33">
        <v>342346</v>
      </c>
      <c r="J52" s="68">
        <v>343312</v>
      </c>
      <c r="K52" s="68">
        <v>966</v>
      </c>
      <c r="L52" s="68">
        <v>344070</v>
      </c>
      <c r="M52" s="68">
        <v>758</v>
      </c>
      <c r="N52" s="33">
        <v>344384</v>
      </c>
      <c r="O52" s="33">
        <v>314</v>
      </c>
      <c r="P52" s="33">
        <v>345378</v>
      </c>
      <c r="Q52" s="33">
        <v>994</v>
      </c>
      <c r="R52" s="33"/>
      <c r="S52" s="33"/>
      <c r="T52" s="33">
        <v>3032</v>
      </c>
      <c r="U52" s="34">
        <f>COUNTIFS(P52:Q52,"=0")</f>
        <v>0</v>
      </c>
      <c r="V52" s="118">
        <v>46055</v>
      </c>
      <c r="W52" s="90"/>
      <c r="X52" s="80" t="s">
        <v>1167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9:U36 U38:U52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5:G36 G2:G7 G9:G11 G21:G23 G25:G33 G13:G19">
    <cfRule type="duplicateValues" dxfId="288" priority="98"/>
  </conditionalFormatting>
  <conditionalFormatting sqref="G20">
    <cfRule type="duplicateValues" dxfId="287" priority="83"/>
  </conditionalFormatting>
  <conditionalFormatting sqref="G34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4">
    <cfRule type="duplicateValues" dxfId="277" priority="36"/>
  </conditionalFormatting>
  <conditionalFormatting sqref="H24">
    <cfRule type="duplicateValues" dxfId="276" priority="37"/>
    <cfRule type="duplicateValues" dxfId="275" priority="38"/>
  </conditionalFormatting>
  <conditionalFormatting sqref="H24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85</v>
      </c>
      <c r="B1" s="35" t="s">
        <v>119</v>
      </c>
      <c r="C1" s="35" t="s">
        <v>295</v>
      </c>
      <c r="D1" s="35" t="s">
        <v>296</v>
      </c>
      <c r="E1" s="35" t="s">
        <v>0</v>
      </c>
      <c r="F1" s="35" t="s">
        <v>297</v>
      </c>
      <c r="G1" s="35" t="s">
        <v>1</v>
      </c>
      <c r="H1" s="35">
        <v>42643</v>
      </c>
      <c r="I1" s="35" t="s">
        <v>298</v>
      </c>
      <c r="J1" s="35" t="s">
        <v>299</v>
      </c>
      <c r="K1" s="35" t="s">
        <v>300</v>
      </c>
      <c r="L1" s="35" t="s">
        <v>301</v>
      </c>
      <c r="M1" s="35" t="s">
        <v>302</v>
      </c>
      <c r="N1" s="35" t="s">
        <v>303</v>
      </c>
      <c r="O1" s="35" t="s">
        <v>304</v>
      </c>
      <c r="P1" s="35" t="s">
        <v>305</v>
      </c>
      <c r="Q1" s="35">
        <v>42674</v>
      </c>
      <c r="R1" s="35" t="s">
        <v>306</v>
      </c>
      <c r="S1" s="35" t="s">
        <v>208</v>
      </c>
      <c r="T1" s="35" t="s">
        <v>205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307</v>
      </c>
      <c r="B2" s="38" t="s">
        <v>308</v>
      </c>
      <c r="C2" s="39">
        <v>9262</v>
      </c>
      <c r="D2" s="38" t="s">
        <v>309</v>
      </c>
      <c r="E2" s="38" t="s">
        <v>4</v>
      </c>
      <c r="F2" s="38" t="s">
        <v>310</v>
      </c>
      <c r="G2" s="38" t="s">
        <v>311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312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313</v>
      </c>
      <c r="B3" s="38" t="s">
        <v>314</v>
      </c>
      <c r="C3" s="39">
        <v>9296</v>
      </c>
      <c r="D3" s="38" t="s">
        <v>315</v>
      </c>
      <c r="E3" s="38" t="s">
        <v>3</v>
      </c>
      <c r="F3" s="38" t="s">
        <v>316</v>
      </c>
      <c r="G3" s="38" t="s">
        <v>317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318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313</v>
      </c>
      <c r="B4" s="38" t="s">
        <v>314</v>
      </c>
      <c r="C4" s="39">
        <v>9296</v>
      </c>
      <c r="D4" s="38" t="s">
        <v>319</v>
      </c>
      <c r="E4" s="38" t="s">
        <v>4</v>
      </c>
      <c r="F4" s="38" t="s">
        <v>320</v>
      </c>
      <c r="G4" s="38" t="s">
        <v>321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322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323</v>
      </c>
      <c r="B5" s="43" t="s">
        <v>324</v>
      </c>
      <c r="C5" s="44">
        <v>9611</v>
      </c>
      <c r="D5" s="38" t="s">
        <v>325</v>
      </c>
      <c r="E5" s="13" t="s">
        <v>4</v>
      </c>
      <c r="F5" s="38" t="s">
        <v>326</v>
      </c>
      <c r="G5" s="13" t="s">
        <v>327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328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313</v>
      </c>
      <c r="B6" s="38" t="s">
        <v>329</v>
      </c>
      <c r="C6" s="39">
        <v>9439</v>
      </c>
      <c r="D6" s="38" t="s">
        <v>330</v>
      </c>
      <c r="E6" s="38" t="s">
        <v>4</v>
      </c>
      <c r="F6" s="38" t="s">
        <v>331</v>
      </c>
      <c r="G6" s="38" t="s">
        <v>332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333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334</v>
      </c>
      <c r="B7" s="38" t="s">
        <v>335</v>
      </c>
      <c r="C7" s="39">
        <v>9942</v>
      </c>
      <c r="D7" s="38" t="s">
        <v>336</v>
      </c>
      <c r="E7" s="38" t="s">
        <v>3</v>
      </c>
      <c r="F7" s="38" t="s">
        <v>337</v>
      </c>
      <c r="G7" s="38" t="s">
        <v>338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339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313</v>
      </c>
      <c r="B8" s="38" t="s">
        <v>340</v>
      </c>
      <c r="C8" s="39">
        <v>9945</v>
      </c>
      <c r="D8" s="38" t="s">
        <v>341</v>
      </c>
      <c r="E8" s="38" t="s">
        <v>4</v>
      </c>
      <c r="F8" s="38" t="s">
        <v>342</v>
      </c>
      <c r="G8" s="38" t="s">
        <v>343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344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334</v>
      </c>
      <c r="B9" s="38" t="s">
        <v>345</v>
      </c>
      <c r="C9" s="39">
        <v>9215</v>
      </c>
      <c r="D9" s="38" t="s">
        <v>346</v>
      </c>
      <c r="E9" s="38" t="s">
        <v>3</v>
      </c>
      <c r="F9" s="38" t="s">
        <v>347</v>
      </c>
      <c r="G9" s="38" t="s">
        <v>348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349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334</v>
      </c>
      <c r="B10" s="38" t="s">
        <v>345</v>
      </c>
      <c r="C10" s="39">
        <v>9215</v>
      </c>
      <c r="D10" s="38" t="s">
        <v>350</v>
      </c>
      <c r="E10" s="38" t="s">
        <v>4</v>
      </c>
      <c r="F10" s="38" t="s">
        <v>351</v>
      </c>
      <c r="G10" s="38" t="s">
        <v>352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353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307</v>
      </c>
      <c r="B11" s="38" t="s">
        <v>354</v>
      </c>
      <c r="C11" s="39">
        <v>9251</v>
      </c>
      <c r="D11" s="38" t="s">
        <v>355</v>
      </c>
      <c r="E11" s="38" t="s">
        <v>3</v>
      </c>
      <c r="F11" s="38" t="s">
        <v>356</v>
      </c>
      <c r="G11" s="38" t="s">
        <v>357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358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307</v>
      </c>
      <c r="B12" s="38" t="s">
        <v>354</v>
      </c>
      <c r="C12" s="39">
        <v>9251</v>
      </c>
      <c r="D12" s="38" t="s">
        <v>359</v>
      </c>
      <c r="E12" s="38" t="s">
        <v>4</v>
      </c>
      <c r="F12" s="38" t="s">
        <v>360</v>
      </c>
      <c r="G12" s="38" t="s">
        <v>361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362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334</v>
      </c>
      <c r="B13" s="43" t="s">
        <v>363</v>
      </c>
      <c r="C13" s="44">
        <v>9254</v>
      </c>
      <c r="D13" s="38" t="s">
        <v>364</v>
      </c>
      <c r="E13" s="13" t="s">
        <v>4</v>
      </c>
      <c r="F13" s="38" t="s">
        <v>365</v>
      </c>
      <c r="G13" s="13" t="s">
        <v>366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367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313</v>
      </c>
      <c r="B14" s="38" t="s">
        <v>368</v>
      </c>
      <c r="C14" s="39">
        <v>9364</v>
      </c>
      <c r="D14" s="38" t="s">
        <v>369</v>
      </c>
      <c r="E14" s="38" t="s">
        <v>3</v>
      </c>
      <c r="F14" s="38" t="s">
        <v>370</v>
      </c>
      <c r="G14" s="38" t="s">
        <v>371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372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334</v>
      </c>
      <c r="B15" s="38" t="s">
        <v>373</v>
      </c>
      <c r="C15" s="45">
        <v>9223</v>
      </c>
      <c r="D15" s="38" t="s">
        <v>374</v>
      </c>
      <c r="E15" s="38" t="s">
        <v>3</v>
      </c>
      <c r="F15" s="38" t="s">
        <v>375</v>
      </c>
      <c r="G15" s="38" t="s">
        <v>376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377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334</v>
      </c>
      <c r="B16" s="38" t="s">
        <v>373</v>
      </c>
      <c r="C16" s="45">
        <v>9223</v>
      </c>
      <c r="D16" s="38" t="s">
        <v>378</v>
      </c>
      <c r="E16" s="38" t="s">
        <v>4</v>
      </c>
      <c r="F16" s="38" t="s">
        <v>379</v>
      </c>
      <c r="G16" s="38" t="s">
        <v>380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381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334</v>
      </c>
      <c r="B17" s="38" t="s">
        <v>382</v>
      </c>
      <c r="C17" s="39">
        <v>9237</v>
      </c>
      <c r="D17" s="38" t="s">
        <v>383</v>
      </c>
      <c r="E17" s="38" t="s">
        <v>4</v>
      </c>
      <c r="F17" s="38" t="s">
        <v>384</v>
      </c>
      <c r="G17" s="38" t="s">
        <v>385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386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313</v>
      </c>
      <c r="B18" s="43" t="s">
        <v>387</v>
      </c>
      <c r="C18" s="39">
        <v>9938</v>
      </c>
      <c r="D18" s="38" t="s">
        <v>388</v>
      </c>
      <c r="E18" s="38" t="s">
        <v>4</v>
      </c>
      <c r="F18" s="38" t="s">
        <v>389</v>
      </c>
      <c r="G18" s="38" t="s">
        <v>390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391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307</v>
      </c>
      <c r="B19" s="38" t="s">
        <v>392</v>
      </c>
      <c r="C19" s="39" t="s">
        <v>393</v>
      </c>
      <c r="D19" s="38" t="s">
        <v>394</v>
      </c>
      <c r="E19" s="38" t="s">
        <v>3</v>
      </c>
      <c r="F19" s="38" t="s">
        <v>395</v>
      </c>
      <c r="G19" s="38" t="s">
        <v>396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397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307</v>
      </c>
      <c r="B20" s="38" t="s">
        <v>392</v>
      </c>
      <c r="C20" s="39" t="s">
        <v>393</v>
      </c>
      <c r="D20" s="38" t="s">
        <v>398</v>
      </c>
      <c r="E20" s="38" t="s">
        <v>4</v>
      </c>
      <c r="F20" s="38" t="s">
        <v>399</v>
      </c>
      <c r="G20" s="38" t="s">
        <v>400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401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307</v>
      </c>
      <c r="B21" s="38" t="s">
        <v>402</v>
      </c>
      <c r="C21" s="39">
        <v>9949</v>
      </c>
      <c r="D21" s="38" t="s">
        <v>403</v>
      </c>
      <c r="E21" s="38" t="s">
        <v>3</v>
      </c>
      <c r="F21" s="38" t="s">
        <v>404</v>
      </c>
      <c r="G21" s="38" t="s">
        <v>405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406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307</v>
      </c>
      <c r="B22" s="38" t="s">
        <v>402</v>
      </c>
      <c r="C22" s="39">
        <v>9949</v>
      </c>
      <c r="D22" s="38" t="s">
        <v>407</v>
      </c>
      <c r="E22" s="38" t="s">
        <v>4</v>
      </c>
      <c r="F22" s="38" t="s">
        <v>408</v>
      </c>
      <c r="G22" s="38" t="s">
        <v>409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410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313</v>
      </c>
      <c r="B23" s="43" t="s">
        <v>411</v>
      </c>
      <c r="C23" s="45">
        <v>9944</v>
      </c>
      <c r="D23" s="38" t="s">
        <v>412</v>
      </c>
      <c r="E23" s="13" t="s">
        <v>3</v>
      </c>
      <c r="F23" s="38" t="s">
        <v>413</v>
      </c>
      <c r="G23" s="13" t="s">
        <v>414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415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313</v>
      </c>
      <c r="B24" s="38" t="s">
        <v>416</v>
      </c>
      <c r="C24" s="39" t="s">
        <v>417</v>
      </c>
      <c r="D24" s="38" t="s">
        <v>418</v>
      </c>
      <c r="E24" s="38" t="s">
        <v>3</v>
      </c>
      <c r="F24" s="38" t="s">
        <v>419</v>
      </c>
      <c r="G24" s="38" t="s">
        <v>420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421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313</v>
      </c>
      <c r="B25" s="38" t="s">
        <v>416</v>
      </c>
      <c r="C25" s="39" t="s">
        <v>417</v>
      </c>
      <c r="D25" s="38" t="s">
        <v>422</v>
      </c>
      <c r="E25" s="38" t="s">
        <v>4</v>
      </c>
      <c r="F25" s="38" t="s">
        <v>423</v>
      </c>
      <c r="G25" s="38" t="s">
        <v>424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307</v>
      </c>
      <c r="B26" s="38" t="s">
        <v>426</v>
      </c>
      <c r="C26" s="39">
        <v>9946</v>
      </c>
      <c r="D26" s="38" t="s">
        <v>427</v>
      </c>
      <c r="E26" s="38" t="s">
        <v>4</v>
      </c>
      <c r="F26" s="38" t="s">
        <v>428</v>
      </c>
      <c r="G26" s="38" t="s">
        <v>429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430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334</v>
      </c>
      <c r="B27" s="38" t="s">
        <v>373</v>
      </c>
      <c r="C27" s="45">
        <v>9223</v>
      </c>
      <c r="D27" s="38" t="s">
        <v>431</v>
      </c>
      <c r="E27" s="38" t="s">
        <v>4</v>
      </c>
      <c r="F27" s="38" t="s">
        <v>432</v>
      </c>
      <c r="G27" s="38" t="s">
        <v>433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434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435</v>
      </c>
      <c r="B28" s="38" t="s">
        <v>436</v>
      </c>
      <c r="C28" s="39">
        <v>9537</v>
      </c>
      <c r="D28" s="38" t="s">
        <v>437</v>
      </c>
      <c r="E28" s="38" t="s">
        <v>3</v>
      </c>
      <c r="F28" s="38" t="s">
        <v>438</v>
      </c>
      <c r="G28" s="38" t="s">
        <v>439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440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435</v>
      </c>
      <c r="B29" s="43" t="s">
        <v>436</v>
      </c>
      <c r="C29" s="44">
        <v>9537</v>
      </c>
      <c r="D29" s="38" t="s">
        <v>441</v>
      </c>
      <c r="E29" s="13" t="s">
        <v>4</v>
      </c>
      <c r="F29" s="38" t="s">
        <v>442</v>
      </c>
      <c r="G29" s="13" t="s">
        <v>443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444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435</v>
      </c>
      <c r="B30" s="38" t="s">
        <v>445</v>
      </c>
      <c r="C30" s="45">
        <v>9560</v>
      </c>
      <c r="D30" s="38" t="s">
        <v>446</v>
      </c>
      <c r="E30" s="38" t="s">
        <v>4</v>
      </c>
      <c r="F30" s="38" t="s">
        <v>447</v>
      </c>
      <c r="G30" s="38" t="s">
        <v>448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449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450</v>
      </c>
      <c r="B31" s="38" t="s">
        <v>451</v>
      </c>
      <c r="C31" s="39">
        <v>9424</v>
      </c>
      <c r="D31" s="38" t="s">
        <v>452</v>
      </c>
      <c r="E31" s="38" t="s">
        <v>3</v>
      </c>
      <c r="F31" s="38" t="s">
        <v>453</v>
      </c>
      <c r="G31" s="38" t="s">
        <v>454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455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450</v>
      </c>
      <c r="B32" s="38" t="s">
        <v>451</v>
      </c>
      <c r="C32" s="39">
        <v>9424</v>
      </c>
      <c r="D32" s="38" t="s">
        <v>456</v>
      </c>
      <c r="E32" s="38" t="s">
        <v>4</v>
      </c>
      <c r="F32" s="38" t="s">
        <v>457</v>
      </c>
      <c r="G32" s="38" t="s">
        <v>458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459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460</v>
      </c>
      <c r="B33" s="38" t="s">
        <v>461</v>
      </c>
      <c r="C33" s="39">
        <v>9812</v>
      </c>
      <c r="D33" s="38" t="s">
        <v>462</v>
      </c>
      <c r="E33" s="38" t="s">
        <v>3</v>
      </c>
      <c r="F33" s="38" t="s">
        <v>463</v>
      </c>
      <c r="G33" s="38" t="s">
        <v>464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460</v>
      </c>
      <c r="B34" s="38" t="s">
        <v>461</v>
      </c>
      <c r="C34" s="39">
        <v>9812</v>
      </c>
      <c r="D34" s="38" t="s">
        <v>462</v>
      </c>
      <c r="E34" s="38" t="s">
        <v>4</v>
      </c>
      <c r="F34" s="38" t="s">
        <v>466</v>
      </c>
      <c r="G34" s="38" t="s">
        <v>467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468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469</v>
      </c>
      <c r="B35" s="38" t="s">
        <v>470</v>
      </c>
      <c r="C35" s="39">
        <v>9958</v>
      </c>
      <c r="D35" s="38" t="s">
        <v>471</v>
      </c>
      <c r="E35" s="38" t="s">
        <v>3</v>
      </c>
      <c r="F35" s="38" t="s">
        <v>472</v>
      </c>
      <c r="G35" s="38" t="s">
        <v>473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474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469</v>
      </c>
      <c r="B36" s="38" t="s">
        <v>470</v>
      </c>
      <c r="C36" s="39">
        <v>9958</v>
      </c>
      <c r="D36" s="46" t="s">
        <v>475</v>
      </c>
      <c r="E36" s="38" t="s">
        <v>4</v>
      </c>
      <c r="F36" s="38" t="s">
        <v>476</v>
      </c>
      <c r="G36" s="38" t="s">
        <v>477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478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479</v>
      </c>
      <c r="B37" s="38" t="s">
        <v>480</v>
      </c>
      <c r="C37" s="39">
        <v>9380</v>
      </c>
      <c r="D37" s="38" t="s">
        <v>481</v>
      </c>
      <c r="E37" s="38" t="s">
        <v>3</v>
      </c>
      <c r="F37" s="38" t="s">
        <v>482</v>
      </c>
      <c r="G37" s="38" t="s">
        <v>483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484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479</v>
      </c>
      <c r="B38" s="38" t="s">
        <v>480</v>
      </c>
      <c r="C38" s="39">
        <v>9380</v>
      </c>
      <c r="D38" s="38" t="s">
        <v>485</v>
      </c>
      <c r="E38" s="38" t="s">
        <v>4</v>
      </c>
      <c r="F38" s="38" t="s">
        <v>486</v>
      </c>
      <c r="G38" s="38" t="s">
        <v>487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488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460</v>
      </c>
      <c r="B39" s="43" t="s">
        <v>489</v>
      </c>
      <c r="C39" s="44">
        <v>9882</v>
      </c>
      <c r="D39" s="38" t="s">
        <v>490</v>
      </c>
      <c r="E39" s="13" t="s">
        <v>4</v>
      </c>
      <c r="F39" s="38" t="s">
        <v>491</v>
      </c>
      <c r="G39" s="13" t="s">
        <v>492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493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85</v>
      </c>
      <c r="B40" s="35" t="s">
        <v>119</v>
      </c>
      <c r="C40" s="35" t="s">
        <v>295</v>
      </c>
      <c r="D40" s="35" t="s">
        <v>296</v>
      </c>
      <c r="E40" s="35" t="s">
        <v>0</v>
      </c>
      <c r="F40" s="35" t="s">
        <v>297</v>
      </c>
      <c r="G40" s="35" t="s">
        <v>1</v>
      </c>
      <c r="H40" s="35">
        <v>42674</v>
      </c>
      <c r="I40" s="35" t="s">
        <v>494</v>
      </c>
      <c r="J40" s="35" t="s">
        <v>495</v>
      </c>
      <c r="K40" s="35" t="s">
        <v>496</v>
      </c>
      <c r="L40" s="35" t="s">
        <v>497</v>
      </c>
      <c r="M40" s="35" t="s">
        <v>498</v>
      </c>
      <c r="N40" s="35" t="s">
        <v>499</v>
      </c>
      <c r="O40" s="35" t="s">
        <v>500</v>
      </c>
      <c r="P40" s="35" t="s">
        <v>501</v>
      </c>
      <c r="Q40" s="35" t="s">
        <v>502</v>
      </c>
      <c r="R40" s="35" t="s">
        <v>503</v>
      </c>
      <c r="S40" s="35" t="s">
        <v>208</v>
      </c>
      <c r="T40" s="35" t="s">
        <v>205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435</v>
      </c>
      <c r="B41" s="38" t="s">
        <v>504</v>
      </c>
      <c r="C41" s="45">
        <v>9561</v>
      </c>
      <c r="D41" s="38" t="s">
        <v>505</v>
      </c>
      <c r="E41" s="38" t="s">
        <v>4</v>
      </c>
      <c r="F41" s="38" t="s">
        <v>506</v>
      </c>
      <c r="G41" s="38" t="s">
        <v>507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508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313</v>
      </c>
      <c r="B42" s="38" t="s">
        <v>509</v>
      </c>
      <c r="C42" s="45">
        <v>9441</v>
      </c>
      <c r="D42" s="38" t="s">
        <v>510</v>
      </c>
      <c r="E42" s="38" t="s">
        <v>4</v>
      </c>
      <c r="F42" s="38" t="s">
        <v>511</v>
      </c>
      <c r="G42" s="38" t="s">
        <v>512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513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450</v>
      </c>
      <c r="B43" s="38" t="s">
        <v>514</v>
      </c>
      <c r="C43" s="39">
        <v>9420</v>
      </c>
      <c r="D43" s="38" t="s">
        <v>515</v>
      </c>
      <c r="E43" s="38" t="s">
        <v>3</v>
      </c>
      <c r="F43" s="38" t="s">
        <v>516</v>
      </c>
      <c r="G43" s="38" t="s">
        <v>517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518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85</v>
      </c>
      <c r="B44" s="35" t="s">
        <v>119</v>
      </c>
      <c r="C44" s="35" t="s">
        <v>295</v>
      </c>
      <c r="D44" s="35" t="s">
        <v>296</v>
      </c>
      <c r="E44" s="35" t="s">
        <v>0</v>
      </c>
      <c r="F44" s="35" t="s">
        <v>297</v>
      </c>
      <c r="G44" s="35" t="s">
        <v>1</v>
      </c>
      <c r="H44" s="48" t="s">
        <v>519</v>
      </c>
      <c r="I44" s="48" t="s">
        <v>520</v>
      </c>
      <c r="J44" s="35" t="s">
        <v>521</v>
      </c>
      <c r="K44" s="48" t="s">
        <v>522</v>
      </c>
      <c r="L44" s="35" t="s">
        <v>523</v>
      </c>
      <c r="M44" s="48" t="s">
        <v>524</v>
      </c>
      <c r="N44" s="35" t="s">
        <v>525</v>
      </c>
      <c r="O44" s="48" t="s">
        <v>526</v>
      </c>
      <c r="P44" s="35" t="s">
        <v>527</v>
      </c>
      <c r="Q44" s="48" t="s">
        <v>528</v>
      </c>
      <c r="R44" s="35" t="s">
        <v>529</v>
      </c>
      <c r="S44" s="35" t="s">
        <v>208</v>
      </c>
      <c r="T44" s="35" t="s">
        <v>205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313</v>
      </c>
      <c r="B45" s="38" t="s">
        <v>530</v>
      </c>
      <c r="C45" s="39">
        <v>9394</v>
      </c>
      <c r="D45" s="38" t="s">
        <v>531</v>
      </c>
      <c r="E45" s="38" t="s">
        <v>4</v>
      </c>
      <c r="F45" s="38" t="s">
        <v>532</v>
      </c>
      <c r="G45" s="38" t="s">
        <v>533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534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535</v>
      </c>
      <c r="B46" s="38" t="s">
        <v>536</v>
      </c>
      <c r="C46" s="45">
        <v>9445</v>
      </c>
      <c r="D46" s="38" t="s">
        <v>537</v>
      </c>
      <c r="E46" s="38" t="s">
        <v>4</v>
      </c>
      <c r="F46" s="38" t="s">
        <v>538</v>
      </c>
      <c r="G46" s="38" t="s">
        <v>539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540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313</v>
      </c>
      <c r="B47" s="38" t="s">
        <v>541</v>
      </c>
      <c r="C47" s="39">
        <v>9284</v>
      </c>
      <c r="D47" s="38" t="s">
        <v>542</v>
      </c>
      <c r="E47" s="38" t="s">
        <v>3</v>
      </c>
      <c r="F47" s="38" t="s">
        <v>543</v>
      </c>
      <c r="G47" s="38" t="s">
        <v>544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545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85</v>
      </c>
      <c r="B48" s="35" t="s">
        <v>119</v>
      </c>
      <c r="C48" s="35" t="s">
        <v>295</v>
      </c>
      <c r="D48" s="35" t="s">
        <v>296</v>
      </c>
      <c r="E48" s="35" t="s">
        <v>0</v>
      </c>
      <c r="F48" s="35" t="s">
        <v>297</v>
      </c>
      <c r="G48" s="35" t="s">
        <v>1</v>
      </c>
      <c r="H48" s="48" t="s">
        <v>546</v>
      </c>
      <c r="I48" s="48" t="s">
        <v>547</v>
      </c>
      <c r="J48" s="35" t="s">
        <v>548</v>
      </c>
      <c r="K48" s="48" t="s">
        <v>549</v>
      </c>
      <c r="L48" s="35" t="s">
        <v>550</v>
      </c>
      <c r="M48" s="48" t="s">
        <v>551</v>
      </c>
      <c r="N48" s="35" t="s">
        <v>552</v>
      </c>
      <c r="O48" s="48" t="s">
        <v>553</v>
      </c>
      <c r="P48" s="35" t="s">
        <v>554</v>
      </c>
      <c r="Q48" s="48" t="s">
        <v>555</v>
      </c>
      <c r="R48" s="35" t="s">
        <v>556</v>
      </c>
      <c r="S48" s="35" t="s">
        <v>208</v>
      </c>
      <c r="T48" s="35" t="s">
        <v>205</v>
      </c>
    </row>
    <row r="49" spans="1:83" s="42" customFormat="1" ht="16.5" hidden="1" customHeight="1" x14ac:dyDescent="0.25">
      <c r="A49" s="38" t="s">
        <v>469</v>
      </c>
      <c r="B49" s="38" t="s">
        <v>557</v>
      </c>
      <c r="C49" s="45">
        <v>9874</v>
      </c>
      <c r="D49" s="49" t="s">
        <v>558</v>
      </c>
      <c r="E49" s="38" t="s">
        <v>4</v>
      </c>
      <c r="F49" s="38" t="s">
        <v>506</v>
      </c>
      <c r="G49" s="38" t="s">
        <v>559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560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460</v>
      </c>
      <c r="B50" s="38" t="s">
        <v>561</v>
      </c>
      <c r="C50" s="45">
        <v>9811</v>
      </c>
      <c r="D50" s="38" t="s">
        <v>562</v>
      </c>
      <c r="E50" s="38" t="s">
        <v>4</v>
      </c>
      <c r="F50" s="38" t="s">
        <v>563</v>
      </c>
      <c r="G50" s="38" t="s">
        <v>564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565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479</v>
      </c>
      <c r="B51" s="38" t="s">
        <v>566</v>
      </c>
      <c r="C51" s="32">
        <v>9396</v>
      </c>
      <c r="D51" s="49" t="s">
        <v>567</v>
      </c>
      <c r="E51" s="49" t="s">
        <v>4</v>
      </c>
      <c r="F51" s="49" t="s">
        <v>568</v>
      </c>
      <c r="G51" s="49" t="s">
        <v>569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570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535</v>
      </c>
      <c r="B52" s="43" t="s">
        <v>571</v>
      </c>
      <c r="C52" s="44">
        <v>9446</v>
      </c>
      <c r="D52" s="38" t="s">
        <v>572</v>
      </c>
      <c r="E52" s="13" t="s">
        <v>4</v>
      </c>
      <c r="F52" s="38" t="s">
        <v>573</v>
      </c>
      <c r="G52" s="13" t="s">
        <v>574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575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435</v>
      </c>
      <c r="B53" s="38" t="s">
        <v>576</v>
      </c>
      <c r="C53" s="39" t="s">
        <v>577</v>
      </c>
      <c r="D53" s="38" t="s">
        <v>578</v>
      </c>
      <c r="E53" s="38" t="s">
        <v>4</v>
      </c>
      <c r="F53" s="38" t="s">
        <v>579</v>
      </c>
      <c r="G53" s="38" t="s">
        <v>580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581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450</v>
      </c>
      <c r="B55" s="43" t="s">
        <v>583</v>
      </c>
      <c r="C55" s="44">
        <v>9405</v>
      </c>
      <c r="D55" s="38" t="s">
        <v>584</v>
      </c>
      <c r="E55" s="13" t="s">
        <v>4</v>
      </c>
      <c r="F55" s="38" t="s">
        <v>585</v>
      </c>
      <c r="G55" s="50" t="s">
        <v>586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587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479</v>
      </c>
      <c r="B56" s="38" t="s">
        <v>588</v>
      </c>
      <c r="C56" s="32">
        <v>9388</v>
      </c>
      <c r="D56" s="49" t="s">
        <v>589</v>
      </c>
      <c r="E56" s="49" t="s">
        <v>4</v>
      </c>
      <c r="F56" s="49" t="s">
        <v>590</v>
      </c>
      <c r="G56" s="49" t="s">
        <v>591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592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323</v>
      </c>
      <c r="B57" s="38" t="s">
        <v>593</v>
      </c>
      <c r="C57" s="45">
        <v>9658</v>
      </c>
      <c r="D57" s="38" t="s">
        <v>594</v>
      </c>
      <c r="E57" s="38" t="s">
        <v>4</v>
      </c>
      <c r="F57" s="38" t="s">
        <v>595</v>
      </c>
      <c r="G57" s="38" t="s">
        <v>596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597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323</v>
      </c>
      <c r="B58" s="38" t="s">
        <v>598</v>
      </c>
      <c r="C58" s="39">
        <v>9530</v>
      </c>
      <c r="D58" s="38" t="s">
        <v>599</v>
      </c>
      <c r="E58" s="38" t="s">
        <v>4</v>
      </c>
      <c r="F58" s="38" t="s">
        <v>600</v>
      </c>
      <c r="G58" s="38" t="s">
        <v>601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602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535</v>
      </c>
      <c r="B59" s="43" t="s">
        <v>603</v>
      </c>
      <c r="C59" s="44">
        <v>9442</v>
      </c>
      <c r="D59" s="38" t="s">
        <v>604</v>
      </c>
      <c r="E59" s="13" t="s">
        <v>605</v>
      </c>
      <c r="F59" s="38" t="s">
        <v>606</v>
      </c>
      <c r="G59" s="50" t="s">
        <v>607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608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307</v>
      </c>
      <c r="B60" s="38" t="s">
        <v>609</v>
      </c>
      <c r="C60" s="39">
        <v>9345</v>
      </c>
      <c r="D60" s="38" t="s">
        <v>610</v>
      </c>
      <c r="E60" s="38" t="s">
        <v>4</v>
      </c>
      <c r="F60" s="38" t="s">
        <v>611</v>
      </c>
      <c r="G60" s="38" t="s">
        <v>612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613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307</v>
      </c>
      <c r="B61" s="43" t="s">
        <v>614</v>
      </c>
      <c r="C61" s="39">
        <v>9276</v>
      </c>
      <c r="D61" s="38" t="s">
        <v>615</v>
      </c>
      <c r="E61" s="38" t="s">
        <v>4</v>
      </c>
      <c r="F61" s="38" t="s">
        <v>616</v>
      </c>
      <c r="G61" s="38" t="s">
        <v>617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618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435</v>
      </c>
      <c r="B62" s="38" t="s">
        <v>619</v>
      </c>
      <c r="C62" s="45">
        <v>9666</v>
      </c>
      <c r="D62" s="38" t="s">
        <v>620</v>
      </c>
      <c r="E62" s="38" t="s">
        <v>4</v>
      </c>
      <c r="F62" s="38" t="s">
        <v>621</v>
      </c>
      <c r="G62" s="38" t="s">
        <v>622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623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334</v>
      </c>
      <c r="B63" s="38" t="s">
        <v>624</v>
      </c>
      <c r="C63" s="39">
        <v>9259</v>
      </c>
      <c r="D63" s="38" t="s">
        <v>625</v>
      </c>
      <c r="E63" s="38" t="s">
        <v>4</v>
      </c>
      <c r="F63" s="38" t="s">
        <v>626</v>
      </c>
      <c r="G63" s="38" t="s">
        <v>627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628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313</v>
      </c>
      <c r="B64" s="38" t="s">
        <v>629</v>
      </c>
      <c r="C64" s="45">
        <v>9221</v>
      </c>
      <c r="D64" s="38" t="s">
        <v>630</v>
      </c>
      <c r="E64" s="38" t="s">
        <v>4</v>
      </c>
      <c r="F64" s="38" t="s">
        <v>631</v>
      </c>
      <c r="G64" s="38" t="s">
        <v>632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633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634</v>
      </c>
      <c r="B65" s="43" t="s">
        <v>635</v>
      </c>
      <c r="C65" s="44">
        <v>9360</v>
      </c>
      <c r="D65" s="38" t="s">
        <v>636</v>
      </c>
      <c r="E65" s="13" t="s">
        <v>4</v>
      </c>
      <c r="F65" s="38" t="s">
        <v>637</v>
      </c>
      <c r="G65" s="13" t="s">
        <v>638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639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479</v>
      </c>
      <c r="B66" s="38" t="s">
        <v>640</v>
      </c>
      <c r="C66" s="51">
        <v>9336</v>
      </c>
      <c r="D66" s="49" t="s">
        <v>641</v>
      </c>
      <c r="E66" s="49" t="s">
        <v>3</v>
      </c>
      <c r="F66" s="49" t="s">
        <v>642</v>
      </c>
      <c r="G66" s="49" t="s">
        <v>643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644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323</v>
      </c>
      <c r="B67" s="38" t="s">
        <v>645</v>
      </c>
      <c r="C67" s="45">
        <v>9653</v>
      </c>
      <c r="D67" s="38" t="s">
        <v>646</v>
      </c>
      <c r="E67" s="38" t="s">
        <v>4</v>
      </c>
      <c r="F67" s="38" t="s">
        <v>647</v>
      </c>
      <c r="G67" s="38" t="s">
        <v>648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649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450</v>
      </c>
      <c r="B68" s="43" t="s">
        <v>650</v>
      </c>
      <c r="C68" s="44">
        <v>9430</v>
      </c>
      <c r="D68" s="38" t="s">
        <v>651</v>
      </c>
      <c r="E68" s="13" t="s">
        <v>4</v>
      </c>
      <c r="F68" s="38" t="s">
        <v>652</v>
      </c>
      <c r="G68" s="13" t="s">
        <v>653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654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435</v>
      </c>
      <c r="B69" s="38" t="s">
        <v>655</v>
      </c>
      <c r="C69" s="45">
        <v>9665</v>
      </c>
      <c r="D69" s="38" t="s">
        <v>656</v>
      </c>
      <c r="E69" s="38" t="s">
        <v>4</v>
      </c>
      <c r="F69" s="38" t="s">
        <v>657</v>
      </c>
      <c r="G69" s="38" t="s">
        <v>658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659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313</v>
      </c>
      <c r="B70" s="38" t="s">
        <v>530</v>
      </c>
      <c r="C70" s="39">
        <v>9394</v>
      </c>
      <c r="D70" s="38" t="s">
        <v>660</v>
      </c>
      <c r="E70" s="38" t="s">
        <v>3</v>
      </c>
      <c r="F70" s="38" t="s">
        <v>661</v>
      </c>
      <c r="G70" s="38" t="s">
        <v>662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663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460</v>
      </c>
      <c r="B71" s="38" t="s">
        <v>664</v>
      </c>
      <c r="C71" s="39">
        <v>9883</v>
      </c>
      <c r="D71" s="38" t="s">
        <v>665</v>
      </c>
      <c r="E71" s="38" t="s">
        <v>4</v>
      </c>
      <c r="F71" s="38" t="s">
        <v>666</v>
      </c>
      <c r="G71" s="38" t="s">
        <v>667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668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435</v>
      </c>
      <c r="B72" s="43" t="s">
        <v>669</v>
      </c>
      <c r="C72" s="45">
        <v>9570</v>
      </c>
      <c r="D72" s="38" t="s">
        <v>670</v>
      </c>
      <c r="E72" s="13" t="s">
        <v>4</v>
      </c>
      <c r="F72" s="38" t="s">
        <v>671</v>
      </c>
      <c r="G72" s="50" t="s">
        <v>672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673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334</v>
      </c>
      <c r="B73" s="38" t="s">
        <v>674</v>
      </c>
      <c r="C73" s="45">
        <v>9970</v>
      </c>
      <c r="D73" s="38" t="s">
        <v>675</v>
      </c>
      <c r="E73" s="38" t="s">
        <v>4</v>
      </c>
      <c r="F73" s="38" t="s">
        <v>676</v>
      </c>
      <c r="G73" s="38" t="s">
        <v>677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678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460</v>
      </c>
      <c r="B74" s="49" t="s">
        <v>679</v>
      </c>
      <c r="C74" s="51">
        <v>9816</v>
      </c>
      <c r="D74" s="49" t="s">
        <v>680</v>
      </c>
      <c r="E74" s="49" t="s">
        <v>4</v>
      </c>
      <c r="F74" s="49" t="s">
        <v>681</v>
      </c>
      <c r="G74" s="49" t="s">
        <v>682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683</v>
      </c>
    </row>
    <row r="75" spans="1:83" s="41" customFormat="1" ht="16.5" customHeight="1" x14ac:dyDescent="0.25">
      <c r="A75" s="49" t="s">
        <v>435</v>
      </c>
      <c r="B75" s="49" t="s">
        <v>684</v>
      </c>
      <c r="C75" s="32">
        <v>9640</v>
      </c>
      <c r="D75" s="49" t="s">
        <v>685</v>
      </c>
      <c r="E75" s="49" t="s">
        <v>4</v>
      </c>
      <c r="F75" s="49" t="s">
        <v>686</v>
      </c>
      <c r="G75" s="49" t="s">
        <v>687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688</v>
      </c>
    </row>
    <row r="76" spans="1:83" s="41" customFormat="1" ht="16.5" customHeight="1" x14ac:dyDescent="0.25">
      <c r="A76" s="49" t="s">
        <v>323</v>
      </c>
      <c r="B76" s="49" t="s">
        <v>689</v>
      </c>
      <c r="C76" s="32">
        <v>9550</v>
      </c>
      <c r="D76" s="49" t="s">
        <v>690</v>
      </c>
      <c r="E76" s="49" t="s">
        <v>4</v>
      </c>
      <c r="F76" s="49" t="s">
        <v>691</v>
      </c>
      <c r="G76" s="49" t="s">
        <v>692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693</v>
      </c>
    </row>
    <row r="77" spans="1:83" s="41" customFormat="1" ht="16.5" customHeight="1" x14ac:dyDescent="0.25">
      <c r="A77" s="49" t="s">
        <v>460</v>
      </c>
      <c r="B77" s="49" t="s">
        <v>694</v>
      </c>
      <c r="C77" s="51">
        <v>9843</v>
      </c>
      <c r="D77" s="49" t="s">
        <v>695</v>
      </c>
      <c r="E77" s="49" t="s">
        <v>4</v>
      </c>
      <c r="F77" s="49" t="s">
        <v>282</v>
      </c>
      <c r="G77" s="49" t="s">
        <v>696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697</v>
      </c>
    </row>
    <row r="78" spans="1:83" s="42" customFormat="1" ht="16.5" customHeight="1" x14ac:dyDescent="0.25">
      <c r="A78" s="38" t="s">
        <v>313</v>
      </c>
      <c r="B78" s="38" t="s">
        <v>698</v>
      </c>
      <c r="C78" s="45">
        <v>9282</v>
      </c>
      <c r="D78" s="38" t="s">
        <v>699</v>
      </c>
      <c r="E78" s="38" t="s">
        <v>4</v>
      </c>
      <c r="F78" s="38" t="s">
        <v>700</v>
      </c>
      <c r="G78" s="38" t="s">
        <v>701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702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313</v>
      </c>
      <c r="B79" s="38" t="s">
        <v>703</v>
      </c>
      <c r="C79" s="45">
        <v>9911</v>
      </c>
      <c r="D79" s="38" t="s">
        <v>704</v>
      </c>
      <c r="E79" s="38" t="s">
        <v>4</v>
      </c>
      <c r="F79" s="38" t="s">
        <v>705</v>
      </c>
      <c r="G79" s="38" t="s">
        <v>706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707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334</v>
      </c>
      <c r="B80" s="38" t="s">
        <v>708</v>
      </c>
      <c r="C80" s="45">
        <v>9214</v>
      </c>
      <c r="D80" s="38" t="s">
        <v>709</v>
      </c>
      <c r="E80" s="38" t="s">
        <v>4</v>
      </c>
      <c r="F80" s="38" t="s">
        <v>710</v>
      </c>
      <c r="G80" s="38" t="s">
        <v>711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712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334</v>
      </c>
      <c r="B81" s="38" t="s">
        <v>713</v>
      </c>
      <c r="C81" s="39">
        <v>9235</v>
      </c>
      <c r="D81" s="38" t="s">
        <v>714</v>
      </c>
      <c r="E81" s="38" t="s">
        <v>4</v>
      </c>
      <c r="F81" s="38" t="s">
        <v>715</v>
      </c>
      <c r="G81" s="38" t="s">
        <v>716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717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313</v>
      </c>
      <c r="B82" s="38" t="s">
        <v>718</v>
      </c>
      <c r="C82" s="45">
        <v>9271</v>
      </c>
      <c r="D82" s="38" t="s">
        <v>719</v>
      </c>
      <c r="E82" s="38" t="s">
        <v>4</v>
      </c>
      <c r="F82" s="38" t="s">
        <v>720</v>
      </c>
      <c r="G82" s="38" t="s">
        <v>721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722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313</v>
      </c>
      <c r="B83" s="38" t="s">
        <v>723</v>
      </c>
      <c r="C83" s="39">
        <v>9225</v>
      </c>
      <c r="D83" s="38" t="s">
        <v>724</v>
      </c>
      <c r="E83" s="38" t="s">
        <v>4</v>
      </c>
      <c r="F83" s="38" t="s">
        <v>725</v>
      </c>
      <c r="G83" s="38" t="s">
        <v>726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727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334</v>
      </c>
      <c r="B84" s="38" t="s">
        <v>728</v>
      </c>
      <c r="C84" s="45">
        <v>9203</v>
      </c>
      <c r="D84" s="38" t="s">
        <v>729</v>
      </c>
      <c r="E84" s="38" t="s">
        <v>4</v>
      </c>
      <c r="F84" s="38" t="s">
        <v>730</v>
      </c>
      <c r="G84" s="38" t="s">
        <v>731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732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307</v>
      </c>
      <c r="B85" s="38" t="s">
        <v>733</v>
      </c>
      <c r="C85" s="39">
        <v>9253</v>
      </c>
      <c r="D85" s="38" t="s">
        <v>734</v>
      </c>
      <c r="E85" s="38" t="s">
        <v>4</v>
      </c>
      <c r="F85" s="38" t="s">
        <v>735</v>
      </c>
      <c r="G85" s="38" t="s">
        <v>736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737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334</v>
      </c>
      <c r="B86" s="38" t="s">
        <v>738</v>
      </c>
      <c r="C86" s="45">
        <v>9234</v>
      </c>
      <c r="D86" s="49" t="s">
        <v>739</v>
      </c>
      <c r="E86" s="38" t="s">
        <v>4</v>
      </c>
      <c r="F86" s="38" t="s">
        <v>740</v>
      </c>
      <c r="G86" s="38" t="s">
        <v>741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742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334</v>
      </c>
      <c r="B87" s="38" t="s">
        <v>743</v>
      </c>
      <c r="C87" s="45">
        <v>9955</v>
      </c>
      <c r="D87" s="38" t="s">
        <v>744</v>
      </c>
      <c r="E87" s="38" t="s">
        <v>4</v>
      </c>
      <c r="F87" s="38" t="s">
        <v>219</v>
      </c>
      <c r="G87" s="38" t="s">
        <v>745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746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334</v>
      </c>
      <c r="B88" s="43" t="s">
        <v>747</v>
      </c>
      <c r="C88" s="45">
        <v>9924</v>
      </c>
      <c r="D88" s="38" t="s">
        <v>748</v>
      </c>
      <c r="E88" s="13" t="s">
        <v>4</v>
      </c>
      <c r="F88" s="38" t="s">
        <v>749</v>
      </c>
      <c r="G88" s="13" t="s">
        <v>750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751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334</v>
      </c>
      <c r="B89" s="38" t="s">
        <v>752</v>
      </c>
      <c r="C89" s="39">
        <v>9216</v>
      </c>
      <c r="D89" s="38" t="s">
        <v>753</v>
      </c>
      <c r="E89" s="38" t="s">
        <v>3</v>
      </c>
      <c r="F89" s="38" t="s">
        <v>754</v>
      </c>
      <c r="G89" s="38" t="s">
        <v>755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756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479</v>
      </c>
      <c r="B90" s="38" t="s">
        <v>757</v>
      </c>
      <c r="C90" s="39">
        <v>9310</v>
      </c>
      <c r="D90" s="38" t="s">
        <v>758</v>
      </c>
      <c r="E90" s="38" t="s">
        <v>4</v>
      </c>
      <c r="F90" s="38" t="s">
        <v>759</v>
      </c>
      <c r="G90" s="38" t="s">
        <v>760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761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479</v>
      </c>
      <c r="B91" s="38" t="s">
        <v>762</v>
      </c>
      <c r="C91" s="32">
        <v>9391</v>
      </c>
      <c r="D91" s="49" t="s">
        <v>763</v>
      </c>
      <c r="E91" s="49" t="s">
        <v>4</v>
      </c>
      <c r="F91" s="49" t="s">
        <v>764</v>
      </c>
      <c r="G91" s="49" t="s">
        <v>765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766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85</v>
      </c>
      <c r="B92" s="35" t="s">
        <v>119</v>
      </c>
      <c r="C92" s="35" t="s">
        <v>295</v>
      </c>
      <c r="D92" s="35" t="s">
        <v>296</v>
      </c>
      <c r="E92" s="35" t="s">
        <v>0</v>
      </c>
      <c r="F92" s="35" t="s">
        <v>297</v>
      </c>
      <c r="G92" s="35" t="s">
        <v>1</v>
      </c>
      <c r="H92" s="48" t="s">
        <v>767</v>
      </c>
      <c r="I92" s="48" t="s">
        <v>768</v>
      </c>
      <c r="J92" s="35" t="s">
        <v>769</v>
      </c>
      <c r="K92" s="48" t="s">
        <v>770</v>
      </c>
      <c r="L92" s="35" t="s">
        <v>771</v>
      </c>
      <c r="M92" s="48" t="s">
        <v>772</v>
      </c>
      <c r="N92" s="35" t="s">
        <v>773</v>
      </c>
      <c r="O92" s="48" t="s">
        <v>774</v>
      </c>
      <c r="P92" s="35" t="s">
        <v>775</v>
      </c>
      <c r="Q92" s="35" t="s">
        <v>208</v>
      </c>
      <c r="R92" s="159" t="s">
        <v>205</v>
      </c>
      <c r="S92" s="159"/>
      <c r="T92" s="159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334</v>
      </c>
      <c r="B93" s="38" t="s">
        <v>776</v>
      </c>
      <c r="C93" s="39">
        <v>9217</v>
      </c>
      <c r="D93" s="49" t="s">
        <v>777</v>
      </c>
      <c r="E93" s="38" t="s">
        <v>4</v>
      </c>
      <c r="F93" s="38" t="s">
        <v>778</v>
      </c>
      <c r="G93" s="38" t="s">
        <v>779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0" t="s">
        <v>780</v>
      </c>
      <c r="S93" s="160"/>
      <c r="T93" s="160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334</v>
      </c>
      <c r="B94" s="38" t="s">
        <v>776</v>
      </c>
      <c r="C94" s="39">
        <v>9217</v>
      </c>
      <c r="D94" s="38" t="s">
        <v>781</v>
      </c>
      <c r="E94" s="38" t="s">
        <v>4</v>
      </c>
      <c r="F94" s="38" t="s">
        <v>782</v>
      </c>
      <c r="G94" s="38" t="s">
        <v>783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0" t="s">
        <v>784</v>
      </c>
      <c r="S94" s="160"/>
      <c r="T94" s="160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435</v>
      </c>
      <c r="B95" s="38" t="s">
        <v>785</v>
      </c>
      <c r="C95" s="45">
        <v>9678</v>
      </c>
      <c r="D95" s="38" t="s">
        <v>786</v>
      </c>
      <c r="E95" s="38" t="s">
        <v>4</v>
      </c>
      <c r="F95" s="38" t="s">
        <v>787</v>
      </c>
      <c r="G95" s="38" t="s">
        <v>788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0" t="s">
        <v>789</v>
      </c>
      <c r="S95" s="160"/>
      <c r="T95" s="160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435</v>
      </c>
      <c r="B96" s="38" t="s">
        <v>785</v>
      </c>
      <c r="C96" s="45">
        <v>9678</v>
      </c>
      <c r="D96" s="38" t="s">
        <v>790</v>
      </c>
      <c r="E96" s="38" t="s">
        <v>3</v>
      </c>
      <c r="F96" s="38" t="s">
        <v>791</v>
      </c>
      <c r="G96" s="38" t="s">
        <v>792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0" t="s">
        <v>793</v>
      </c>
      <c r="S96" s="160"/>
      <c r="T96" s="160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85</v>
      </c>
      <c r="B97" s="35" t="s">
        <v>119</v>
      </c>
      <c r="C97" s="35" t="s">
        <v>295</v>
      </c>
      <c r="D97" s="35" t="s">
        <v>296</v>
      </c>
      <c r="E97" s="35" t="s">
        <v>0</v>
      </c>
      <c r="F97" s="35" t="s">
        <v>297</v>
      </c>
      <c r="G97" s="35" t="s">
        <v>1</v>
      </c>
      <c r="H97" s="48" t="s">
        <v>794</v>
      </c>
      <c r="I97" s="48" t="s">
        <v>795</v>
      </c>
      <c r="J97" s="35" t="s">
        <v>796</v>
      </c>
      <c r="K97" s="48" t="s">
        <v>797</v>
      </c>
      <c r="L97" s="35" t="s">
        <v>798</v>
      </c>
      <c r="M97" s="48" t="s">
        <v>799</v>
      </c>
      <c r="N97" s="35" t="s">
        <v>800</v>
      </c>
      <c r="O97" s="48" t="s">
        <v>801</v>
      </c>
      <c r="P97" s="35" t="s">
        <v>802</v>
      </c>
      <c r="Q97" s="48" t="s">
        <v>803</v>
      </c>
      <c r="R97" s="35" t="s">
        <v>804</v>
      </c>
      <c r="S97" s="35" t="s">
        <v>208</v>
      </c>
      <c r="T97" s="35" t="s">
        <v>205</v>
      </c>
    </row>
    <row r="98" spans="1:85" s="42" customFormat="1" ht="16.5" customHeight="1" x14ac:dyDescent="0.25">
      <c r="A98" s="38" t="s">
        <v>323</v>
      </c>
      <c r="B98" s="43" t="s">
        <v>805</v>
      </c>
      <c r="C98" s="39">
        <v>9503</v>
      </c>
      <c r="D98" s="38" t="s">
        <v>806</v>
      </c>
      <c r="E98" s="38" t="s">
        <v>4</v>
      </c>
      <c r="F98" s="38" t="s">
        <v>807</v>
      </c>
      <c r="G98" s="38" t="s">
        <v>808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809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85</v>
      </c>
      <c r="B99" s="35" t="s">
        <v>119</v>
      </c>
      <c r="C99" s="35" t="s">
        <v>295</v>
      </c>
      <c r="D99" s="35" t="s">
        <v>296</v>
      </c>
      <c r="E99" s="35" t="s">
        <v>0</v>
      </c>
      <c r="F99" s="35" t="s">
        <v>297</v>
      </c>
      <c r="G99" s="35" t="s">
        <v>1</v>
      </c>
      <c r="H99" s="57">
        <v>42886</v>
      </c>
      <c r="I99" s="48" t="s">
        <v>810</v>
      </c>
      <c r="J99" s="35" t="s">
        <v>811</v>
      </c>
      <c r="K99" s="48" t="s">
        <v>812</v>
      </c>
      <c r="L99" s="35" t="s">
        <v>813</v>
      </c>
      <c r="M99" s="48" t="s">
        <v>814</v>
      </c>
      <c r="N99" s="35" t="s">
        <v>815</v>
      </c>
      <c r="O99" s="48" t="s">
        <v>816</v>
      </c>
      <c r="P99" s="35" t="s">
        <v>817</v>
      </c>
      <c r="Q99" s="48" t="s">
        <v>818</v>
      </c>
      <c r="R99" s="35" t="s">
        <v>819</v>
      </c>
      <c r="S99" s="35" t="s">
        <v>208</v>
      </c>
      <c r="T99" s="35" t="s">
        <v>205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313</v>
      </c>
      <c r="B100" s="38" t="s">
        <v>820</v>
      </c>
      <c r="C100" s="39">
        <v>9288</v>
      </c>
      <c r="D100" s="38" t="s">
        <v>821</v>
      </c>
      <c r="E100" s="38" t="s">
        <v>4</v>
      </c>
      <c r="F100" s="38" t="s">
        <v>822</v>
      </c>
      <c r="G100" s="38" t="s">
        <v>823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85</v>
      </c>
      <c r="B101" s="35" t="s">
        <v>119</v>
      </c>
      <c r="C101" s="35" t="s">
        <v>295</v>
      </c>
      <c r="D101" s="35" t="s">
        <v>296</v>
      </c>
      <c r="E101" s="35" t="s">
        <v>0</v>
      </c>
      <c r="F101" s="35" t="s">
        <v>297</v>
      </c>
      <c r="G101" s="35" t="s">
        <v>1</v>
      </c>
      <c r="H101" s="57" t="s">
        <v>824</v>
      </c>
      <c r="I101" s="48" t="s">
        <v>825</v>
      </c>
      <c r="J101" s="48" t="s">
        <v>826</v>
      </c>
      <c r="K101" s="48" t="s">
        <v>827</v>
      </c>
      <c r="L101" s="48" t="s">
        <v>828</v>
      </c>
      <c r="M101" s="48" t="s">
        <v>829</v>
      </c>
      <c r="N101" s="48" t="s">
        <v>830</v>
      </c>
      <c r="O101" s="48" t="s">
        <v>831</v>
      </c>
      <c r="P101" s="48" t="s">
        <v>832</v>
      </c>
      <c r="Q101" s="48" t="s">
        <v>833</v>
      </c>
      <c r="R101" s="48" t="s">
        <v>834</v>
      </c>
      <c r="S101" s="35" t="s">
        <v>208</v>
      </c>
      <c r="T101" s="35" t="s">
        <v>205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313</v>
      </c>
      <c r="B102" s="38" t="s">
        <v>835</v>
      </c>
      <c r="C102" s="39">
        <v>9928</v>
      </c>
      <c r="D102" s="38" t="s">
        <v>836</v>
      </c>
      <c r="E102" s="38" t="s">
        <v>4</v>
      </c>
      <c r="F102" s="38" t="s">
        <v>837</v>
      </c>
      <c r="G102" s="38" t="s">
        <v>838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839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323</v>
      </c>
      <c r="B103" s="38" t="s">
        <v>324</v>
      </c>
      <c r="C103" s="39">
        <v>9611</v>
      </c>
      <c r="D103" s="38" t="s">
        <v>840</v>
      </c>
      <c r="E103" s="38" t="s">
        <v>3</v>
      </c>
      <c r="F103" s="38" t="s">
        <v>841</v>
      </c>
      <c r="G103" s="38" t="s">
        <v>842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843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85</v>
      </c>
      <c r="B104" s="35" t="s">
        <v>119</v>
      </c>
      <c r="C104" s="35" t="s">
        <v>295</v>
      </c>
      <c r="D104" s="35" t="s">
        <v>296</v>
      </c>
      <c r="E104" s="35" t="s">
        <v>0</v>
      </c>
      <c r="F104" s="35" t="s">
        <v>297</v>
      </c>
      <c r="G104" s="35" t="s">
        <v>1</v>
      </c>
      <c r="H104" s="57" t="s">
        <v>844</v>
      </c>
      <c r="I104" s="48" t="s">
        <v>845</v>
      </c>
      <c r="J104" s="48" t="s">
        <v>846</v>
      </c>
      <c r="K104" s="48" t="s">
        <v>847</v>
      </c>
      <c r="L104" s="48" t="s">
        <v>848</v>
      </c>
      <c r="M104" s="48" t="s">
        <v>849</v>
      </c>
      <c r="N104" s="48" t="s">
        <v>850</v>
      </c>
      <c r="O104" s="48" t="s">
        <v>851</v>
      </c>
      <c r="P104" s="48" t="s">
        <v>852</v>
      </c>
      <c r="Q104" s="48" t="s">
        <v>853</v>
      </c>
      <c r="R104" s="48" t="s">
        <v>854</v>
      </c>
      <c r="S104" s="35" t="s">
        <v>208</v>
      </c>
      <c r="T104" s="35" t="s">
        <v>205</v>
      </c>
    </row>
    <row r="105" spans="1:85" s="42" customFormat="1" ht="16.5" customHeight="1" x14ac:dyDescent="0.25">
      <c r="A105" s="38" t="s">
        <v>313</v>
      </c>
      <c r="B105" s="38" t="s">
        <v>855</v>
      </c>
      <c r="C105" s="39">
        <v>9289</v>
      </c>
      <c r="D105" s="38" t="s">
        <v>856</v>
      </c>
      <c r="E105" s="38" t="s">
        <v>4</v>
      </c>
      <c r="F105" s="38" t="s">
        <v>857</v>
      </c>
      <c r="G105" s="38" t="s">
        <v>858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859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313</v>
      </c>
      <c r="B106" s="38" t="s">
        <v>860</v>
      </c>
      <c r="C106" s="39">
        <v>9238</v>
      </c>
      <c r="D106" s="38" t="s">
        <v>861</v>
      </c>
      <c r="E106" s="38" t="s">
        <v>3</v>
      </c>
      <c r="F106" s="38" t="s">
        <v>862</v>
      </c>
      <c r="G106" s="38" t="s">
        <v>863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864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85</v>
      </c>
      <c r="B107" s="35" t="s">
        <v>119</v>
      </c>
      <c r="C107" s="35" t="s">
        <v>295</v>
      </c>
      <c r="D107" s="35" t="s">
        <v>296</v>
      </c>
      <c r="E107" s="35" t="s">
        <v>0</v>
      </c>
      <c r="F107" s="35" t="s">
        <v>297</v>
      </c>
      <c r="G107" s="35" t="s">
        <v>1</v>
      </c>
      <c r="H107" s="57" t="s">
        <v>865</v>
      </c>
      <c r="I107" s="48" t="s">
        <v>866</v>
      </c>
      <c r="J107" s="48" t="s">
        <v>867</v>
      </c>
      <c r="K107" s="48" t="s">
        <v>868</v>
      </c>
      <c r="L107" s="48" t="s">
        <v>869</v>
      </c>
      <c r="M107" s="48" t="s">
        <v>870</v>
      </c>
      <c r="N107" s="48" t="s">
        <v>871</v>
      </c>
      <c r="O107" s="48" t="s">
        <v>872</v>
      </c>
      <c r="P107" s="48" t="s">
        <v>873</v>
      </c>
      <c r="Q107" s="48" t="s">
        <v>874</v>
      </c>
      <c r="R107" s="48" t="s">
        <v>306</v>
      </c>
      <c r="S107" s="35" t="s">
        <v>208</v>
      </c>
      <c r="T107" s="35" t="s">
        <v>205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450</v>
      </c>
      <c r="B108" s="38" t="s">
        <v>875</v>
      </c>
      <c r="C108" s="45">
        <v>9425</v>
      </c>
      <c r="D108" s="49" t="s">
        <v>876</v>
      </c>
      <c r="E108" s="38" t="s">
        <v>4</v>
      </c>
      <c r="F108" s="38" t="s">
        <v>877</v>
      </c>
      <c r="G108" s="38" t="s">
        <v>878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879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535</v>
      </c>
      <c r="B110" s="38" t="s">
        <v>881</v>
      </c>
      <c r="C110" s="45">
        <v>9839</v>
      </c>
      <c r="D110" s="38" t="s">
        <v>882</v>
      </c>
      <c r="E110" s="38" t="s">
        <v>3</v>
      </c>
      <c r="F110" s="38" t="s">
        <v>883</v>
      </c>
      <c r="G110" s="38" t="s">
        <v>884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885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85</v>
      </c>
      <c r="B111" s="35" t="s">
        <v>119</v>
      </c>
      <c r="C111" s="35" t="s">
        <v>295</v>
      </c>
      <c r="D111" s="35" t="s">
        <v>296</v>
      </c>
      <c r="E111" s="35" t="s">
        <v>0</v>
      </c>
      <c r="F111" s="35" t="s">
        <v>297</v>
      </c>
      <c r="G111" s="35" t="s">
        <v>1</v>
      </c>
      <c r="H111" s="57">
        <v>43039</v>
      </c>
      <c r="I111" s="48" t="s">
        <v>886</v>
      </c>
      <c r="J111" s="48" t="s">
        <v>887</v>
      </c>
      <c r="K111" s="48" t="s">
        <v>888</v>
      </c>
      <c r="L111" s="48" t="s">
        <v>889</v>
      </c>
      <c r="M111" s="48" t="s">
        <v>890</v>
      </c>
      <c r="N111" s="48" t="s">
        <v>891</v>
      </c>
      <c r="O111" s="48" t="s">
        <v>892</v>
      </c>
      <c r="P111" s="48" t="s">
        <v>893</v>
      </c>
      <c r="Q111" s="48" t="s">
        <v>894</v>
      </c>
      <c r="R111" s="48" t="s">
        <v>503</v>
      </c>
      <c r="S111" s="35" t="s">
        <v>208</v>
      </c>
      <c r="T111" s="35" t="s">
        <v>205</v>
      </c>
    </row>
    <row r="112" spans="1:85" s="42" customFormat="1" ht="57.75" customHeight="1" x14ac:dyDescent="0.25">
      <c r="A112" s="38" t="s">
        <v>469</v>
      </c>
      <c r="B112" s="38" t="s">
        <v>895</v>
      </c>
      <c r="C112" s="45">
        <v>9875</v>
      </c>
      <c r="D112" s="38" t="s">
        <v>896</v>
      </c>
      <c r="E112" s="38" t="s">
        <v>4</v>
      </c>
      <c r="F112" s="38" t="s">
        <v>897</v>
      </c>
      <c r="G112" s="38" t="s">
        <v>898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899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535</v>
      </c>
      <c r="B113" s="38" t="s">
        <v>881</v>
      </c>
      <c r="C113" s="45">
        <v>9839</v>
      </c>
      <c r="D113" s="38" t="s">
        <v>900</v>
      </c>
      <c r="E113" s="38" t="s">
        <v>4</v>
      </c>
      <c r="F113" s="38" t="s">
        <v>901</v>
      </c>
      <c r="G113" s="38" t="s">
        <v>902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903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535</v>
      </c>
      <c r="B114" s="49" t="s">
        <v>904</v>
      </c>
      <c r="C114" s="32">
        <v>9402</v>
      </c>
      <c r="D114" s="49" t="s">
        <v>905</v>
      </c>
      <c r="E114" s="49" t="s">
        <v>3</v>
      </c>
      <c r="F114" s="49" t="s">
        <v>906</v>
      </c>
      <c r="G114" s="49" t="s">
        <v>907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908</v>
      </c>
    </row>
    <row r="115" spans="1:109" s="42" customFormat="1" ht="43.5" customHeight="1" x14ac:dyDescent="0.25">
      <c r="A115" s="38" t="s">
        <v>535</v>
      </c>
      <c r="B115" s="38" t="s">
        <v>909</v>
      </c>
      <c r="C115" s="45">
        <v>9831</v>
      </c>
      <c r="D115" s="38" t="s">
        <v>910</v>
      </c>
      <c r="E115" s="38" t="s">
        <v>3</v>
      </c>
      <c r="F115" s="38" t="s">
        <v>911</v>
      </c>
      <c r="G115" s="38" t="s">
        <v>912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913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535</v>
      </c>
      <c r="B116" s="38" t="s">
        <v>914</v>
      </c>
      <c r="C116" s="39">
        <v>9832</v>
      </c>
      <c r="D116" s="38" t="s">
        <v>915</v>
      </c>
      <c r="E116" s="38" t="s">
        <v>4</v>
      </c>
      <c r="F116" s="38" t="s">
        <v>916</v>
      </c>
      <c r="G116" s="38" t="s">
        <v>917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918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535</v>
      </c>
      <c r="B117" s="38" t="s">
        <v>919</v>
      </c>
      <c r="C117" s="45">
        <v>9448</v>
      </c>
      <c r="D117" s="38" t="s">
        <v>920</v>
      </c>
      <c r="E117" s="38" t="s">
        <v>3</v>
      </c>
      <c r="F117" s="38" t="s">
        <v>921</v>
      </c>
      <c r="G117" s="38" t="s">
        <v>922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923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535</v>
      </c>
      <c r="B118" s="38" t="s">
        <v>924</v>
      </c>
      <c r="C118" s="45">
        <v>9833</v>
      </c>
      <c r="D118" s="38" t="s">
        <v>925</v>
      </c>
      <c r="E118" s="38" t="s">
        <v>3</v>
      </c>
      <c r="F118" s="38" t="s">
        <v>926</v>
      </c>
      <c r="G118" s="38" t="s">
        <v>927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928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535</v>
      </c>
      <c r="B119" s="49" t="s">
        <v>904</v>
      </c>
      <c r="C119" s="32">
        <v>9402</v>
      </c>
      <c r="D119" s="49" t="s">
        <v>905</v>
      </c>
      <c r="E119" s="49" t="s">
        <v>4</v>
      </c>
      <c r="F119" s="49" t="s">
        <v>929</v>
      </c>
      <c r="G119" s="49" t="s">
        <v>907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930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479</v>
      </c>
      <c r="B120" s="38" t="s">
        <v>931</v>
      </c>
      <c r="C120" s="51">
        <v>9393</v>
      </c>
      <c r="D120" s="49" t="s">
        <v>932</v>
      </c>
      <c r="E120" s="49" t="s">
        <v>4</v>
      </c>
      <c r="F120" s="49" t="s">
        <v>933</v>
      </c>
      <c r="G120" s="49" t="s">
        <v>934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935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334</v>
      </c>
      <c r="B121" s="43" t="s">
        <v>936</v>
      </c>
      <c r="C121" s="45">
        <v>9905</v>
      </c>
      <c r="D121" s="38" t="s">
        <v>937</v>
      </c>
      <c r="E121" s="13" t="s">
        <v>4</v>
      </c>
      <c r="F121" s="38" t="s">
        <v>938</v>
      </c>
      <c r="G121" s="13" t="s">
        <v>939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940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941</v>
      </c>
      <c r="B122" s="43" t="s">
        <v>942</v>
      </c>
      <c r="C122" s="39">
        <v>9873</v>
      </c>
      <c r="D122" s="38" t="s">
        <v>943</v>
      </c>
      <c r="E122" s="38" t="s">
        <v>4</v>
      </c>
      <c r="F122" s="38" t="s">
        <v>944</v>
      </c>
      <c r="G122" s="38" t="s">
        <v>945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946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85</v>
      </c>
      <c r="B123" s="35" t="s">
        <v>119</v>
      </c>
      <c r="C123" s="35" t="s">
        <v>295</v>
      </c>
      <c r="D123" s="35" t="s">
        <v>296</v>
      </c>
      <c r="E123" s="35" t="s">
        <v>0</v>
      </c>
      <c r="F123" s="35" t="s">
        <v>297</v>
      </c>
      <c r="G123" s="35" t="s">
        <v>1</v>
      </c>
      <c r="H123" s="57" t="s">
        <v>947</v>
      </c>
      <c r="I123" s="60" t="s">
        <v>948</v>
      </c>
      <c r="J123" s="60" t="s">
        <v>949</v>
      </c>
      <c r="K123" s="61" t="s">
        <v>950</v>
      </c>
      <c r="L123" s="61" t="s">
        <v>951</v>
      </c>
      <c r="M123" s="62" t="s">
        <v>952</v>
      </c>
      <c r="N123" s="62" t="s">
        <v>953</v>
      </c>
      <c r="O123" s="63" t="s">
        <v>954</v>
      </c>
      <c r="P123" s="63" t="s">
        <v>955</v>
      </c>
      <c r="Q123" s="64" t="s">
        <v>956</v>
      </c>
      <c r="R123" s="64" t="s">
        <v>556</v>
      </c>
      <c r="S123" s="35" t="s">
        <v>208</v>
      </c>
      <c r="T123" s="48" t="s">
        <v>205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460</v>
      </c>
      <c r="B124" s="38" t="s">
        <v>957</v>
      </c>
      <c r="C124" s="39">
        <v>9854</v>
      </c>
      <c r="D124" s="38" t="s">
        <v>958</v>
      </c>
      <c r="E124" s="38" t="s">
        <v>4</v>
      </c>
      <c r="F124" s="38" t="s">
        <v>959</v>
      </c>
      <c r="G124" s="38" t="s">
        <v>960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961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85</v>
      </c>
      <c r="B125" s="35" t="s">
        <v>119</v>
      </c>
      <c r="C125" s="35" t="s">
        <v>295</v>
      </c>
      <c r="D125" s="35" t="s">
        <v>296</v>
      </c>
      <c r="E125" s="35" t="s">
        <v>0</v>
      </c>
      <c r="F125" s="35" t="s">
        <v>297</v>
      </c>
      <c r="G125" s="35" t="s">
        <v>1</v>
      </c>
      <c r="H125" s="159" t="s">
        <v>962</v>
      </c>
      <c r="I125" s="159"/>
      <c r="J125" s="159"/>
      <c r="K125" s="159"/>
      <c r="L125" s="159"/>
      <c r="M125" s="159"/>
    </row>
    <row r="126" spans="1:109" ht="16.5" customHeight="1" x14ac:dyDescent="0.25">
      <c r="A126" s="38" t="s">
        <v>450</v>
      </c>
      <c r="B126" s="38" t="s">
        <v>963</v>
      </c>
      <c r="C126" s="39">
        <v>9479</v>
      </c>
      <c r="D126" s="38" t="s">
        <v>964</v>
      </c>
      <c r="E126" s="38" t="s">
        <v>4</v>
      </c>
      <c r="F126" s="38" t="s">
        <v>965</v>
      </c>
      <c r="G126" s="38" t="s">
        <v>966</v>
      </c>
      <c r="H126" s="66">
        <v>63259</v>
      </c>
      <c r="I126" s="161" t="s">
        <v>967</v>
      </c>
      <c r="J126" s="161"/>
      <c r="K126" s="161"/>
      <c r="L126" s="161"/>
      <c r="M126" s="161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479</v>
      </c>
      <c r="B127" s="38" t="s">
        <v>968</v>
      </c>
      <c r="C127" s="32">
        <v>9382</v>
      </c>
      <c r="D127" s="49" t="s">
        <v>969</v>
      </c>
      <c r="E127" s="49" t="s">
        <v>4</v>
      </c>
      <c r="F127" s="49" t="s">
        <v>970</v>
      </c>
      <c r="G127" s="49" t="s">
        <v>971</v>
      </c>
      <c r="H127" s="33">
        <v>66678</v>
      </c>
      <c r="I127" s="161" t="s">
        <v>967</v>
      </c>
      <c r="J127" s="161"/>
      <c r="K127" s="161"/>
      <c r="L127" s="161"/>
      <c r="M127" s="16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479</v>
      </c>
      <c r="B128" s="38" t="s">
        <v>757</v>
      </c>
      <c r="C128" s="39">
        <v>9310</v>
      </c>
      <c r="D128" s="38" t="s">
        <v>972</v>
      </c>
      <c r="E128" s="38" t="s">
        <v>3</v>
      </c>
      <c r="F128" s="38" t="s">
        <v>973</v>
      </c>
      <c r="G128" s="38" t="s">
        <v>974</v>
      </c>
      <c r="H128" s="33">
        <v>193229</v>
      </c>
      <c r="I128" s="161" t="s">
        <v>975</v>
      </c>
      <c r="J128" s="161"/>
      <c r="K128" s="161"/>
      <c r="L128" s="161"/>
      <c r="M128" s="161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334</v>
      </c>
      <c r="B129" s="38" t="s">
        <v>713</v>
      </c>
      <c r="C129" s="39">
        <v>9235</v>
      </c>
      <c r="D129" s="49" t="s">
        <v>976</v>
      </c>
      <c r="E129" s="38" t="s">
        <v>3</v>
      </c>
      <c r="F129" s="38" t="s">
        <v>977</v>
      </c>
      <c r="G129" s="38" t="s">
        <v>978</v>
      </c>
      <c r="H129" s="33">
        <v>324067</v>
      </c>
      <c r="I129" s="161" t="s">
        <v>979</v>
      </c>
      <c r="J129" s="161"/>
      <c r="K129" s="161"/>
      <c r="L129" s="161"/>
      <c r="M129" s="16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334</v>
      </c>
      <c r="B130" s="38" t="s">
        <v>713</v>
      </c>
      <c r="C130" s="39">
        <v>9235</v>
      </c>
      <c r="D130" s="49" t="s">
        <v>980</v>
      </c>
      <c r="E130" s="38" t="s">
        <v>4</v>
      </c>
      <c r="F130" s="38" t="s">
        <v>981</v>
      </c>
      <c r="G130" s="38" t="s">
        <v>982</v>
      </c>
      <c r="H130" s="33">
        <v>160394</v>
      </c>
      <c r="I130" s="161" t="s">
        <v>979</v>
      </c>
      <c r="J130" s="161"/>
      <c r="K130" s="161"/>
      <c r="L130" s="161"/>
      <c r="M130" s="16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307</v>
      </c>
      <c r="B131" s="43" t="s">
        <v>983</v>
      </c>
      <c r="C131" s="45">
        <v>9342</v>
      </c>
      <c r="D131" s="38" t="s">
        <v>984</v>
      </c>
      <c r="E131" s="13" t="s">
        <v>4</v>
      </c>
      <c r="F131" s="38" t="s">
        <v>985</v>
      </c>
      <c r="G131" s="13" t="s">
        <v>986</v>
      </c>
      <c r="H131" s="33">
        <v>130424</v>
      </c>
      <c r="I131" s="161" t="s">
        <v>987</v>
      </c>
      <c r="J131" s="161"/>
      <c r="K131" s="161"/>
      <c r="L131" s="161"/>
      <c r="M131" s="161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307</v>
      </c>
      <c r="B132" s="38" t="s">
        <v>988</v>
      </c>
      <c r="C132" s="45">
        <v>9293</v>
      </c>
      <c r="D132" s="38" t="s">
        <v>989</v>
      </c>
      <c r="E132" s="38" t="s">
        <v>3</v>
      </c>
      <c r="F132" s="38" t="s">
        <v>990</v>
      </c>
      <c r="G132" s="38" t="s">
        <v>991</v>
      </c>
      <c r="H132" s="33">
        <v>263606</v>
      </c>
      <c r="I132" s="161" t="s">
        <v>992</v>
      </c>
      <c r="J132" s="161"/>
      <c r="K132" s="161"/>
      <c r="L132" s="161"/>
      <c r="M132" s="161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307</v>
      </c>
      <c r="B133" s="38" t="s">
        <v>988</v>
      </c>
      <c r="C133" s="45">
        <v>9293</v>
      </c>
      <c r="D133" s="38" t="s">
        <v>993</v>
      </c>
      <c r="E133" s="38" t="s">
        <v>4</v>
      </c>
      <c r="F133" s="38" t="s">
        <v>994</v>
      </c>
      <c r="G133" s="38" t="s">
        <v>995</v>
      </c>
      <c r="H133" s="33">
        <v>69822</v>
      </c>
      <c r="I133" s="161" t="s">
        <v>992</v>
      </c>
      <c r="J133" s="161"/>
      <c r="K133" s="161"/>
      <c r="L133" s="161"/>
      <c r="M133" s="161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460</v>
      </c>
      <c r="B134" s="38" t="s">
        <v>957</v>
      </c>
      <c r="C134" s="39">
        <v>9854</v>
      </c>
      <c r="D134" s="38" t="s">
        <v>958</v>
      </c>
      <c r="E134" s="38" t="s">
        <v>4</v>
      </c>
      <c r="F134" s="38" t="s">
        <v>959</v>
      </c>
      <c r="G134" s="38" t="s">
        <v>960</v>
      </c>
      <c r="H134" s="33">
        <v>15532</v>
      </c>
      <c r="I134" s="161" t="s">
        <v>996</v>
      </c>
      <c r="J134" s="161"/>
      <c r="K134" s="161"/>
      <c r="L134" s="161"/>
      <c r="M134" s="16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460</v>
      </c>
      <c r="B135" s="38" t="s">
        <v>997</v>
      </c>
      <c r="C135" s="39">
        <v>9819</v>
      </c>
      <c r="D135" s="38" t="s">
        <v>998</v>
      </c>
      <c r="E135" s="38" t="s">
        <v>4</v>
      </c>
      <c r="F135" s="38" t="s">
        <v>999</v>
      </c>
      <c r="G135" s="38" t="s">
        <v>1000</v>
      </c>
      <c r="H135" s="33">
        <v>246453</v>
      </c>
      <c r="I135" s="161" t="s">
        <v>1001</v>
      </c>
      <c r="J135" s="161"/>
      <c r="K135" s="161"/>
      <c r="L135" s="161"/>
      <c r="M135" s="161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460</v>
      </c>
      <c r="B136" s="38" t="s">
        <v>997</v>
      </c>
      <c r="C136" s="39">
        <v>9819</v>
      </c>
      <c r="D136" s="38" t="s">
        <v>1002</v>
      </c>
      <c r="E136" s="38" t="s">
        <v>3</v>
      </c>
      <c r="F136" s="38" t="s">
        <v>1003</v>
      </c>
      <c r="G136" s="38" t="s">
        <v>1004</v>
      </c>
      <c r="H136" s="33">
        <v>329329</v>
      </c>
      <c r="I136" s="161" t="s">
        <v>1001</v>
      </c>
      <c r="J136" s="161"/>
      <c r="K136" s="161"/>
      <c r="L136" s="161"/>
      <c r="M136" s="161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435</v>
      </c>
      <c r="B137" s="38" t="s">
        <v>1005</v>
      </c>
      <c r="C137" s="45">
        <v>9571</v>
      </c>
      <c r="D137" s="38" t="s">
        <v>1006</v>
      </c>
      <c r="E137" s="38" t="s">
        <v>4</v>
      </c>
      <c r="F137" s="38" t="s">
        <v>1007</v>
      </c>
      <c r="G137" s="38" t="s">
        <v>1008</v>
      </c>
      <c r="H137" s="33">
        <v>62495</v>
      </c>
      <c r="I137" s="161" t="s">
        <v>1009</v>
      </c>
      <c r="J137" s="161"/>
      <c r="K137" s="161"/>
      <c r="L137" s="161"/>
      <c r="M137" s="161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435</v>
      </c>
      <c r="B138" s="38" t="s">
        <v>1005</v>
      </c>
      <c r="C138" s="45">
        <v>9571</v>
      </c>
      <c r="D138" s="38" t="s">
        <v>1006</v>
      </c>
      <c r="E138" s="38" t="s">
        <v>3</v>
      </c>
      <c r="F138" s="38" t="s">
        <v>1010</v>
      </c>
      <c r="G138" s="38" t="s">
        <v>1011</v>
      </c>
      <c r="H138" s="33">
        <v>109315</v>
      </c>
      <c r="I138" s="161" t="s">
        <v>979</v>
      </c>
      <c r="J138" s="161"/>
      <c r="K138" s="161"/>
      <c r="L138" s="161"/>
      <c r="M138" s="161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323</v>
      </c>
      <c r="B139" s="43" t="s">
        <v>1012</v>
      </c>
      <c r="C139" s="45">
        <v>9651</v>
      </c>
      <c r="D139" s="38" t="s">
        <v>1013</v>
      </c>
      <c r="E139" s="13" t="s">
        <v>4</v>
      </c>
      <c r="F139" s="38" t="s">
        <v>1014</v>
      </c>
      <c r="G139" s="13" t="s">
        <v>1015</v>
      </c>
      <c r="H139" s="33">
        <v>31915</v>
      </c>
      <c r="I139" s="161" t="s">
        <v>967</v>
      </c>
      <c r="J139" s="161"/>
      <c r="K139" s="161"/>
      <c r="L139" s="161"/>
      <c r="M139" s="16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435</v>
      </c>
      <c r="B140" s="38" t="s">
        <v>1016</v>
      </c>
      <c r="C140" s="45">
        <v>9610</v>
      </c>
      <c r="D140" s="38" t="s">
        <v>1017</v>
      </c>
      <c r="E140" s="38" t="s">
        <v>4</v>
      </c>
      <c r="F140" s="38" t="s">
        <v>1018</v>
      </c>
      <c r="G140" s="38" t="s">
        <v>1008</v>
      </c>
      <c r="H140" s="33">
        <v>62495</v>
      </c>
      <c r="I140" s="161" t="s">
        <v>1019</v>
      </c>
      <c r="J140" s="161"/>
      <c r="K140" s="161"/>
      <c r="L140" s="161"/>
      <c r="M140" s="161"/>
    </row>
    <row r="141" spans="1:109" ht="16.5" customHeight="1" x14ac:dyDescent="0.25">
      <c r="A141" s="38" t="s">
        <v>334</v>
      </c>
      <c r="B141" s="38" t="s">
        <v>1020</v>
      </c>
      <c r="C141" s="39">
        <v>9222</v>
      </c>
      <c r="D141" s="38" t="s">
        <v>1021</v>
      </c>
      <c r="E141" s="38" t="s">
        <v>4</v>
      </c>
      <c r="F141" s="38" t="s">
        <v>1022</v>
      </c>
      <c r="G141" s="38" t="s">
        <v>1023</v>
      </c>
      <c r="H141" s="33">
        <v>283122</v>
      </c>
      <c r="I141" s="161" t="s">
        <v>1024</v>
      </c>
      <c r="J141" s="162"/>
      <c r="K141" s="162"/>
      <c r="L141" s="162"/>
      <c r="M141" s="162"/>
    </row>
    <row r="142" spans="1:109" ht="16.5" customHeight="1" x14ac:dyDescent="0.25">
      <c r="A142" s="38" t="s">
        <v>86</v>
      </c>
      <c r="B142" s="38" t="s">
        <v>262</v>
      </c>
      <c r="C142" s="45" t="s">
        <v>91</v>
      </c>
      <c r="D142" s="38" t="s">
        <v>186</v>
      </c>
      <c r="E142" s="38" t="s">
        <v>118</v>
      </c>
      <c r="F142" s="33" t="s">
        <v>1025</v>
      </c>
      <c r="G142" s="38" t="s">
        <v>10</v>
      </c>
      <c r="H142" s="69">
        <v>1082107</v>
      </c>
      <c r="I142" s="69" t="s">
        <v>294</v>
      </c>
      <c r="J142" s="69"/>
      <c r="K142" s="69"/>
      <c r="L142" s="69"/>
    </row>
    <row r="143" spans="1:109" ht="16.5" customHeight="1" x14ac:dyDescent="0.25">
      <c r="A143" s="38" t="s">
        <v>86</v>
      </c>
      <c r="B143" s="38" t="s">
        <v>238</v>
      </c>
      <c r="C143" s="45" t="s">
        <v>97</v>
      </c>
      <c r="D143" s="38" t="s">
        <v>169</v>
      </c>
      <c r="E143" s="38" t="s">
        <v>118</v>
      </c>
      <c r="F143" s="38" t="s">
        <v>62</v>
      </c>
      <c r="G143" s="38" t="s">
        <v>61</v>
      </c>
      <c r="H143" s="33">
        <v>519866</v>
      </c>
      <c r="I143" s="161" t="s">
        <v>1037</v>
      </c>
      <c r="J143" s="161"/>
      <c r="K143" s="161"/>
      <c r="L143" s="161"/>
      <c r="M143" s="161"/>
    </row>
    <row r="144" spans="1:109" ht="16.5" customHeight="1" x14ac:dyDescent="0.25">
      <c r="A144" s="38" t="s">
        <v>86</v>
      </c>
      <c r="B144" s="38" t="s">
        <v>246</v>
      </c>
      <c r="C144" s="45" t="s">
        <v>90</v>
      </c>
      <c r="D144" s="38" t="s">
        <v>176</v>
      </c>
      <c r="E144" s="38" t="s">
        <v>118</v>
      </c>
      <c r="F144" s="38" t="s">
        <v>9</v>
      </c>
      <c r="G144" s="38" t="s">
        <v>8</v>
      </c>
      <c r="H144" s="33"/>
      <c r="I144" s="161" t="s">
        <v>284</v>
      </c>
      <c r="J144" s="161" t="s">
        <v>284</v>
      </c>
      <c r="K144" s="161"/>
      <c r="L144" s="161"/>
      <c r="M144" s="161"/>
    </row>
    <row r="145" spans="1:67" ht="16.5" customHeight="1" x14ac:dyDescent="0.25">
      <c r="A145" s="38" t="s">
        <v>479</v>
      </c>
      <c r="B145" s="38" t="s">
        <v>588</v>
      </c>
      <c r="C145" s="45">
        <v>9388</v>
      </c>
      <c r="D145" s="38" t="s">
        <v>1054</v>
      </c>
      <c r="E145" s="38" t="s">
        <v>3</v>
      </c>
      <c r="F145" s="38" t="s">
        <v>1055</v>
      </c>
      <c r="G145" s="38" t="s">
        <v>1056</v>
      </c>
      <c r="H145" s="33">
        <f>VLOOKUP(G145:G585,'[1]Dispositivos exportados de HP W'!$C$2:$D$592,2,FALSE)</f>
        <v>458544</v>
      </c>
      <c r="I145" s="161" t="s">
        <v>1057</v>
      </c>
      <c r="J145" s="161"/>
      <c r="K145" s="161"/>
      <c r="L145" s="161"/>
      <c r="M145" s="161"/>
    </row>
    <row r="146" spans="1:67" s="82" customFormat="1" ht="16.5" customHeight="1" x14ac:dyDescent="0.25">
      <c r="A146" s="78" t="s">
        <v>86</v>
      </c>
      <c r="B146" s="78" t="s">
        <v>116</v>
      </c>
      <c r="C146" s="72" t="s">
        <v>87</v>
      </c>
      <c r="D146" s="7" t="s">
        <v>189</v>
      </c>
      <c r="E146" s="28" t="s">
        <v>216</v>
      </c>
      <c r="F146" s="78" t="s">
        <v>4</v>
      </c>
      <c r="G146" s="79" t="s">
        <v>11</v>
      </c>
      <c r="H146" s="78" t="s">
        <v>279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86</v>
      </c>
      <c r="B147" s="78" t="s">
        <v>116</v>
      </c>
      <c r="C147" s="72" t="s">
        <v>105</v>
      </c>
      <c r="D147" s="11" t="s">
        <v>180</v>
      </c>
      <c r="E147" s="100" t="s">
        <v>252</v>
      </c>
      <c r="F147" s="78" t="s">
        <v>118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86</v>
      </c>
      <c r="B148" s="78" t="s">
        <v>116</v>
      </c>
      <c r="C148" s="72" t="s">
        <v>109</v>
      </c>
      <c r="D148" s="7" t="s">
        <v>173</v>
      </c>
      <c r="E148" s="94" t="s">
        <v>234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86</v>
      </c>
      <c r="B149" s="86" t="s">
        <v>116</v>
      </c>
      <c r="C149" s="91" t="s">
        <v>98</v>
      </c>
      <c r="D149" s="109" t="s">
        <v>200</v>
      </c>
      <c r="E149" s="105" t="s">
        <v>236</v>
      </c>
      <c r="F149" s="78" t="s">
        <v>4</v>
      </c>
      <c r="G149" s="79" t="s">
        <v>199</v>
      </c>
      <c r="H149" s="78" t="s">
        <v>120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86</v>
      </c>
      <c r="B150" s="16" t="s">
        <v>116</v>
      </c>
      <c r="C150" s="16" t="s">
        <v>94</v>
      </c>
      <c r="D150" s="16" t="s">
        <v>198</v>
      </c>
      <c r="E150" s="16" t="s">
        <v>229</v>
      </c>
      <c r="F150" s="16" t="s">
        <v>4</v>
      </c>
      <c r="G150" s="16" t="s">
        <v>40</v>
      </c>
      <c r="H150" s="16" t="s">
        <v>331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86</v>
      </c>
      <c r="B151" s="78" t="s">
        <v>116</v>
      </c>
      <c r="C151" s="72" t="s">
        <v>92</v>
      </c>
      <c r="D151" s="7" t="s">
        <v>1093</v>
      </c>
      <c r="E151" s="97" t="s">
        <v>288</v>
      </c>
      <c r="F151" s="78" t="s">
        <v>48</v>
      </c>
      <c r="G151" s="27" t="s">
        <v>212</v>
      </c>
      <c r="H151" s="14" t="s">
        <v>213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86</v>
      </c>
      <c r="B153" s="16" t="s">
        <v>116</v>
      </c>
      <c r="C153" s="16" t="s">
        <v>114</v>
      </c>
      <c r="D153" s="16" t="s">
        <v>165</v>
      </c>
      <c r="E153" s="16" t="s">
        <v>234</v>
      </c>
      <c r="F153" s="16" t="s">
        <v>3</v>
      </c>
      <c r="G153" s="16" t="s">
        <v>81</v>
      </c>
      <c r="H153" s="16" t="s">
        <v>206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1100</v>
      </c>
    </row>
    <row r="154" spans="1:67" ht="16.5" customHeight="1" x14ac:dyDescent="0.25">
      <c r="A154" s="16" t="s">
        <v>86</v>
      </c>
      <c r="B154" s="16" t="s">
        <v>116</v>
      </c>
      <c r="C154" s="16" t="s">
        <v>113</v>
      </c>
      <c r="D154" s="16" t="s">
        <v>162</v>
      </c>
      <c r="E154" s="16" t="s">
        <v>232</v>
      </c>
      <c r="F154" s="16" t="s">
        <v>4</v>
      </c>
      <c r="G154" s="16" t="s">
        <v>139</v>
      </c>
      <c r="H154" s="16" t="s">
        <v>140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1106</v>
      </c>
    </row>
    <row r="155" spans="1:67" ht="16.5" customHeight="1" x14ac:dyDescent="0.25">
      <c r="A155" s="16" t="s">
        <v>86</v>
      </c>
      <c r="B155" s="16" t="s">
        <v>116</v>
      </c>
      <c r="C155" s="16" t="s">
        <v>111</v>
      </c>
      <c r="D155" s="16" t="s">
        <v>1043</v>
      </c>
      <c r="E155" s="16" t="s">
        <v>233</v>
      </c>
      <c r="F155" s="16" t="s">
        <v>4</v>
      </c>
      <c r="G155" s="16" t="s">
        <v>1044</v>
      </c>
      <c r="H155" s="16" t="s">
        <v>880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1107</v>
      </c>
    </row>
    <row r="156" spans="1:67" ht="16.5" customHeight="1" x14ac:dyDescent="0.25">
      <c r="A156" s="16" t="s">
        <v>86</v>
      </c>
      <c r="B156" s="16" t="s">
        <v>116</v>
      </c>
      <c r="C156" s="16" t="s">
        <v>87</v>
      </c>
      <c r="D156" s="16" t="s">
        <v>1085</v>
      </c>
      <c r="E156" s="16" t="s">
        <v>1086</v>
      </c>
      <c r="F156" s="16" t="s">
        <v>42</v>
      </c>
      <c r="G156" s="16" t="s">
        <v>1087</v>
      </c>
      <c r="H156" s="16" t="s">
        <v>280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1101</v>
      </c>
    </row>
    <row r="157" spans="1:67" ht="16.5" customHeight="1" x14ac:dyDescent="0.25">
      <c r="A157" s="16" t="s">
        <v>86</v>
      </c>
      <c r="B157" s="16" t="s">
        <v>116</v>
      </c>
      <c r="C157" s="16" t="s">
        <v>87</v>
      </c>
      <c r="D157" s="16" t="s">
        <v>1031</v>
      </c>
      <c r="E157" s="16" t="s">
        <v>265</v>
      </c>
      <c r="F157" s="16" t="s">
        <v>42</v>
      </c>
      <c r="G157" s="16" t="s">
        <v>19</v>
      </c>
      <c r="H157" s="16" t="s">
        <v>149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1102</v>
      </c>
    </row>
    <row r="158" spans="1:67" ht="16.5" customHeight="1" x14ac:dyDescent="0.25">
      <c r="A158" s="16" t="s">
        <v>86</v>
      </c>
      <c r="B158" s="16" t="s">
        <v>116</v>
      </c>
      <c r="C158" s="16" t="s">
        <v>87</v>
      </c>
      <c r="D158" s="16" t="s">
        <v>210</v>
      </c>
      <c r="E158" s="16" t="s">
        <v>1032</v>
      </c>
      <c r="F158" s="16" t="s">
        <v>42</v>
      </c>
      <c r="G158" s="16" t="s">
        <v>1081</v>
      </c>
      <c r="H158" s="16" t="s">
        <v>209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1103</v>
      </c>
    </row>
    <row r="159" spans="1:67" ht="16.5" customHeight="1" x14ac:dyDescent="0.25">
      <c r="A159" s="16" t="s">
        <v>86</v>
      </c>
      <c r="B159" s="16" t="s">
        <v>116</v>
      </c>
      <c r="C159" s="16" t="s">
        <v>87</v>
      </c>
      <c r="D159" s="16" t="s">
        <v>1082</v>
      </c>
      <c r="E159" s="16" t="s">
        <v>1034</v>
      </c>
      <c r="F159" s="16" t="s">
        <v>42</v>
      </c>
      <c r="G159" s="16" t="s">
        <v>150</v>
      </c>
      <c r="H159" s="16" t="s">
        <v>151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1104</v>
      </c>
    </row>
    <row r="160" spans="1:67" ht="16.5" customHeight="1" x14ac:dyDescent="0.25">
      <c r="A160" s="16" t="s">
        <v>86</v>
      </c>
      <c r="B160" s="16" t="s">
        <v>116</v>
      </c>
      <c r="C160" s="16" t="s">
        <v>87</v>
      </c>
      <c r="D160" s="16" t="s">
        <v>1033</v>
      </c>
      <c r="E160" s="16" t="s">
        <v>1084</v>
      </c>
      <c r="F160" s="16" t="s">
        <v>201</v>
      </c>
      <c r="G160" s="16" t="s">
        <v>148</v>
      </c>
      <c r="H160" s="16" t="s">
        <v>202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1105</v>
      </c>
    </row>
    <row r="161" spans="1:83" ht="16.5" customHeight="1" x14ac:dyDescent="0.25">
      <c r="A161" s="16" t="s">
        <v>86</v>
      </c>
      <c r="B161" s="16" t="s">
        <v>116</v>
      </c>
      <c r="C161" s="16" t="s">
        <v>88</v>
      </c>
      <c r="D161" s="16" t="s">
        <v>1094</v>
      </c>
      <c r="E161" s="16" t="s">
        <v>251</v>
      </c>
      <c r="F161" s="16" t="s">
        <v>42</v>
      </c>
      <c r="G161" s="16" t="s">
        <v>7</v>
      </c>
      <c r="H161" s="16" t="s">
        <v>153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1109</v>
      </c>
    </row>
    <row r="162" spans="1:83" ht="16.5" customHeight="1" x14ac:dyDescent="0.25">
      <c r="A162" s="16" t="s">
        <v>86</v>
      </c>
      <c r="B162" s="16" t="s">
        <v>116</v>
      </c>
      <c r="C162" s="16" t="s">
        <v>88</v>
      </c>
      <c r="D162" s="16" t="s">
        <v>1095</v>
      </c>
      <c r="E162" s="16" t="s">
        <v>251</v>
      </c>
      <c r="F162" s="16" t="s">
        <v>42</v>
      </c>
      <c r="G162" s="16" t="s">
        <v>65</v>
      </c>
      <c r="H162" s="16" t="s">
        <v>152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1108</v>
      </c>
    </row>
    <row r="163" spans="1:83" ht="16.5" customHeight="1" x14ac:dyDescent="0.25">
      <c r="A163" s="16" t="s">
        <v>86</v>
      </c>
      <c r="B163" s="16" t="s">
        <v>116</v>
      </c>
      <c r="C163" s="16" t="s">
        <v>107</v>
      </c>
      <c r="D163" s="16" t="s">
        <v>1091</v>
      </c>
      <c r="E163" s="16" t="s">
        <v>257</v>
      </c>
      <c r="F163" s="16" t="s">
        <v>3</v>
      </c>
      <c r="G163" s="16" t="s">
        <v>134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1112</v>
      </c>
    </row>
    <row r="164" spans="1:83" ht="16.5" customHeight="1" x14ac:dyDescent="0.25">
      <c r="A164" s="16" t="s">
        <v>86</v>
      </c>
      <c r="B164" s="16" t="s">
        <v>116</v>
      </c>
      <c r="C164" s="16" t="s">
        <v>107</v>
      </c>
      <c r="D164" s="16" t="s">
        <v>1097</v>
      </c>
      <c r="E164" s="16" t="s">
        <v>258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1112</v>
      </c>
    </row>
    <row r="165" spans="1:83" ht="16.5" customHeight="1" x14ac:dyDescent="0.25">
      <c r="A165" s="16" t="s">
        <v>86</v>
      </c>
      <c r="B165" s="16" t="s">
        <v>116</v>
      </c>
      <c r="C165" s="16" t="s">
        <v>99</v>
      </c>
      <c r="D165" s="16" t="s">
        <v>192</v>
      </c>
      <c r="E165" s="16" t="s">
        <v>266</v>
      </c>
      <c r="F165" s="16" t="s">
        <v>4</v>
      </c>
      <c r="G165" s="16" t="s">
        <v>20</v>
      </c>
      <c r="H165" s="16" t="s">
        <v>123</v>
      </c>
      <c r="I165" s="16">
        <v>186083</v>
      </c>
      <c r="T165" s="20" t="s">
        <v>1110</v>
      </c>
      <c r="U165" s="20">
        <v>0</v>
      </c>
    </row>
    <row r="166" spans="1:83" ht="16.5" customHeight="1" x14ac:dyDescent="0.25">
      <c r="A166" s="16" t="s">
        <v>86</v>
      </c>
      <c r="B166" s="16" t="s">
        <v>116</v>
      </c>
      <c r="C166" s="16" t="s">
        <v>94</v>
      </c>
      <c r="D166" s="16" t="s">
        <v>1098</v>
      </c>
      <c r="E166" s="16" t="s">
        <v>1047</v>
      </c>
      <c r="F166" s="16" t="s">
        <v>4</v>
      </c>
      <c r="G166" s="16" t="s">
        <v>1039</v>
      </c>
      <c r="H166" s="16" t="s">
        <v>582</v>
      </c>
      <c r="I166" s="16">
        <v>109342</v>
      </c>
      <c r="T166" s="20" t="s">
        <v>1111</v>
      </c>
      <c r="U166" s="20">
        <v>0</v>
      </c>
    </row>
    <row r="167" spans="1:83" s="82" customFormat="1" ht="16.5" customHeight="1" x14ac:dyDescent="0.25">
      <c r="A167" s="79" t="s">
        <v>86</v>
      </c>
      <c r="B167" s="86" t="s">
        <v>116</v>
      </c>
      <c r="C167" s="91" t="s">
        <v>98</v>
      </c>
      <c r="D167" s="109" t="s">
        <v>200</v>
      </c>
      <c r="E167" s="105" t="s">
        <v>236</v>
      </c>
      <c r="F167" s="78" t="s">
        <v>118</v>
      </c>
      <c r="G167" s="27" t="s">
        <v>1089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1090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86</v>
      </c>
      <c r="B168" s="78" t="s">
        <v>116</v>
      </c>
      <c r="C168" s="72" t="s">
        <v>108</v>
      </c>
      <c r="D168" s="7" t="s">
        <v>182</v>
      </c>
      <c r="E168" s="84" t="s">
        <v>259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1099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86</v>
      </c>
      <c r="B169" s="78" t="s">
        <v>116</v>
      </c>
      <c r="C169" s="72" t="s">
        <v>108</v>
      </c>
      <c r="D169" s="11" t="s">
        <v>181</v>
      </c>
      <c r="E169" s="85" t="s">
        <v>1029</v>
      </c>
      <c r="F169" s="78" t="s">
        <v>3</v>
      </c>
      <c r="G169" s="21"/>
      <c r="H169" s="6" t="s">
        <v>291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1120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86</v>
      </c>
      <c r="B170" s="83" t="s">
        <v>116</v>
      </c>
      <c r="C170" s="72" t="s">
        <v>93</v>
      </c>
      <c r="D170" s="7" t="s">
        <v>1092</v>
      </c>
      <c r="E170" s="95" t="s">
        <v>248</v>
      </c>
      <c r="F170" s="78" t="s">
        <v>4</v>
      </c>
      <c r="G170" s="79" t="s">
        <v>1073</v>
      </c>
      <c r="H170" s="78" t="s">
        <v>121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1117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86</v>
      </c>
      <c r="B171" s="78" t="s">
        <v>116</v>
      </c>
      <c r="C171" s="72" t="s">
        <v>96</v>
      </c>
      <c r="D171" s="7" t="s">
        <v>184</v>
      </c>
      <c r="E171" s="94" t="s">
        <v>260</v>
      </c>
      <c r="F171" s="78" t="s">
        <v>118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1118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86</v>
      </c>
      <c r="B172" s="78" t="s">
        <v>116</v>
      </c>
      <c r="C172" s="72" t="s">
        <v>96</v>
      </c>
      <c r="D172" s="7" t="s">
        <v>184</v>
      </c>
      <c r="E172" s="84" t="s">
        <v>260</v>
      </c>
      <c r="F172" s="78" t="s">
        <v>118</v>
      </c>
      <c r="G172" s="21"/>
      <c r="H172" s="1" t="s">
        <v>1076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1078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86</v>
      </c>
      <c r="B173" s="78" t="s">
        <v>116</v>
      </c>
      <c r="C173" s="72" t="s">
        <v>102</v>
      </c>
      <c r="D173" s="7" t="s">
        <v>1114</v>
      </c>
      <c r="E173" s="95" t="s">
        <v>244</v>
      </c>
      <c r="F173" s="78" t="s">
        <v>4</v>
      </c>
      <c r="G173" s="27" t="s">
        <v>1115</v>
      </c>
      <c r="H173" s="14" t="s">
        <v>1116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1126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86</v>
      </c>
      <c r="B174" s="78" t="s">
        <v>116</v>
      </c>
      <c r="C174" s="72" t="s">
        <v>107</v>
      </c>
      <c r="D174" s="7" t="s">
        <v>1132</v>
      </c>
      <c r="E174" s="84" t="s">
        <v>256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1146</v>
      </c>
      <c r="U174" s="34">
        <f>COUNTIFS(P174:Q174,"=0")</f>
        <v>1</v>
      </c>
      <c r="V174" s="15" t="s">
        <v>1146</v>
      </c>
    </row>
    <row r="175" spans="1:83" s="20" customFormat="1" ht="16.5" customHeight="1" x14ac:dyDescent="0.25">
      <c r="A175" s="14" t="s">
        <v>86</v>
      </c>
      <c r="B175" s="78" t="s">
        <v>116</v>
      </c>
      <c r="C175" s="72" t="s">
        <v>96</v>
      </c>
      <c r="D175" s="10" t="s">
        <v>183</v>
      </c>
      <c r="E175" s="121" t="s">
        <v>261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1145</v>
      </c>
      <c r="U175" s="34">
        <f>COUNTIFS(P175:Q175,"=0")</f>
        <v>0</v>
      </c>
      <c r="V175" s="15" t="s">
        <v>1145</v>
      </c>
    </row>
    <row r="176" spans="1:83" ht="16.5" customHeight="1" x14ac:dyDescent="0.25">
      <c r="A176" s="14" t="s">
        <v>86</v>
      </c>
      <c r="B176" s="78" t="s">
        <v>116</v>
      </c>
      <c r="C176" s="72" t="s">
        <v>110</v>
      </c>
      <c r="D176" s="7" t="s">
        <v>1149</v>
      </c>
      <c r="E176" s="97" t="s">
        <v>1150</v>
      </c>
      <c r="F176" s="78" t="s">
        <v>1148</v>
      </c>
      <c r="G176" s="27" t="s">
        <v>1151</v>
      </c>
      <c r="H176" s="14" t="s">
        <v>1152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1153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86</v>
      </c>
      <c r="B177" s="78" t="s">
        <v>116</v>
      </c>
      <c r="C177" s="72" t="s">
        <v>95</v>
      </c>
      <c r="D177" s="126" t="s">
        <v>167</v>
      </c>
      <c r="E177" s="97" t="s">
        <v>237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1168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86</v>
      </c>
      <c r="B178" s="78" t="s">
        <v>116</v>
      </c>
      <c r="C178" s="72" t="s">
        <v>101</v>
      </c>
      <c r="D178" s="7" t="s">
        <v>175</v>
      </c>
      <c r="E178" s="94" t="s">
        <v>1121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1162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86</v>
      </c>
      <c r="B179" s="90" t="s">
        <v>116</v>
      </c>
      <c r="C179" s="75" t="s">
        <v>97</v>
      </c>
      <c r="D179" s="7" t="s">
        <v>168</v>
      </c>
      <c r="E179" s="128" t="s">
        <v>239</v>
      </c>
      <c r="F179" s="90" t="s">
        <v>118</v>
      </c>
      <c r="G179" s="23"/>
      <c r="H179" s="8" t="s">
        <v>80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1163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86</v>
      </c>
      <c r="B180" s="78" t="s">
        <v>116</v>
      </c>
      <c r="C180" s="72" t="s">
        <v>1040</v>
      </c>
      <c r="D180" s="7" t="s">
        <v>1041</v>
      </c>
      <c r="E180" s="99" t="s">
        <v>269</v>
      </c>
      <c r="F180" s="78" t="s">
        <v>3</v>
      </c>
      <c r="G180" s="27" t="s">
        <v>1042</v>
      </c>
      <c r="H180" s="6" t="s">
        <v>46</v>
      </c>
      <c r="T180" s="16" t="s">
        <v>1172</v>
      </c>
    </row>
    <row r="181" spans="1:16384" ht="16.5" customHeight="1" x14ac:dyDescent="0.25">
      <c r="A181" s="14" t="s">
        <v>86</v>
      </c>
      <c r="B181" s="78" t="s">
        <v>116</v>
      </c>
      <c r="C181" s="91" t="s">
        <v>98</v>
      </c>
      <c r="D181" s="7" t="s">
        <v>1127</v>
      </c>
      <c r="E181" s="122" t="s">
        <v>236</v>
      </c>
      <c r="F181" s="78" t="s">
        <v>3</v>
      </c>
      <c r="G181" s="27" t="s">
        <v>1089</v>
      </c>
      <c r="H181" s="6" t="s">
        <v>1113</v>
      </c>
      <c r="T181" s="16" t="s">
        <v>1112</v>
      </c>
    </row>
    <row r="182" spans="1:16384" ht="16.5" customHeight="1" x14ac:dyDescent="0.25">
      <c r="A182" s="153" t="s">
        <v>86</v>
      </c>
      <c r="B182" s="154" t="s">
        <v>116</v>
      </c>
      <c r="C182" s="155" t="s">
        <v>108</v>
      </c>
      <c r="D182" s="11" t="s">
        <v>181</v>
      </c>
      <c r="E182" s="156" t="s">
        <v>1119</v>
      </c>
      <c r="F182" s="154" t="s">
        <v>118</v>
      </c>
      <c r="H182" s="127" t="s">
        <v>1062</v>
      </c>
      <c r="T182" s="16" t="s">
        <v>1179</v>
      </c>
    </row>
    <row r="183" spans="1:16384" ht="16.5" customHeight="1" x14ac:dyDescent="0.25">
      <c r="A183" s="14" t="s">
        <v>86</v>
      </c>
      <c r="B183" s="78" t="s">
        <v>116</v>
      </c>
      <c r="C183" s="73" t="s">
        <v>97</v>
      </c>
      <c r="D183" s="7" t="s">
        <v>168</v>
      </c>
      <c r="E183" s="95" t="s">
        <v>239</v>
      </c>
      <c r="F183" s="78" t="s">
        <v>3</v>
      </c>
      <c r="G183" s="27" t="s">
        <v>1184</v>
      </c>
      <c r="H183" s="6" t="s">
        <v>68</v>
      </c>
      <c r="T183" s="14" t="s">
        <v>1183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86</v>
      </c>
      <c r="B184" s="158" t="s">
        <v>116</v>
      </c>
      <c r="C184" s="157" t="s">
        <v>87</v>
      </c>
      <c r="D184" s="16" t="s">
        <v>191</v>
      </c>
      <c r="E184" s="16" t="s">
        <v>217</v>
      </c>
      <c r="F184" s="16" t="s">
        <v>155</v>
      </c>
      <c r="G184" s="16" t="s">
        <v>156</v>
      </c>
      <c r="H184" s="16" t="s">
        <v>157</v>
      </c>
      <c r="T184" s="16" t="s">
        <v>1200</v>
      </c>
    </row>
  </sheetData>
  <autoFilter ref="A1:DE53">
    <filterColumn colId="5">
      <filters>
        <filter val="DRL54297"/>
      </filters>
    </filterColumn>
  </autoFilter>
  <mergeCells count="25">
    <mergeCell ref="I145:M145"/>
    <mergeCell ref="I143:M143"/>
    <mergeCell ref="I144:M144"/>
    <mergeCell ref="I138:M138"/>
    <mergeCell ref="I139:M139"/>
    <mergeCell ref="I140:M140"/>
    <mergeCell ref="I141:M141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H125:M125"/>
    <mergeCell ref="R92:T92"/>
    <mergeCell ref="R93:T93"/>
    <mergeCell ref="R94:T94"/>
    <mergeCell ref="R95:T95"/>
    <mergeCell ref="R96:T96"/>
  </mergeCells>
  <conditionalFormatting sqref="F100:G100">
    <cfRule type="duplicateValues" dxfId="271" priority="279"/>
    <cfRule type="duplicateValues" dxfId="270" priority="280"/>
  </conditionalFormatting>
  <conditionalFormatting sqref="F102:G102">
    <cfRule type="duplicateValues" dxfId="269" priority="276"/>
    <cfRule type="duplicateValues" dxfId="268" priority="277"/>
  </conditionalFormatting>
  <conditionalFormatting sqref="F102">
    <cfRule type="duplicateValues" dxfId="267" priority="278"/>
  </conditionalFormatting>
  <conditionalFormatting sqref="F103:G103">
    <cfRule type="duplicateValues" dxfId="266" priority="273"/>
    <cfRule type="duplicateValues" dxfId="265" priority="274"/>
  </conditionalFormatting>
  <conditionalFormatting sqref="F103">
    <cfRule type="duplicateValues" dxfId="264" priority="275"/>
  </conditionalFormatting>
  <conditionalFormatting sqref="F105:G105">
    <cfRule type="duplicateValues" dxfId="263" priority="270"/>
    <cfRule type="duplicateValues" dxfId="262" priority="271"/>
  </conditionalFormatting>
  <conditionalFormatting sqref="F105">
    <cfRule type="duplicateValues" dxfId="261" priority="272"/>
  </conditionalFormatting>
  <conditionalFormatting sqref="F106:G106">
    <cfRule type="duplicateValues" dxfId="260" priority="267"/>
    <cfRule type="duplicateValues" dxfId="259" priority="268"/>
  </conditionalFormatting>
  <conditionalFormatting sqref="F106">
    <cfRule type="duplicateValues" dxfId="258" priority="269"/>
  </conditionalFormatting>
  <conditionalFormatting sqref="F108:G108">
    <cfRule type="duplicateValues" dxfId="257" priority="264"/>
    <cfRule type="duplicateValues" dxfId="256" priority="265"/>
  </conditionalFormatting>
  <conditionalFormatting sqref="F108">
    <cfRule type="duplicateValues" dxfId="255" priority="266"/>
  </conditionalFormatting>
  <conditionalFormatting sqref="F110:G110">
    <cfRule type="duplicateValues" dxfId="254" priority="258"/>
    <cfRule type="duplicateValues" dxfId="253" priority="259"/>
  </conditionalFormatting>
  <conditionalFormatting sqref="F110">
    <cfRule type="duplicateValues" dxfId="252" priority="260"/>
  </conditionalFormatting>
  <conditionalFormatting sqref="F112:G112">
    <cfRule type="duplicateValues" dxfId="251" priority="255"/>
    <cfRule type="duplicateValues" dxfId="250" priority="256"/>
  </conditionalFormatting>
  <conditionalFormatting sqref="F112">
    <cfRule type="duplicateValues" dxfId="249" priority="257"/>
  </conditionalFormatting>
  <conditionalFormatting sqref="F113:G113">
    <cfRule type="duplicateValues" dxfId="248" priority="252"/>
    <cfRule type="duplicateValues" dxfId="247" priority="253"/>
  </conditionalFormatting>
  <conditionalFormatting sqref="F113">
    <cfRule type="duplicateValues" dxfId="246" priority="254"/>
  </conditionalFormatting>
  <conditionalFormatting sqref="F114:G114">
    <cfRule type="duplicateValues" dxfId="245" priority="249"/>
    <cfRule type="duplicateValues" dxfId="244" priority="250"/>
  </conditionalFormatting>
  <conditionalFormatting sqref="F114">
    <cfRule type="duplicateValues" dxfId="243" priority="251"/>
  </conditionalFormatting>
  <conditionalFormatting sqref="F115:G115">
    <cfRule type="duplicateValues" dxfId="242" priority="246"/>
    <cfRule type="duplicateValues" dxfId="241" priority="247"/>
  </conditionalFormatting>
  <conditionalFormatting sqref="F115">
    <cfRule type="duplicateValues" dxfId="240" priority="248"/>
  </conditionalFormatting>
  <conditionalFormatting sqref="F116:G116">
    <cfRule type="duplicateValues" dxfId="239" priority="243"/>
    <cfRule type="duplicateValues" dxfId="238" priority="244"/>
  </conditionalFormatting>
  <conditionalFormatting sqref="F116">
    <cfRule type="duplicateValues" dxfId="237" priority="245"/>
  </conditionalFormatting>
  <conditionalFormatting sqref="F117:G117">
    <cfRule type="duplicateValues" dxfId="236" priority="240"/>
    <cfRule type="duplicateValues" dxfId="235" priority="241"/>
  </conditionalFormatting>
  <conditionalFormatting sqref="F117">
    <cfRule type="duplicateValues" dxfId="234" priority="242"/>
  </conditionalFormatting>
  <conditionalFormatting sqref="F118:G118">
    <cfRule type="duplicateValues" dxfId="233" priority="237"/>
    <cfRule type="duplicateValues" dxfId="232" priority="238"/>
  </conditionalFormatting>
  <conditionalFormatting sqref="F118">
    <cfRule type="duplicateValues" dxfId="231" priority="239"/>
  </conditionalFormatting>
  <conditionalFormatting sqref="F119:G119">
    <cfRule type="duplicateValues" dxfId="230" priority="234"/>
    <cfRule type="duplicateValues" dxfId="229" priority="235"/>
  </conditionalFormatting>
  <conditionalFormatting sqref="F119">
    <cfRule type="duplicateValues" dxfId="228" priority="236"/>
  </conditionalFormatting>
  <conditionalFormatting sqref="F120:G120">
    <cfRule type="duplicateValues" dxfId="227" priority="231"/>
    <cfRule type="duplicateValues" dxfId="226" priority="232"/>
  </conditionalFormatting>
  <conditionalFormatting sqref="F120">
    <cfRule type="duplicateValues" dxfId="225" priority="233"/>
  </conditionalFormatting>
  <conditionalFormatting sqref="F121:G121">
    <cfRule type="duplicateValues" dxfId="224" priority="228"/>
    <cfRule type="duplicateValues" dxfId="223" priority="229"/>
  </conditionalFormatting>
  <conditionalFormatting sqref="F121">
    <cfRule type="duplicateValues" dxfId="222" priority="230"/>
  </conditionalFormatting>
  <conditionalFormatting sqref="F122:G122">
    <cfRule type="duplicateValues" dxfId="221" priority="225"/>
    <cfRule type="duplicateValues" dxfId="220" priority="226"/>
  </conditionalFormatting>
  <conditionalFormatting sqref="F122">
    <cfRule type="duplicateValues" dxfId="219" priority="227"/>
  </conditionalFormatting>
  <conditionalFormatting sqref="F124:G124">
    <cfRule type="duplicateValues" dxfId="218" priority="222"/>
    <cfRule type="duplicateValues" dxfId="217" priority="223"/>
  </conditionalFormatting>
  <conditionalFormatting sqref="F124">
    <cfRule type="duplicateValues" dxfId="216" priority="224"/>
  </conditionalFormatting>
  <conditionalFormatting sqref="H126 F142 H143:H145">
    <cfRule type="cellIs" dxfId="215" priority="216" operator="equal">
      <formula>0</formula>
    </cfRule>
  </conditionalFormatting>
  <conditionalFormatting sqref="G126">
    <cfRule type="duplicateValues" dxfId="214" priority="217"/>
    <cfRule type="duplicateValues" dxfId="213" priority="218"/>
  </conditionalFormatting>
  <conditionalFormatting sqref="F126">
    <cfRule type="duplicateValues" dxfId="212" priority="219"/>
    <cfRule type="duplicateValues" dxfId="211" priority="220"/>
  </conditionalFormatting>
  <conditionalFormatting sqref="F126">
    <cfRule type="duplicateValues" dxfId="210" priority="221"/>
  </conditionalFormatting>
  <conditionalFormatting sqref="H128">
    <cfRule type="cellIs" dxfId="209" priority="210" operator="equal">
      <formula>0</formula>
    </cfRule>
  </conditionalFormatting>
  <conditionalFormatting sqref="G128">
    <cfRule type="duplicateValues" dxfId="208" priority="211"/>
    <cfRule type="duplicateValues" dxfId="207" priority="212"/>
  </conditionalFormatting>
  <conditionalFormatting sqref="F128">
    <cfRule type="duplicateValues" dxfId="206" priority="213"/>
    <cfRule type="duplicateValues" dxfId="205" priority="214"/>
  </conditionalFormatting>
  <conditionalFormatting sqref="F128">
    <cfRule type="duplicateValues" dxfId="204" priority="215"/>
  </conditionalFormatting>
  <conditionalFormatting sqref="H129:H130">
    <cfRule type="cellIs" dxfId="203" priority="204" operator="equal">
      <formula>0</formula>
    </cfRule>
  </conditionalFormatting>
  <conditionalFormatting sqref="G129:G130">
    <cfRule type="duplicateValues" dxfId="202" priority="205"/>
    <cfRule type="duplicateValues" dxfId="201" priority="206"/>
  </conditionalFormatting>
  <conditionalFormatting sqref="F129:F130">
    <cfRule type="duplicateValues" dxfId="200" priority="207"/>
    <cfRule type="duplicateValues" dxfId="199" priority="208"/>
  </conditionalFormatting>
  <conditionalFormatting sqref="F129:F130">
    <cfRule type="duplicateValues" dxfId="198" priority="209"/>
  </conditionalFormatting>
  <conditionalFormatting sqref="H131">
    <cfRule type="cellIs" dxfId="197" priority="198" operator="equal">
      <formula>0</formula>
    </cfRule>
  </conditionalFormatting>
  <conditionalFormatting sqref="G131">
    <cfRule type="duplicateValues" dxfId="196" priority="199"/>
    <cfRule type="duplicateValues" dxfId="195" priority="200"/>
  </conditionalFormatting>
  <conditionalFormatting sqref="F131">
    <cfRule type="duplicateValues" dxfId="194" priority="201"/>
    <cfRule type="duplicateValues" dxfId="193" priority="202"/>
  </conditionalFormatting>
  <conditionalFormatting sqref="F131">
    <cfRule type="duplicateValues" dxfId="192" priority="203"/>
  </conditionalFormatting>
  <conditionalFormatting sqref="H132:H133">
    <cfRule type="cellIs" dxfId="191" priority="192" operator="equal">
      <formula>0</formula>
    </cfRule>
  </conditionalFormatting>
  <conditionalFormatting sqref="G132:G133">
    <cfRule type="duplicateValues" dxfId="190" priority="193"/>
    <cfRule type="duplicateValues" dxfId="189" priority="194"/>
  </conditionalFormatting>
  <conditionalFormatting sqref="F132:F133">
    <cfRule type="duplicateValues" dxfId="188" priority="195"/>
    <cfRule type="duplicateValues" dxfId="187" priority="196"/>
  </conditionalFormatting>
  <conditionalFormatting sqref="F132:F133">
    <cfRule type="duplicateValues" dxfId="186" priority="197"/>
  </conditionalFormatting>
  <conditionalFormatting sqref="H134">
    <cfRule type="cellIs" dxfId="185" priority="186" operator="equal">
      <formula>0</formula>
    </cfRule>
  </conditionalFormatting>
  <conditionalFormatting sqref="G134">
    <cfRule type="duplicateValues" dxfId="184" priority="187"/>
    <cfRule type="duplicateValues" dxfId="183" priority="188"/>
  </conditionalFormatting>
  <conditionalFormatting sqref="F134">
    <cfRule type="duplicateValues" dxfId="182" priority="189"/>
    <cfRule type="duplicateValues" dxfId="181" priority="190"/>
  </conditionalFormatting>
  <conditionalFormatting sqref="F134">
    <cfRule type="duplicateValues" dxfId="180" priority="191"/>
  </conditionalFormatting>
  <conditionalFormatting sqref="H135:H136">
    <cfRule type="cellIs" dxfId="179" priority="180" operator="equal">
      <formula>0</formula>
    </cfRule>
  </conditionalFormatting>
  <conditionalFormatting sqref="G135:G136">
    <cfRule type="duplicateValues" dxfId="178" priority="181"/>
    <cfRule type="duplicateValues" dxfId="177" priority="182"/>
  </conditionalFormatting>
  <conditionalFormatting sqref="F135:F136">
    <cfRule type="duplicateValues" dxfId="176" priority="183"/>
    <cfRule type="duplicateValues" dxfId="175" priority="184"/>
  </conditionalFormatting>
  <conditionalFormatting sqref="F135:F136">
    <cfRule type="duplicateValues" dxfId="174" priority="185"/>
  </conditionalFormatting>
  <conditionalFormatting sqref="H137:H138">
    <cfRule type="cellIs" dxfId="173" priority="174" operator="equal">
      <formula>0</formula>
    </cfRule>
  </conditionalFormatting>
  <conditionalFormatting sqref="G137:G138">
    <cfRule type="duplicateValues" dxfId="172" priority="175"/>
    <cfRule type="duplicateValues" dxfId="171" priority="176"/>
  </conditionalFormatting>
  <conditionalFormatting sqref="F137:F138">
    <cfRule type="duplicateValues" dxfId="170" priority="177"/>
    <cfRule type="duplicateValues" dxfId="169" priority="178"/>
  </conditionalFormatting>
  <conditionalFormatting sqref="F137:F138">
    <cfRule type="duplicateValues" dxfId="168" priority="179"/>
  </conditionalFormatting>
  <conditionalFormatting sqref="H139">
    <cfRule type="cellIs" dxfId="167" priority="168" operator="equal">
      <formula>0</formula>
    </cfRule>
  </conditionalFormatting>
  <conditionalFormatting sqref="G139">
    <cfRule type="duplicateValues" dxfId="166" priority="169"/>
    <cfRule type="duplicateValues" dxfId="165" priority="170"/>
  </conditionalFormatting>
  <conditionalFormatting sqref="F139">
    <cfRule type="duplicateValues" dxfId="164" priority="171"/>
    <cfRule type="duplicateValues" dxfId="163" priority="172"/>
  </conditionalFormatting>
  <conditionalFormatting sqref="F139">
    <cfRule type="duplicateValues" dxfId="162" priority="173"/>
  </conditionalFormatting>
  <conditionalFormatting sqref="H127">
    <cfRule type="cellIs" dxfId="161" priority="162" operator="equal">
      <formula>0</formula>
    </cfRule>
  </conditionalFormatting>
  <conditionalFormatting sqref="G127">
    <cfRule type="duplicateValues" dxfId="160" priority="163"/>
    <cfRule type="duplicateValues" dxfId="159" priority="164"/>
  </conditionalFormatting>
  <conditionalFormatting sqref="F127">
    <cfRule type="duplicateValues" dxfId="158" priority="165"/>
    <cfRule type="duplicateValues" dxfId="157" priority="166"/>
  </conditionalFormatting>
  <conditionalFormatting sqref="F127">
    <cfRule type="duplicateValues" dxfId="156" priority="167"/>
  </conditionalFormatting>
  <conditionalFormatting sqref="H140">
    <cfRule type="cellIs" dxfId="155" priority="156" operator="equal">
      <formula>0</formula>
    </cfRule>
  </conditionalFormatting>
  <conditionalFormatting sqref="G140">
    <cfRule type="duplicateValues" dxfId="154" priority="157"/>
    <cfRule type="duplicateValues" dxfId="153" priority="158"/>
  </conditionalFormatting>
  <conditionalFormatting sqref="F140">
    <cfRule type="duplicateValues" dxfId="152" priority="159"/>
    <cfRule type="duplicateValues" dxfId="151" priority="160"/>
  </conditionalFormatting>
  <conditionalFormatting sqref="F140">
    <cfRule type="duplicateValues" dxfId="150" priority="161"/>
  </conditionalFormatting>
  <conditionalFormatting sqref="G141">
    <cfRule type="duplicateValues" dxfId="149" priority="151"/>
    <cfRule type="duplicateValues" dxfId="148" priority="152"/>
  </conditionalFormatting>
  <conditionalFormatting sqref="F141">
    <cfRule type="duplicateValues" dxfId="147" priority="153"/>
    <cfRule type="duplicateValues" dxfId="146" priority="154"/>
  </conditionalFormatting>
  <conditionalFormatting sqref="F141">
    <cfRule type="duplicateValues" dxfId="145" priority="155"/>
  </conditionalFormatting>
  <conditionalFormatting sqref="G141">
    <cfRule type="duplicateValues" dxfId="144" priority="149"/>
  </conditionalFormatting>
  <conditionalFormatting sqref="H141">
    <cfRule type="cellIs" dxfId="143" priority="148" operator="equal">
      <formula>0</formula>
    </cfRule>
  </conditionalFormatting>
  <conditionalFormatting sqref="G142:G144">
    <cfRule type="duplicateValues" dxfId="142" priority="281"/>
    <cfRule type="duplicateValues" dxfId="141" priority="282"/>
  </conditionalFormatting>
  <conditionalFormatting sqref="F143:F144 E142">
    <cfRule type="duplicateValues" dxfId="140" priority="283"/>
    <cfRule type="duplicateValues" dxfId="139" priority="284"/>
  </conditionalFormatting>
  <conditionalFormatting sqref="F143:F144 E142">
    <cfRule type="duplicateValues" dxfId="138" priority="287"/>
  </conditionalFormatting>
  <conditionalFormatting sqref="G145">
    <cfRule type="duplicateValues" dxfId="137" priority="289"/>
    <cfRule type="duplicateValues" dxfId="136" priority="290"/>
  </conditionalFormatting>
  <conditionalFormatting sqref="F145">
    <cfRule type="duplicateValues" dxfId="135" priority="291"/>
    <cfRule type="duplicateValues" dxfId="134" priority="292"/>
  </conditionalFormatting>
  <conditionalFormatting sqref="F145">
    <cfRule type="duplicateValues" dxfId="133" priority="293"/>
  </conditionalFormatting>
  <conditionalFormatting sqref="I146:T146">
    <cfRule type="cellIs" dxfId="132" priority="114" operator="equal">
      <formula>0</formula>
    </cfRule>
  </conditionalFormatting>
  <conditionalFormatting sqref="U14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46">
    <cfRule type="duplicateValues" dxfId="128" priority="110"/>
  </conditionalFormatting>
  <conditionalFormatting sqref="I147:T147">
    <cfRule type="cellIs" dxfId="127" priority="109" operator="equal">
      <formula>0</formula>
    </cfRule>
  </conditionalFormatting>
  <conditionalFormatting sqref="U14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47">
    <cfRule type="duplicateValues" dxfId="123" priority="105"/>
  </conditionalFormatting>
  <conditionalFormatting sqref="I148:T148">
    <cfRule type="cellIs" dxfId="122" priority="99" operator="equal">
      <formula>0</formula>
    </cfRule>
  </conditionalFormatting>
  <conditionalFormatting sqref="U14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48">
    <cfRule type="duplicateValues" dxfId="118" priority="95"/>
  </conditionalFormatting>
  <conditionalFormatting sqref="I149:T149">
    <cfRule type="cellIs" dxfId="117" priority="94" operator="equal">
      <formula>0</formula>
    </cfRule>
  </conditionalFormatting>
  <conditionalFormatting sqref="U14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49">
    <cfRule type="duplicateValues" dxfId="113" priority="90"/>
  </conditionalFormatting>
  <conditionalFormatting sqref="I151">
    <cfRule type="cellIs" dxfId="112" priority="89" operator="equal">
      <formula>0</formula>
    </cfRule>
  </conditionalFormatting>
  <conditionalFormatting sqref="G151">
    <cfRule type="duplicateValues" dxfId="111" priority="88"/>
  </conditionalFormatting>
  <conditionalFormatting sqref="J151:M151">
    <cfRule type="cellIs" dxfId="110" priority="87" operator="equal">
      <formula>0</formula>
    </cfRule>
  </conditionalFormatting>
  <conditionalFormatting sqref="I168:S168">
    <cfRule type="cellIs" dxfId="109" priority="81" operator="equal">
      <formula>0</formula>
    </cfRule>
  </conditionalFormatting>
  <conditionalFormatting sqref="U168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68">
    <cfRule type="duplicateValues" dxfId="105" priority="294"/>
  </conditionalFormatting>
  <conditionalFormatting sqref="J167:S167">
    <cfRule type="cellIs" dxfId="104" priority="71" operator="equal">
      <formula>0</formula>
    </cfRule>
  </conditionalFormatting>
  <conditionalFormatting sqref="U167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67">
    <cfRule type="cellIs" dxfId="100" priority="67" operator="equal">
      <formula>0</formula>
    </cfRule>
  </conditionalFormatting>
  <conditionalFormatting sqref="I170:S170">
    <cfRule type="cellIs" dxfId="99" priority="66" operator="equal">
      <formula>0</formula>
    </cfRule>
  </conditionalFormatting>
  <conditionalFormatting sqref="U170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70">
    <cfRule type="duplicateValues" dxfId="95" priority="62"/>
  </conditionalFormatting>
  <conditionalFormatting sqref="I171:S171">
    <cfRule type="cellIs" dxfId="94" priority="61" operator="equal">
      <formula>0</formula>
    </cfRule>
  </conditionalFormatting>
  <conditionalFormatting sqref="U171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71">
    <cfRule type="duplicateValues" dxfId="90" priority="57"/>
  </conditionalFormatting>
  <conditionalFormatting sqref="I172:S172">
    <cfRule type="cellIs" dxfId="89" priority="56" operator="equal">
      <formula>0</formula>
    </cfRule>
  </conditionalFormatting>
  <conditionalFormatting sqref="U172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72">
    <cfRule type="duplicateValues" dxfId="85" priority="52"/>
  </conditionalFormatting>
  <conditionalFormatting sqref="I169:S169">
    <cfRule type="cellIs" dxfId="84" priority="51" operator="equal">
      <formula>0</formula>
    </cfRule>
  </conditionalFormatting>
  <conditionalFormatting sqref="U169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69">
    <cfRule type="duplicateValues" dxfId="80" priority="47"/>
  </conditionalFormatting>
  <conditionalFormatting sqref="I173:T173">
    <cfRule type="cellIs" dxfId="79" priority="46" operator="equal">
      <formula>0</formula>
    </cfRule>
  </conditionalFormatting>
  <conditionalFormatting sqref="U173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73">
    <cfRule type="duplicateValues" dxfId="75" priority="42"/>
  </conditionalFormatting>
  <conditionalFormatting sqref="J174:S174">
    <cfRule type="cellIs" dxfId="74" priority="41" operator="equal">
      <formula>0</formula>
    </cfRule>
  </conditionalFormatting>
  <conditionalFormatting sqref="U174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74">
    <cfRule type="duplicateValues" dxfId="70" priority="37"/>
  </conditionalFormatting>
  <conditionalFormatting sqref="I174">
    <cfRule type="cellIs" dxfId="69" priority="36" operator="equal">
      <formula>0</formula>
    </cfRule>
  </conditionalFormatting>
  <conditionalFormatting sqref="I175:S175">
    <cfRule type="cellIs" dxfId="68" priority="35" operator="equal">
      <formula>0</formula>
    </cfRule>
  </conditionalFormatting>
  <conditionalFormatting sqref="U175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75">
    <cfRule type="duplicateValues" dxfId="64" priority="31"/>
  </conditionalFormatting>
  <conditionalFormatting sqref="J176:S176">
    <cfRule type="cellIs" dxfId="63" priority="24" operator="equal">
      <formula>0</formula>
    </cfRule>
  </conditionalFormatting>
  <conditionalFormatting sqref="U176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76">
    <cfRule type="duplicateValues" dxfId="59" priority="20"/>
  </conditionalFormatting>
  <conditionalFormatting sqref="I176">
    <cfRule type="cellIs" dxfId="58" priority="19" operator="equal">
      <formula>0</formula>
    </cfRule>
  </conditionalFormatting>
  <conditionalFormatting sqref="I177:T177">
    <cfRule type="cellIs" dxfId="57" priority="18" operator="equal">
      <formula>0</formula>
    </cfRule>
  </conditionalFormatting>
  <conditionalFormatting sqref="U177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77">
    <cfRule type="duplicateValues" dxfId="53" priority="14"/>
  </conditionalFormatting>
  <conditionalFormatting sqref="I178:T178">
    <cfRule type="cellIs" dxfId="52" priority="13" operator="equal">
      <formula>0</formula>
    </cfRule>
  </conditionalFormatting>
  <conditionalFormatting sqref="U178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78">
    <cfRule type="duplicateValues" dxfId="48" priority="9"/>
  </conditionalFormatting>
  <conditionalFormatting sqref="I179:T179">
    <cfRule type="cellIs" dxfId="47" priority="8" operator="equal">
      <formula>0</formula>
    </cfRule>
  </conditionalFormatting>
  <conditionalFormatting sqref="U179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79">
    <cfRule type="duplicateValues" dxfId="43" priority="4"/>
  </conditionalFormatting>
  <conditionalFormatting sqref="G180">
    <cfRule type="duplicateValues" dxfId="42" priority="3"/>
  </conditionalFormatting>
  <conditionalFormatting sqref="G181">
    <cfRule type="duplicateValues" dxfId="41" priority="2"/>
  </conditionalFormatting>
  <conditionalFormatting sqref="G183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86</v>
      </c>
      <c r="B2" s="86" t="s">
        <v>116</v>
      </c>
      <c r="C2" s="72" t="s">
        <v>270</v>
      </c>
      <c r="D2" s="92" t="s">
        <v>270</v>
      </c>
      <c r="E2" s="84" t="s">
        <v>1045</v>
      </c>
      <c r="F2" s="78" t="s">
        <v>4</v>
      </c>
      <c r="G2" s="27" t="s">
        <v>1046</v>
      </c>
      <c r="H2" s="14" t="s">
        <v>626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1064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86</v>
      </c>
      <c r="B3" s="78" t="s">
        <v>116</v>
      </c>
      <c r="C3" s="72" t="s">
        <v>89</v>
      </c>
      <c r="D3" s="7" t="s">
        <v>170</v>
      </c>
      <c r="E3" s="93" t="s">
        <v>240</v>
      </c>
      <c r="F3" s="78" t="s">
        <v>42</v>
      </c>
      <c r="G3" s="27" t="s">
        <v>50</v>
      </c>
      <c r="H3" s="14" t="s">
        <v>280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1072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86</v>
      </c>
      <c r="B5" s="78" t="s">
        <v>116</v>
      </c>
      <c r="C5" s="72" t="s">
        <v>104</v>
      </c>
      <c r="D5" s="11" t="s">
        <v>177</v>
      </c>
      <c r="E5" s="97" t="s">
        <v>1068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86</v>
      </c>
      <c r="B6" s="89" t="s">
        <v>116</v>
      </c>
      <c r="C6" s="17" t="s">
        <v>105</v>
      </c>
      <c r="D6" s="26" t="s">
        <v>1060</v>
      </c>
      <c r="E6" s="17" t="s">
        <v>1052</v>
      </c>
      <c r="F6" s="89" t="s">
        <v>3</v>
      </c>
      <c r="G6" s="24" t="s">
        <v>1059</v>
      </c>
      <c r="H6" s="2" t="s">
        <v>142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1053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86</v>
      </c>
      <c r="B7" s="89" t="s">
        <v>116</v>
      </c>
      <c r="C7" s="71" t="s">
        <v>99</v>
      </c>
      <c r="D7" s="7" t="s">
        <v>195</v>
      </c>
      <c r="E7" s="101" t="s">
        <v>1048</v>
      </c>
      <c r="F7" s="26" t="s">
        <v>117</v>
      </c>
      <c r="G7" s="24" t="s">
        <v>1050</v>
      </c>
      <c r="H7" s="3" t="s">
        <v>145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1049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86</v>
      </c>
      <c r="B8" s="89" t="s">
        <v>116</v>
      </c>
      <c r="C8" s="17" t="s">
        <v>99</v>
      </c>
      <c r="D8" s="7" t="s">
        <v>143</v>
      </c>
      <c r="E8" s="29" t="s">
        <v>1048</v>
      </c>
      <c r="F8" s="89" t="s">
        <v>3</v>
      </c>
      <c r="G8" s="102" t="s">
        <v>1058</v>
      </c>
      <c r="H8" s="4" t="s">
        <v>144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1051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86</v>
      </c>
      <c r="B9" s="78" t="s">
        <v>116</v>
      </c>
      <c r="C9" s="72" t="s">
        <v>101</v>
      </c>
      <c r="D9" s="7" t="s">
        <v>174</v>
      </c>
      <c r="E9" s="94" t="s">
        <v>243</v>
      </c>
      <c r="F9" s="78" t="s">
        <v>4</v>
      </c>
      <c r="G9" s="79" t="s">
        <v>39</v>
      </c>
      <c r="H9" s="78" t="s">
        <v>126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1074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86</v>
      </c>
      <c r="B10" s="78" t="s">
        <v>116</v>
      </c>
      <c r="C10" s="72" t="s">
        <v>102</v>
      </c>
      <c r="D10" s="7" t="s">
        <v>278</v>
      </c>
      <c r="E10" s="98" t="s">
        <v>247</v>
      </c>
      <c r="F10" s="78" t="s">
        <v>118</v>
      </c>
      <c r="G10" s="27" t="s">
        <v>277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1061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86</v>
      </c>
      <c r="B11" s="78" t="s">
        <v>116</v>
      </c>
      <c r="C11" s="72" t="s">
        <v>88</v>
      </c>
      <c r="D11" s="5" t="s">
        <v>179</v>
      </c>
      <c r="E11" s="93" t="s">
        <v>251</v>
      </c>
      <c r="F11" s="78" t="s">
        <v>42</v>
      </c>
      <c r="G11" s="27" t="s">
        <v>76</v>
      </c>
      <c r="H11" s="14" t="s">
        <v>154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283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Reina Montero</cp:lastModifiedBy>
  <dcterms:created xsi:type="dcterms:W3CDTF">2014-06-17T16:05:10Z</dcterms:created>
  <dcterms:modified xsi:type="dcterms:W3CDTF">2026-03-06T14:17:15Z</dcterms:modified>
</cp:coreProperties>
</file>