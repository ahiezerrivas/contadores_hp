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5.- May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O8" i="1"/>
  <c r="O7" i="1"/>
  <c r="O6" i="1"/>
  <c r="O5" i="1"/>
  <c r="O4" i="1"/>
  <c r="O3" i="1"/>
  <c r="O2" i="1"/>
  <c r="N7" i="1"/>
  <c r="N6" i="1"/>
  <c r="N5" i="1"/>
  <c r="N4" i="1"/>
  <c r="N3" i="1"/>
  <c r="N2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8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2" i="1"/>
  <c r="U19" i="1" l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U178" i="3" s="1"/>
  <c r="M177" i="3"/>
  <c r="S176" i="3"/>
  <c r="M176" i="3"/>
  <c r="S178" i="3"/>
  <c r="O177" i="3"/>
  <c r="O178" i="3"/>
  <c r="M178" i="3"/>
  <c r="Q177" i="3"/>
  <c r="U177" i="3" s="1"/>
  <c r="O176" i="3"/>
  <c r="S177" i="3"/>
  <c r="Q176" i="3"/>
  <c r="U176" i="3" s="1"/>
  <c r="U28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<sst xmlns="http://schemas.openxmlformats.org/spreadsheetml/2006/main" count="2071" uniqueCount="1210">
  <si>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</si>
  <si>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</si>
  <si>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</si>
  <si>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</si>
  <si>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</si>
  <si>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</si>
  <si>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</si>
  <si>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</si>
  <si>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</si>
  <si>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</si>
  <si>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</si>
  <si>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</si>
  <si>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</si>
  <si>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</si>
  <si>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</si>
  <si>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</si>
  <si>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</si>
  <si>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</si>
  <si>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</si>
  <si>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</si>
  <si>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</si>
  <si>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</si>
  <si>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</si>
  <si>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</si>
  <si>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</si>
  <si>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</si>
  <si>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</si>
  <si>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</si>
  <si>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</si>
  <si>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</si>
  <si>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</si>
  <si>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</si>
  <si>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</si>
  <si>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</si>
  <si>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</si>
  <si>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</si>
  <si>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</si>
  <si>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</si>
  <si>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</si>
  <si>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</si>
  <si>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</si>
  <si>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</si>
  <si>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</si>
  <si>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</si>
  <si>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</si>
  <si>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</si>
  <si>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</si>
  <si>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</si>
  <si>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</si>
  <si>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</si>
  <si>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</si>
  <si>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</si>
  <si>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</si>
  <si>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</si>
  <si>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</si>
  <si>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</si>
  <si>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</si>
  <si>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</si>
  <si>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</si>
  <si>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</si>
  <si>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</si>
  <si>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</si>
  <si>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</si>
  <si>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</si>
  <si>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</si>
  <si>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</si>
  <si>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</si>
  <si>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</si>
  <si>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</si>
  <si>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</si>
  <si>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</si>
  <si>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10.0.32.99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</si>
  <si>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</si>
  <si>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</si>
  <si>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</si>
  <si>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</si>
  <si>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</si>
  <si>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</si>
  <si>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</si>
  <si>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</si>
  <si>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</si>
  <si>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</si>
  <si>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</si>
  <si>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</si>
  <si>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</si>
  <si>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</si>
  <si>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</si>
  <si>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</si>
  <si>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</si>
  <si>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</si>
  <si>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</si>
  <si>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</si>
  <si>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</si>
  <si>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</si>
  <si>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</si>
  <si>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</si>
  <si>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</si>
  <si>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</si>
  <si>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</si>
  <si>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</si>
  <si>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</si>
  <si>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</si>
  <si>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</si>
  <si>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</si>
  <si>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</si>
  <si>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</si>
  <si>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</si>
  <si>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</si>
  <si>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</si>
  <si>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</si>
  <si>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</si>
  <si>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</si>
  <si>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</si>
  <si>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</si>
  <si>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</si>
  <si>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</si>
  <si>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</si>
  <si>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</si>
  <si>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</si>
  <si>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</si>
  <si>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</si>
  <si>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</si>
  <si>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</si>
  <si>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</si>
  <si>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</si>
  <si>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</si>
  <si>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</si>
  <si>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</si>
  <si>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</si>
  <si>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</si>
  <si>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</si>
  <si>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</si>
  <si>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</si>
  <si>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</si>
  <si>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</si>
  <si>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</si>
  <si>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</si>
  <si>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</si>
  <si>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</si>
  <si>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</si>
  <si>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</si>
  <si>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</si>
  <si>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</si>
  <si>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</si>
  <si>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</si>
  <si>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</si>
  <si>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</si>
  <si>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</si>
  <si>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</si>
  <si>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</si>
  <si>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</si>
  <si>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</si>
  <si>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</si>
  <si>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</si>
  <si>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</si>
  <si>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</si>
  <si>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</si>
  <si>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</si>
  <si>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</si>
  <si>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</si>
  <si>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</si>
  <si>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</si>
  <si>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</si>
  <si>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</si>
  <si>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</si>
  <si>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</si>
  <si>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</si>
  <si>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</si>
  <si>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</si>
  <si>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</si>
  <si>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</si>
  <si>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</si>
  <si>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</si>
  <si>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</si>
  <si>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</si>
  <si>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</si>
  <si>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</si>
  <si>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</si>
  <si>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</si>
  <si>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</si>
  <si>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</si>
  <si>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</si>
  <si>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</si>
  <si>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</si>
  <si>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</si>
  <si>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</si>
  <si>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</si>
  <si>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</si>
  <si>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TBMP32M2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</si>
  <si>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</si>
  <si>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</si>
  <si>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</si>
  <si>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</si>
  <si>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</si>
  <si>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</si>
  <si>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</si>
  <si>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</si>
  <si>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</si>
  <si>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</si>
  <si>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</si>
  <si>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</si>
  <si>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</si>
  <si>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</si>
  <si>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</si>
  <si>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</si>
  <si>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</si>
  <si>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</si>
  <si>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</si>
  <si>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</si>
  <si>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</si>
  <si>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</si>
  <si>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</si>
  <si>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</si>
  <si>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</si>
  <si>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</si>
  <si>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</si>
  <si>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</si>
  <si>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</si>
  <si>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</si>
  <si>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</si>
  <si>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</si>
  <si>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</si>
  <si>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</si>
  <si>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</si>
  <si>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</si>
  <si>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</si>
  <si>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</si>
  <si>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</si>
  <si>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</si>
  <si>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</si>
  <si>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</si>
  <si>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</si>
  <si>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</si>
  <si>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</si>
  <si>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</si>
  <si>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</si>
  <si>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</si>
  <si>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</si>
  <si>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</si>
  <si>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</si>
  <si>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</si>
  <si>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</si>
  <si>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</si>
  <si>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</si>
  <si>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</si>
  <si>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</si>
  <si>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</si>
  <si>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</si>
  <si>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</si>
  <si>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</si>
  <si>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</si>
  <si>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</si>
  <si>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</si>
  <si>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</si>
  <si>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</si>
  <si>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</si>
  <si>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</si>
  <si>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</si>
  <si>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</si>
  <si>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</si>
  <si>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</si>
  <si>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</si>
  <si>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</si>
  <si>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</si>
  <si>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</si>
  <si>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</si>
  <si>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</si>
  <si>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</si>
  <si>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</si>
  <si>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</si>
  <si>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</si>
  <si>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</si>
  <si>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</si>
  <si>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</si>
  <si>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</si>
  <si>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</si>
  <si>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</si>
  <si>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</si>
  <si>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</si>
  <si>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</si>
  <si>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</si>
  <si>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</si>
  <si>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</si>
  <si>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</si>
  <si>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</si>
  <si>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</si>
  <si>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</si>
  <si>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</si>
  <si>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</si>
  <si>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</si>
  <si>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</si>
  <si>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</si>
  <si>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</si>
  <si>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</si>
  <si>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</si>
  <si>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</si>
  <si>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</si>
  <si>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</si>
  <si>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</si>
  <si>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</si>
  <si>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</si>
  <si>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</si>
  <si>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</si>
  <si>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</si>
  <si>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</si>
  <si>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</si>
  <si>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</si>
  <si>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</si>
  <si>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</si>
  <si>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</si>
  <si>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</si>
  <si>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</si>
  <si>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</si>
  <si>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</si>
  <si>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</si>
  <si>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</si>
  <si>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</si>
  <si>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</si>
  <si>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</si>
  <si>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</si>
  <si>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</si>
  <si>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</si>
  <si>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</si>
  <si>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</si>
  <si>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</si>
  <si>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</si>
  <si>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</si>
  <si>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</si>
  <si>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</si>
  <si>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</si>
  <si>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</si>
  <si>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</si>
  <si>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</si>
  <si>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</si>
  <si>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</si>
  <si>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</si>
  <si>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</si>
  <si>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</si>
  <si>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</si>
  <si>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</si>
  <si>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</si>
  <si>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</si>
  <si>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</si>
  <si>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</si>
  <si>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</si>
  <si>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</si>
  <si>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</si>
  <si>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</si>
  <si>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</si>
  <si>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</si>
  <si>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</si>
  <si>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</si>
  <si>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</si>
  <si>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</si>
  <si>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</si>
  <si>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</si>
  <si>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</si>
  <si>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</si>
  <si>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</si>
  <si>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</si>
  <si>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</si>
  <si>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</si>
  <si>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</si>
  <si>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</si>
  <si>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</si>
  <si>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</si>
  <si>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</si>
  <si>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</si>
  <si>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</si>
  <si>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</si>
  <si>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</si>
  <si>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</si>
  <si>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</si>
  <si>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</si>
  <si>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</si>
  <si>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</si>
  <si>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</si>
  <si>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</si>
  <si>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</si>
  <si>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</si>
  <si>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</si>
  <si>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</si>
  <si>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</si>
  <si>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</si>
  <si>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</si>
  <si>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</si>
  <si>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</si>
  <si>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</si>
  <si>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</si>
  <si>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</si>
  <si>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</si>
  <si>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</si>
  <si>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</si>
  <si>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</si>
  <si>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</si>
  <si>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</si>
  <si>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</si>
  <si>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</si>
  <si>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</si>
  <si>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</si>
  <si>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</si>
  <si>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</si>
  <si>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</si>
  <si>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</si>
  <si>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</si>
  <si>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</si>
  <si>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</si>
  <si>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</si>
  <si>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</si>
  <si>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</si>
  <si>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</si>
  <si>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</si>
  <si>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</si>
  <si>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</si>
  <si>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</si>
  <si>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</si>
  <si>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</si>
  <si>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</si>
  <si>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</si>
  <si>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</si>
  <si>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</si>
  <si>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</si>
  <si>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</si>
  <si>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</si>
  <si>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</si>
  <si>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</si>
  <si>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</si>
  <si>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</si>
  <si>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</si>
  <si>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</si>
  <si>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</si>
  <si>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</si>
  <si>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</si>
  <si>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</si>
  <si>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</si>
  <si>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</si>
  <si>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</si>
  <si>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</si>
  <si>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</si>
  <si>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</si>
  <si>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</si>
  <si>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</si>
  <si>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</si>
  <si>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</si>
  <si>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</si>
  <si>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</si>
  <si>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</si>
  <si>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</si>
  <si>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</si>
  <si>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</si>
  <si>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</si>
  <si>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</si>
  <si>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</si>
  <si>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</si>
  <si>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</si>
  <si>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</si>
  <si>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</si>
  <si>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</si>
  <si>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</si>
  <si>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</si>
  <si>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</si>
  <si>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</si>
  <si>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</si>
  <si>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</si>
  <si>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</si>
  <si>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</si>
  <si>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</si>
  <si>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</si>
  <si>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</si>
  <si>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</si>
  <si>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</si>
  <si>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</si>
  <si>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</si>
  <si>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</si>
  <si>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</si>
  <si>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</si>
  <si>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</si>
  <si>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</si>
  <si>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</si>
  <si>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</si>
  <si>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</si>
  <si>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</si>
  <si>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</si>
  <si>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</si>
  <si>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</si>
  <si>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</si>
  <si>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</si>
  <si>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</si>
  <si>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</si>
  <si>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</si>
  <si>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</si>
  <si>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</si>
  <si>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</si>
  <si>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</si>
  <si>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</si>
  <si>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</si>
  <si>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</si>
  <si>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</si>
  <si>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</si>
  <si>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</si>
  <si>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</si>
  <si>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</si>
  <si>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</si>
  <si>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</si>
  <si>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</si>
  <si>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</si>
  <si>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</si>
  <si>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</si>
  <si>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</si>
  <si>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</si>
  <si>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</si>
  <si>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</si>
  <si>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</si>
  <si>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</si>
  <si>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</si>
  <si>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</si>
  <si>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</si>
  <si>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</si>
  <si>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</si>
  <si>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</si>
  <si>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</si>
  <si>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</si>
  <si>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</si>
  <si>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</si>
  <si>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</si>
  <si>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</si>
  <si>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</si>
  <si>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</si>
  <si>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</si>
  <si>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</si>
  <si>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</si>
  <si>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</si>
  <si>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</si>
  <si>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</si>
  <si>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</si>
  <si>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</si>
  <si>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</si>
  <si>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</si>
  <si>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</si>
  <si>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</si>
  <si>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</si>
  <si>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</si>
  <si>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</si>
  <si>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</si>
  <si>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</si>
  <si>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</si>
  <si>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</si>
  <si>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</si>
  <si>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</si>
  <si>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</si>
  <si>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</si>
  <si>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</si>
  <si>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</si>
  <si>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</si>
  <si>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</si>
  <si>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</si>
  <si>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</si>
  <si>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</si>
  <si>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</si>
  <si>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</si>
  <si>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</si>
  <si>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</si>
  <si>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</si>
  <si>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</si>
  <si>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</si>
  <si>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</si>
  <si>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</si>
  <si>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</si>
  <si>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</si>
  <si>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</si>
  <si>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</si>
  <si>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</si>
  <si>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</si>
  <si>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</si>
  <si>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</si>
  <si>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</si>
  <si>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</si>
  <si>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</si>
  <si>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</si>
  <si>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</si>
  <si>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</si>
  <si>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</si>
  <si>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</si>
  <si>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</si>
  <si>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</si>
  <si>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</si>
  <si>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</si>
  <si>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</si>
  <si>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</si>
  <si>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</si>
  <si>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</si>
  <si>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</si>
  <si>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</si>
  <si>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</si>
  <si>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</si>
  <si>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</si>
  <si>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</si>
  <si>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</si>
  <si>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</si>
  <si>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</si>
  <si>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</si>
  <si>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</si>
  <si>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</si>
  <si>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</si>
  <si>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</si>
  <si>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</si>
  <si>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</si>
  <si>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</si>
  <si>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</si>
  <si>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</si>
  <si>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</si>
  <si>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</si>
  <si>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</si>
  <si>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</si>
  <si>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</si>
  <si>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</si>
  <si>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</si>
  <si>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</si>
  <si>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</si>
  <si>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</si>
  <si>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</si>
  <si>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</si>
  <si>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</si>
  <si>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</si>
  <si>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</si>
  <si>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</si>
  <si>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</si>
  <si>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</si>
  <si>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</si>
  <si>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</si>
  <si>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</si>
  <si>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</si>
  <si>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</si>
  <si>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</si>
  <si>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</si>
  <si>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</si>
  <si>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</si>
  <si>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</si>
  <si>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</si>
  <si>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</si>
  <si>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</si>
  <si>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</si>
  <si>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</si>
  <si>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</si>
  <si>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</si>
  <si>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</si>
  <si>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</si>
  <si>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</si>
  <si>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</si>
  <si>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</si>
  <si>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</si>
  <si>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</si>
  <si>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</si>
  <si>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</si>
  <si>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</si>
  <si>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</si>
  <si>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</si>
  <si>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</si>
  <si>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</si>
  <si>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</si>
  <si>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</si>
  <si>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</si>
  <si>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</si>
  <si>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</si>
  <si>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</si>
  <si>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</si>
  <si>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</si>
  <si>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</si>
  <si>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</si>
  <si>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</si>
  <si>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</si>
  <si>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</si>
  <si>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</si>
  <si>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</si>
  <si>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</si>
  <si>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</si>
  <si>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</si>
  <si>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</si>
  <si>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</si>
  <si>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</si>
  <si>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</si>
  <si>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</si>
  <si>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</si>
  <si>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</si>
  <si>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</si>
  <si>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</si>
  <si>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</si>
  <si>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</si>
  <si>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</si>
  <si>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</si>
  <si>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</si>
  <si>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</si>
  <si>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</si>
  <si>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</si>
  <si>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</si>
  <si>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</si>
  <si>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</si>
  <si>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</si>
  <si>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</si>
  <si>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</si>
  <si>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</si>
  <si>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</si>
  <si>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</si>
  <si>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</si>
  <si>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</si>
  <si>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</si>
  <si>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</si>
  <si>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</si>
  <si>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</si>
  <si>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</si>
  <si>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</si>
  <si>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</si>
  <si>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</si>
  <si>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</si>
  <si>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</si>
  <si>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</si>
  <si>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</si>
  <si>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</si>
  <si>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</si>
  <si>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</si>
  <si>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</si>
  <si>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</si>
  <si>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</si>
  <si>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</si>
  <si>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</si>
  <si>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</si>
  <si>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</si>
  <si>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</si>
  <si>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</si>
  <si>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</si>
  <si>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</si>
  <si>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</si>
  <si>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</si>
  <si>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</si>
  <si>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</si>
  <si>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</si>
  <si>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</si>
  <si>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</si>
  <si>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</si>
  <si>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</si>
  <si>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</si>
  <si>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</si>
  <si>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</si>
  <si>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</si>
  <si>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</si>
  <si>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</si>
  <si>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</si>
  <si>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</si>
  <si>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</si>
  <si>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</si>
  <si>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</si>
  <si>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</si>
  <si>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</si>
  <si>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</si>
  <si>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</si>
  <si>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</si>
  <si>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</si>
  <si>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</si>
  <si>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</si>
  <si>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</si>
  <si>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</si>
  <si>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</si>
  <si>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</si>
  <si>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</si>
  <si>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</si>
  <si>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</si>
  <si>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</si>
  <si>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</si>
  <si>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</si>
  <si>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</si>
  <si>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</si>
  <si>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</si>
  <si>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</si>
  <si>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</si>
  <si>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</si>
  <si>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</si>
  <si>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</si>
  <si>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</si>
  <si>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</si>
  <si>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</si>
  <si>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</si>
  <si>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</si>
  <si>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</si>
  <si>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</si>
  <si>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</si>
  <si>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</si>
  <si>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</si>
  <si>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</si>
  <si>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</si>
  <si>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</si>
  <si>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</si>
  <si>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</si>
  <si>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</si>
  <si>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</si>
  <si>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</si>
  <si>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</si>
  <si>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</si>
  <si>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</si>
  <si>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</si>
  <si>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</si>
  <si>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</si>
  <si>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</si>
  <si>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</si>
  <si>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</si>
  <si>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</si>
  <si>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</si>
  <si>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</si>
  <si>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</si>
  <si>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</si>
  <si>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</si>
  <si>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</si>
  <si>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</si>
  <si>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</si>
  <si>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</si>
  <si>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</si>
  <si>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</si>
  <si>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</si>
  <si>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</si>
  <si>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</si>
  <si>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</si>
  <si>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</si>
  <si>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</si>
  <si>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</si>
  <si>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</si>
  <si>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</si>
  <si>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</si>
  <si>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</si>
  <si>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</si>
  <si>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</si>
  <si>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</si>
  <si>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</si>
  <si>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</si>
  <si>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</si>
  <si>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</si>
  <si>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</si>
  <si>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</si>
  <si>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</si>
  <si>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</si>
  <si>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</si>
  <si>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</si>
  <si>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</si>
  <si>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</si>
  <si>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</si>
  <si>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</si>
  <si>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</si>
  <si>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</si>
  <si>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</si>
  <si>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</si>
  <si>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</si>
  <si>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</si>
  <si>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</si>
  <si>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</si>
  <si>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</si>
  <si>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</si>
  <si>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</si>
  <si>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</si>
  <si>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</si>
  <si>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</si>
  <si>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</si>
  <si>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</si>
  <si>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</si>
  <si>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</si>
  <si>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</si>
  <si>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</si>
  <si>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</si>
  <si>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</si>
  <si>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</si>
  <si>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</si>
  <si>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</si>
  <si>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</si>
  <si>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</si>
  <si>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</si>
  <si>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</si>
  <si>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</si>
  <si>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</si>
  <si>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</si>
  <si>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</si>
  <si>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</si>
  <si>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</si>
  <si>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</si>
  <si>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</si>
  <si>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</si>
  <si>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</si>
  <si>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</si>
  <si>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</si>
  <si>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</si>
  <si>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</si>
  <si>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</si>
  <si>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</si>
  <si>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</si>
  <si>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</si>
  <si>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</si>
  <si>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</si>
  <si>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</si>
  <si>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</si>
  <si>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</si>
  <si>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</si>
  <si>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</si>
  <si>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</si>
  <si>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</si>
  <si>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</si>
  <si>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</si>
  <si>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</si>
  <si>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</si>
  <si>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</si>
  <si>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</si>
  <si>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</si>
  <si>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</si>
  <si>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</si>
  <si>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</si>
  <si>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</si>
  <si>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</si>
  <si>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</si>
  <si>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</si>
  <si>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</si>
  <si>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</si>
  <si>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</si>
  <si>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</si>
  <si>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</si>
  <si>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</si>
  <si>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</si>
  <si>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</si>
  <si>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</si>
  <si>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</si>
  <si>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</si>
  <si>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</si>
  <si>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</si>
  <si>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</si>
  <si>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</si>
  <si>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</si>
  <si>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</si>
  <si>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</si>
  <si>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</si>
  <si>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</si>
  <si>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</si>
  <si>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</si>
  <si>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</si>
  <si>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</si>
  <si>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</si>
  <si>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</si>
  <si>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</si>
  <si>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</si>
  <si>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</si>
  <si>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</si>
  <si>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</si>
  <si>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</si>
  <si>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</si>
  <si>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</si>
  <si>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</si>
  <si>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</si>
  <si>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</si>
  <si>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</si>
  <si>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</si>
  <si>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</si>
  <si>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</si>
  <si>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</si>
  <si>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</si>
  <si>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</si>
  <si>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</si>
  <si>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</si>
  <si>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</si>
  <si>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</si>
  <si>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</si>
  <si>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</si>
  <si>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</si>
  <si>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</si>
  <si>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</si>
  <si>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</si>
  <si>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</si>
  <si>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</si>
  <si>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</si>
  <si>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</si>
  <si>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</si>
  <si>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</si>
  <si>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</si>
  <si>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</si>
  <si>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</si>
  <si>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</si>
  <si>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</si>
  <si>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</si>
  <si>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</si>
  <si>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</si>
  <si>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</si>
  <si>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</si>
  <si>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</si>
  <si>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</si>
  <si>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</si>
  <si>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</si>
  <si>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</si>
  <si>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</si>
  <si>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</si>
  <si>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</si>
  <si>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</si>
  <si>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</si>
  <si>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</si>
  <si>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</si>
  <si>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</si>
  <si>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</si>
  <si>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</si>
  <si>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</si>
  <si>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</si>
  <si>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</si>
  <si>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</si>
  <si>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</si>
  <si>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</si>
  <si>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</si>
  <si>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</si>
  <si>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</si>
  <si>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</si>
  <si>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</si>
  <si>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</si>
  <si>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</si>
  <si>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</si>
  <si>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</si>
  <si>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</si>
  <si>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</si>
  <si>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</si>
  <si>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</si>
  <si>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</si>
  <si>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</si>
  <si>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</si>
  <si>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</si>
  <si>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</si>
  <si>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</si>
  <si>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</si>
  <si>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</si>
  <si>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</si>
  <si>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</si>
  <si>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</si>
  <si>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</si>
  <si>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</si>
  <si>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</si>
  <si>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</si>
  <si>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</si>
  <si>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</si>
  <si>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</si>
  <si>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</si>
  <si>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</si>
  <si>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</si>
  <si>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</si>
  <si>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</si>
  <si>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</si>
  <si>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</si>
  <si>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</si>
  <si>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</si>
  <si>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</si>
  <si>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</si>
  <si>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</si>
  <si>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</si>
  <si>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</si>
  <si>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</si>
  <si>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</si>
  <si>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</si>
  <si>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</si>
  <si>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</si>
  <si>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</si>
  <si>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</si>
  <si>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</si>
  <si>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</si>
  <si>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</si>
  <si>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</si>
  <si>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</si>
  <si>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</si>
  <si>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</si>
  <si>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</si>
  <si>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</si>
  <si>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</si>
  <si>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</si>
  <si>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</si>
  <si>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</si>
  <si>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</si>
  <si>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</si>
  <si>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</si>
  <si>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</si>
  <si>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</si>
  <si>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</si>
  <si>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</si>
  <si>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</si>
  <si>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</si>
  <si>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</si>
  <si>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</si>
  <si>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</si>
  <si>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</si>
  <si>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</si>
  <si>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</si>
  <si>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</si>
  <si>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</si>
  <si>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</si>
  <si>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</si>
  <si>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</si>
  <si>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</si>
  <si>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</si>
  <si>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</si>
  <si>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</si>
  <si>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</si>
  <si>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</si>
  <si>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</si>
  <si>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</si>
  <si>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</si>
  <si>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</si>
  <si>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</si>
  <si>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</si>
  <si>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</si>
  <si>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</si>
  <si>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</si>
  <si>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</si>
  <si>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</si>
  <si>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</si>
  <si>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</si>
  <si>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</si>
  <si>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</si>
  <si>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</si>
  <si>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</si>
  <si>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</si>
  <si>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</si>
  <si>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</si>
  <si>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</si>
  <si>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</si>
  <si>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</si>
  <si>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</si>
  <si>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</si>
  <si>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</si>
  <si>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</si>
  <si>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</si>
  <si>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</si>
  <si>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</si>
  <si>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</si>
  <si>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</si>
  <si>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</si>
  <si>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</si>
  <si>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</si>
  <si>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</si>
  <si>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</si>
  <si>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</si>
  <si>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</si>
  <si>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</si>
  <si>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</si>
  <si>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</si>
  <si>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</si>
  <si>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</si>
  <si>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</si>
  <si>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</si>
  <si>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</si>
  <si>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</si>
  <si>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</si>
  <si>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</si>
  <si>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</si>
  <si>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</si>
  <si>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</si>
  <si>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</si>
  <si>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</si>
  <si>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</si>
  <si>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</si>
  <si>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</si>
  <si>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</si>
  <si>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</si>
  <si>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</si>
  <si>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</si>
  <si>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</si>
  <si>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</si>
  <si>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</si>
  <si>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</si>
  <si>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</si>
  <si>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</si>
  <si>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</si>
  <si>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</si>
  <si>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</si>
  <si>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</si>
  <si>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</si>
  <si>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</si>
  <si>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</si>
  <si>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</si>
  <si>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</si>
  <si>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</si>
  <si>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</si>
  <si>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</si>
  <si>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</si>
  <si>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</si>
  <si>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</si>
  <si>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</si>
  <si>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</si>
  <si>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</si>
  <si>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</si>
  <si>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</si>
  <si>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</si>
  <si>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</si>
  <si>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</si>
  <si>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</si>
  <si>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</si>
  <si>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</si>
  <si>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</si>
  <si>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</si>
  <si>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</si>
  <si>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</si>
  <si>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</si>
  <si>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</si>
  <si>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</si>
  <si>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</si>
  <si>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</si>
  <si>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</si>
  <si>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</si>
  <si>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</si>
  <si>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</si>
  <si>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</si>
  <si>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</si>
  <si>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</si>
  <si>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</si>
  <si>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</si>
  <si>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</si>
  <si>
    <t>Contador del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</si>
</sst>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3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9"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Respaldo%20Siffs/11.-%20PREVENTIVO%20TORRE-%20REGION/Contadores%20de%20Pagina%20Diarios/2026/05%20Mayo%202026/Contador%20de%20Pagina%20Torre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09 al 30-09"/>
      <sheetName val="Equipos Retirados"/>
      <sheetName val="Calidad de Prestamo y Retiro"/>
      <sheetName val="Hoja1"/>
    </sheetNames>
    <sheetDataSet>
      <sheetData sheetId="0">
        <row r="1">
          <cell r="G1" t="str">
            <v>IPv4Address</v>
          </cell>
          <cell r="H1" t="str">
            <v>SerialNumber</v>
          </cell>
          <cell r="I1" t="str">
            <v>Jueves 30/04/2026</v>
          </cell>
          <cell r="J1" t="str">
            <v>Contador</v>
          </cell>
          <cell r="K1" t="str">
            <v>Lunes 04/05/2026</v>
          </cell>
          <cell r="L1" t="str">
            <v>Contador2</v>
          </cell>
          <cell r="M1" t="str">
            <v>Martes 05/05/2026</v>
          </cell>
          <cell r="N1" t="str">
            <v>Contador3</v>
          </cell>
          <cell r="O1" t="str">
            <v>Miercoles 06/05/2026</v>
          </cell>
          <cell r="P1" t="str">
            <v>Contador4</v>
          </cell>
          <cell r="Q1" t="str">
            <v>Jueves 07/05/2026</v>
          </cell>
          <cell r="R1" t="str">
            <v>Contador5</v>
          </cell>
          <cell r="S1" t="str">
            <v>Viernes 08/05/2026</v>
          </cell>
          <cell r="T1" t="str">
            <v>Contador6</v>
          </cell>
          <cell r="U1" t="str">
            <v>Lunes 11/05/2026</v>
          </cell>
          <cell r="V1" t="str">
            <v>Contador7</v>
          </cell>
          <cell r="W1" t="str">
            <v>Martes 12/05/2026</v>
          </cell>
          <cell r="X1" t="str">
            <v>Columna8</v>
          </cell>
          <cell r="Y1" t="str">
            <v>Miercoles 13/05/2026</v>
          </cell>
          <cell r="Z1" t="str">
            <v>Columna10</v>
          </cell>
          <cell r="AA1" t="str">
            <v>Jueves 14/05/2026</v>
          </cell>
          <cell r="AB1" t="str">
            <v>Columna12</v>
          </cell>
          <cell r="AC1" t="str">
            <v>Viernes 15/05/2026</v>
          </cell>
          <cell r="AD1" t="str">
            <v>Columna14</v>
          </cell>
          <cell r="AE1" t="str">
            <v>Martes 19/05/2026</v>
          </cell>
          <cell r="AF1" t="str">
            <v>Columna16</v>
          </cell>
          <cell r="AG1" t="str">
            <v>Miercoles 20/06/2026</v>
          </cell>
          <cell r="AH1" t="str">
            <v>Columna18</v>
          </cell>
          <cell r="AI1" t="str">
            <v>Jueves 21/05/2026</v>
          </cell>
          <cell r="AJ1" t="str">
            <v>Columna20</v>
          </cell>
          <cell r="AK1" t="str">
            <v>Viernes 22/05/2026</v>
          </cell>
          <cell r="AL1" t="str">
            <v>Columna22</v>
          </cell>
          <cell r="AM1" t="str">
            <v>Lunes 25/05/2026</v>
          </cell>
          <cell r="AN1" t="str">
            <v>Columna24</v>
          </cell>
          <cell r="AO1" t="str">
            <v>Martes 26/05/2026</v>
          </cell>
          <cell r="AP1" t="str">
            <v>Columna26</v>
          </cell>
          <cell r="AQ1" t="str">
            <v>Miercoles 27/05/2026</v>
          </cell>
          <cell r="AR1" t="str">
            <v>Columna30</v>
          </cell>
          <cell r="AS1" t="str">
            <v>Jueves 28/05/2026</v>
          </cell>
          <cell r="AT1" t="str">
            <v>Columna32</v>
          </cell>
        </row>
        <row r="2">
          <cell r="G2" t="str">
            <v>10.0.131.25</v>
          </cell>
          <cell r="H2" t="str">
            <v>FRU83460</v>
          </cell>
          <cell r="I2">
            <v>197125</v>
          </cell>
          <cell r="J2">
            <v>197160</v>
          </cell>
          <cell r="K2">
            <v>35</v>
          </cell>
          <cell r="L2">
            <v>197161</v>
          </cell>
          <cell r="M2">
            <v>1</v>
          </cell>
          <cell r="N2">
            <v>197161</v>
          </cell>
          <cell r="O2">
            <v>0</v>
          </cell>
          <cell r="P2">
            <v>197177</v>
          </cell>
          <cell r="Q2">
            <v>16</v>
          </cell>
          <cell r="R2">
            <v>197190</v>
          </cell>
          <cell r="S2">
            <v>13</v>
          </cell>
          <cell r="T2">
            <v>197202</v>
          </cell>
          <cell r="U2">
            <v>12</v>
          </cell>
          <cell r="V2">
            <v>197256</v>
          </cell>
          <cell r="W2">
            <v>54</v>
          </cell>
          <cell r="X2">
            <v>197289</v>
          </cell>
          <cell r="Y2">
            <v>33</v>
          </cell>
          <cell r="Z2">
            <v>197293</v>
          </cell>
          <cell r="AA2">
            <v>4</v>
          </cell>
          <cell r="AB2">
            <v>197345</v>
          </cell>
          <cell r="AC2">
            <v>52</v>
          </cell>
          <cell r="AD2">
            <v>197360</v>
          </cell>
          <cell r="AE2">
            <v>15</v>
          </cell>
          <cell r="AF2">
            <v>197367</v>
          </cell>
          <cell r="AG2">
            <v>7</v>
          </cell>
          <cell r="AH2">
            <v>197401</v>
          </cell>
          <cell r="AI2">
            <v>34</v>
          </cell>
          <cell r="AJ2">
            <v>197428</v>
          </cell>
          <cell r="AK2">
            <v>27</v>
          </cell>
          <cell r="AL2">
            <v>197493</v>
          </cell>
          <cell r="AM2">
            <v>65</v>
          </cell>
          <cell r="AN2">
            <v>197514</v>
          </cell>
          <cell r="AO2">
            <v>21</v>
          </cell>
          <cell r="AP2">
            <v>197519</v>
          </cell>
          <cell r="AQ2">
            <v>5</v>
          </cell>
          <cell r="AR2">
            <v>197556</v>
          </cell>
          <cell r="AS2">
            <v>37</v>
          </cell>
          <cell r="AT2">
            <v>197580</v>
          </cell>
        </row>
        <row r="3">
          <cell r="G3" t="str">
            <v>10.0.131.200</v>
          </cell>
          <cell r="H3" t="str">
            <v>FRU83456</v>
          </cell>
          <cell r="I3">
            <v>278228</v>
          </cell>
          <cell r="J3">
            <v>278247</v>
          </cell>
          <cell r="K3">
            <v>19</v>
          </cell>
          <cell r="L3">
            <v>278272</v>
          </cell>
          <cell r="M3">
            <v>25</v>
          </cell>
          <cell r="N3">
            <v>278276</v>
          </cell>
          <cell r="O3">
            <v>4</v>
          </cell>
          <cell r="P3">
            <v>278295</v>
          </cell>
          <cell r="Q3">
            <v>19</v>
          </cell>
          <cell r="R3">
            <v>278362</v>
          </cell>
          <cell r="S3">
            <v>67</v>
          </cell>
          <cell r="T3">
            <v>278409</v>
          </cell>
          <cell r="U3">
            <v>47</v>
          </cell>
          <cell r="V3">
            <v>278420</v>
          </cell>
          <cell r="W3">
            <v>11</v>
          </cell>
          <cell r="X3">
            <v>278614</v>
          </cell>
          <cell r="Y3">
            <v>194</v>
          </cell>
          <cell r="Z3">
            <v>278647</v>
          </cell>
          <cell r="AA3">
            <v>33</v>
          </cell>
          <cell r="AB3">
            <v>278656</v>
          </cell>
          <cell r="AC3">
            <v>9</v>
          </cell>
          <cell r="AD3">
            <v>278681</v>
          </cell>
          <cell r="AE3">
            <v>25</v>
          </cell>
          <cell r="AF3">
            <v>278696</v>
          </cell>
          <cell r="AG3">
            <v>15</v>
          </cell>
          <cell r="AH3">
            <v>278723</v>
          </cell>
          <cell r="AI3">
            <v>27</v>
          </cell>
          <cell r="AJ3">
            <v>278733</v>
          </cell>
          <cell r="AK3">
            <v>10</v>
          </cell>
          <cell r="AL3">
            <v>278740</v>
          </cell>
          <cell r="AM3">
            <v>7</v>
          </cell>
          <cell r="AN3">
            <v>278750</v>
          </cell>
          <cell r="AO3">
            <v>10</v>
          </cell>
          <cell r="AP3">
            <v>278761</v>
          </cell>
          <cell r="AQ3">
            <v>11</v>
          </cell>
          <cell r="AR3">
            <v>278797</v>
          </cell>
          <cell r="AS3">
            <v>36</v>
          </cell>
          <cell r="AT3">
            <v>278834</v>
          </cell>
        </row>
        <row r="4">
          <cell r="G4" t="str">
            <v>10.0.135.210</v>
          </cell>
          <cell r="H4" t="str">
            <v>FRU46154</v>
          </cell>
          <cell r="I4">
            <v>206821</v>
          </cell>
          <cell r="J4">
            <v>206830</v>
          </cell>
          <cell r="K4">
            <v>9</v>
          </cell>
          <cell r="L4">
            <v>206916</v>
          </cell>
          <cell r="M4">
            <v>86</v>
          </cell>
          <cell r="N4">
            <v>206941</v>
          </cell>
          <cell r="O4">
            <v>25</v>
          </cell>
          <cell r="P4">
            <v>206968</v>
          </cell>
          <cell r="Q4">
            <v>27</v>
          </cell>
          <cell r="R4">
            <v>206987</v>
          </cell>
          <cell r="S4">
            <v>19</v>
          </cell>
          <cell r="T4">
            <v>207010</v>
          </cell>
          <cell r="U4">
            <v>23</v>
          </cell>
          <cell r="V4">
            <v>207025</v>
          </cell>
          <cell r="W4">
            <v>15</v>
          </cell>
          <cell r="X4">
            <v>207051</v>
          </cell>
          <cell r="Y4">
            <v>26</v>
          </cell>
          <cell r="Z4">
            <v>207078</v>
          </cell>
          <cell r="AA4">
            <v>27</v>
          </cell>
          <cell r="AB4">
            <v>207102</v>
          </cell>
          <cell r="AC4">
            <v>24</v>
          </cell>
          <cell r="AD4">
            <v>207168</v>
          </cell>
          <cell r="AE4">
            <v>66</v>
          </cell>
          <cell r="AF4">
            <v>207281</v>
          </cell>
          <cell r="AG4">
            <v>113</v>
          </cell>
          <cell r="AH4">
            <v>207342</v>
          </cell>
          <cell r="AI4">
            <v>61</v>
          </cell>
          <cell r="AJ4">
            <v>207457</v>
          </cell>
          <cell r="AK4">
            <v>115</v>
          </cell>
          <cell r="AL4">
            <v>207553</v>
          </cell>
          <cell r="AM4">
            <v>96</v>
          </cell>
          <cell r="AN4">
            <v>207600</v>
          </cell>
          <cell r="AO4">
            <v>47</v>
          </cell>
          <cell r="AP4">
            <v>207614</v>
          </cell>
          <cell r="AQ4">
            <v>14</v>
          </cell>
          <cell r="AR4">
            <v>207644</v>
          </cell>
          <cell r="AS4">
            <v>30</v>
          </cell>
          <cell r="AT4">
            <v>207658</v>
          </cell>
        </row>
        <row r="5">
          <cell r="G5" t="str">
            <v>10.0.36.211</v>
          </cell>
          <cell r="H5" t="str">
            <v>991H2TP</v>
          </cell>
          <cell r="I5">
            <v>125259</v>
          </cell>
          <cell r="J5">
            <v>125259</v>
          </cell>
          <cell r="K5">
            <v>0</v>
          </cell>
          <cell r="L5">
            <v>125259</v>
          </cell>
          <cell r="M5">
            <v>0</v>
          </cell>
          <cell r="N5">
            <v>125259</v>
          </cell>
          <cell r="O5">
            <v>0</v>
          </cell>
          <cell r="P5">
            <v>125259</v>
          </cell>
          <cell r="Q5">
            <v>0</v>
          </cell>
          <cell r="R5">
            <v>125259</v>
          </cell>
          <cell r="S5">
            <v>0</v>
          </cell>
          <cell r="T5">
            <v>125259</v>
          </cell>
          <cell r="U5">
            <v>0</v>
          </cell>
          <cell r="V5">
            <v>125259</v>
          </cell>
          <cell r="W5">
            <v>0</v>
          </cell>
          <cell r="X5">
            <v>125259</v>
          </cell>
          <cell r="Y5">
            <v>0</v>
          </cell>
          <cell r="Z5">
            <v>125259</v>
          </cell>
          <cell r="AA5">
            <v>0</v>
          </cell>
          <cell r="AB5">
            <v>125259</v>
          </cell>
          <cell r="AC5">
            <v>0</v>
          </cell>
          <cell r="AD5">
            <v>125259</v>
          </cell>
          <cell r="AE5">
            <v>0</v>
          </cell>
          <cell r="AF5">
            <v>125259</v>
          </cell>
          <cell r="AG5">
            <v>0</v>
          </cell>
          <cell r="AH5">
            <v>125259</v>
          </cell>
          <cell r="AI5">
            <v>0</v>
          </cell>
          <cell r="AJ5">
            <v>125259</v>
          </cell>
          <cell r="AK5">
            <v>0</v>
          </cell>
          <cell r="AL5">
            <v>125259</v>
          </cell>
          <cell r="AM5">
            <v>0</v>
          </cell>
          <cell r="AN5">
            <v>125259</v>
          </cell>
          <cell r="AO5">
            <v>0</v>
          </cell>
          <cell r="AP5">
            <v>125259</v>
          </cell>
          <cell r="AQ5">
            <v>0</v>
          </cell>
          <cell r="AR5">
            <v>125259</v>
          </cell>
          <cell r="AS5">
            <v>0</v>
          </cell>
          <cell r="AT5">
            <v>125259</v>
          </cell>
        </row>
        <row r="6">
          <cell r="G6" t="str">
            <v>10.0.40.230</v>
          </cell>
          <cell r="H6" t="str">
            <v>DRL64102</v>
          </cell>
          <cell r="I6">
            <v>15240</v>
          </cell>
          <cell r="J6">
            <v>15240</v>
          </cell>
          <cell r="K6">
            <v>0</v>
          </cell>
          <cell r="L6">
            <v>15240</v>
          </cell>
          <cell r="M6">
            <v>0</v>
          </cell>
          <cell r="N6">
            <v>15240</v>
          </cell>
          <cell r="O6">
            <v>0</v>
          </cell>
          <cell r="P6">
            <v>15240</v>
          </cell>
          <cell r="Q6">
            <v>0</v>
          </cell>
          <cell r="R6">
            <v>15240</v>
          </cell>
          <cell r="S6">
            <v>0</v>
          </cell>
          <cell r="T6">
            <v>15240</v>
          </cell>
          <cell r="U6">
            <v>0</v>
          </cell>
          <cell r="V6">
            <v>15240</v>
          </cell>
          <cell r="W6">
            <v>0</v>
          </cell>
          <cell r="X6">
            <v>15240</v>
          </cell>
          <cell r="Y6">
            <v>0</v>
          </cell>
          <cell r="Z6">
            <v>15240</v>
          </cell>
          <cell r="AA6">
            <v>0</v>
          </cell>
          <cell r="AB6">
            <v>15240</v>
          </cell>
          <cell r="AC6">
            <v>0</v>
          </cell>
          <cell r="AD6">
            <v>15240</v>
          </cell>
          <cell r="AE6">
            <v>0</v>
          </cell>
          <cell r="AF6">
            <v>15240</v>
          </cell>
          <cell r="AG6">
            <v>0</v>
          </cell>
          <cell r="AH6">
            <v>15240</v>
          </cell>
          <cell r="AI6">
            <v>0</v>
          </cell>
          <cell r="AJ6">
            <v>15240</v>
          </cell>
          <cell r="AK6">
            <v>0</v>
          </cell>
          <cell r="AL6">
            <v>15240</v>
          </cell>
          <cell r="AM6">
            <v>0</v>
          </cell>
          <cell r="AN6">
            <v>15240</v>
          </cell>
          <cell r="AO6">
            <v>0</v>
          </cell>
          <cell r="AP6">
            <v>15240</v>
          </cell>
          <cell r="AQ6">
            <v>0</v>
          </cell>
          <cell r="AR6">
            <v>15240</v>
          </cell>
          <cell r="AS6">
            <v>0</v>
          </cell>
          <cell r="AT6">
            <v>15240</v>
          </cell>
        </row>
        <row r="7">
          <cell r="G7" t="str">
            <v>10.0.40.231</v>
          </cell>
          <cell r="H7" t="str">
            <v>DRL61550</v>
          </cell>
          <cell r="I7">
            <v>60271</v>
          </cell>
          <cell r="J7">
            <v>60271</v>
          </cell>
          <cell r="K7">
            <v>0</v>
          </cell>
          <cell r="L7">
            <v>60271</v>
          </cell>
          <cell r="M7">
            <v>0</v>
          </cell>
          <cell r="N7">
            <v>60271</v>
          </cell>
          <cell r="O7">
            <v>0</v>
          </cell>
          <cell r="P7">
            <v>60271</v>
          </cell>
          <cell r="Q7">
            <v>0</v>
          </cell>
          <cell r="R7">
            <v>60271</v>
          </cell>
          <cell r="S7">
            <v>0</v>
          </cell>
          <cell r="T7">
            <v>60271</v>
          </cell>
          <cell r="U7">
            <v>0</v>
          </cell>
          <cell r="V7">
            <v>60274</v>
          </cell>
          <cell r="W7">
            <v>3</v>
          </cell>
          <cell r="X7">
            <v>60292</v>
          </cell>
          <cell r="Y7">
            <v>18</v>
          </cell>
          <cell r="Z7">
            <v>60292</v>
          </cell>
          <cell r="AA7">
            <v>0</v>
          </cell>
          <cell r="AB7">
            <v>60292</v>
          </cell>
          <cell r="AC7">
            <v>0</v>
          </cell>
          <cell r="AD7">
            <v>60292</v>
          </cell>
          <cell r="AE7">
            <v>0</v>
          </cell>
          <cell r="AF7">
            <v>60292</v>
          </cell>
          <cell r="AG7">
            <v>0</v>
          </cell>
          <cell r="AH7">
            <v>60292</v>
          </cell>
          <cell r="AI7">
            <v>0</v>
          </cell>
          <cell r="AJ7">
            <v>60292</v>
          </cell>
          <cell r="AK7">
            <v>0</v>
          </cell>
          <cell r="AL7">
            <v>60292</v>
          </cell>
          <cell r="AM7">
            <v>0</v>
          </cell>
          <cell r="AN7">
            <v>60292</v>
          </cell>
          <cell r="AO7">
            <v>0</v>
          </cell>
          <cell r="AP7">
            <v>60292</v>
          </cell>
          <cell r="AQ7">
            <v>0</v>
          </cell>
          <cell r="AR7">
            <v>60292</v>
          </cell>
          <cell r="AS7">
            <v>0</v>
          </cell>
          <cell r="AT7">
            <v>60292</v>
          </cell>
        </row>
        <row r="8">
          <cell r="G8" t="str">
            <v>10.0.6.80</v>
          </cell>
          <cell r="H8" t="str">
            <v>DRL64101</v>
          </cell>
          <cell r="I8">
            <v>60247</v>
          </cell>
          <cell r="J8">
            <v>60247</v>
          </cell>
          <cell r="K8">
            <v>0</v>
          </cell>
          <cell r="L8">
            <v>60247</v>
          </cell>
          <cell r="M8">
            <v>0</v>
          </cell>
          <cell r="N8">
            <v>60255</v>
          </cell>
          <cell r="O8">
            <v>8</v>
          </cell>
          <cell r="P8">
            <v>60255</v>
          </cell>
          <cell r="Q8">
            <v>0</v>
          </cell>
          <cell r="R8">
            <v>60255</v>
          </cell>
          <cell r="S8">
            <v>0</v>
          </cell>
          <cell r="T8">
            <v>60266</v>
          </cell>
          <cell r="U8">
            <v>11</v>
          </cell>
          <cell r="V8">
            <v>60266</v>
          </cell>
          <cell r="W8">
            <v>0</v>
          </cell>
          <cell r="X8">
            <v>60266</v>
          </cell>
          <cell r="Y8">
            <v>0</v>
          </cell>
          <cell r="Z8">
            <v>60266</v>
          </cell>
          <cell r="AA8">
            <v>0</v>
          </cell>
          <cell r="AB8">
            <v>60267</v>
          </cell>
          <cell r="AC8">
            <v>1</v>
          </cell>
          <cell r="AD8">
            <v>60267</v>
          </cell>
          <cell r="AE8">
            <v>0</v>
          </cell>
          <cell r="AF8">
            <v>60267</v>
          </cell>
          <cell r="AG8">
            <v>0</v>
          </cell>
          <cell r="AH8">
            <v>60267</v>
          </cell>
          <cell r="AI8">
            <v>0</v>
          </cell>
          <cell r="AJ8">
            <v>60267</v>
          </cell>
          <cell r="AK8">
            <v>0</v>
          </cell>
          <cell r="AL8">
            <v>60267</v>
          </cell>
          <cell r="AM8">
            <v>0</v>
          </cell>
          <cell r="AN8">
            <v>60267</v>
          </cell>
          <cell r="AO8">
            <v>0</v>
          </cell>
          <cell r="AP8">
            <v>60273</v>
          </cell>
          <cell r="AQ8">
            <v>6</v>
          </cell>
          <cell r="AR8">
            <v>60273</v>
          </cell>
          <cell r="AS8">
            <v>0</v>
          </cell>
          <cell r="AT8">
            <v>60273</v>
          </cell>
        </row>
        <row r="9">
          <cell r="G9" t="str">
            <v>10.0.40.208</v>
          </cell>
          <cell r="H9" t="str">
            <v>DRL64129 </v>
          </cell>
          <cell r="I9">
            <v>206914</v>
          </cell>
          <cell r="J9">
            <v>206919</v>
          </cell>
          <cell r="K9">
            <v>5</v>
          </cell>
          <cell r="L9">
            <v>207041</v>
          </cell>
          <cell r="M9">
            <v>122</v>
          </cell>
          <cell r="N9">
            <v>207056</v>
          </cell>
          <cell r="O9">
            <v>15</v>
          </cell>
          <cell r="P9">
            <v>207233</v>
          </cell>
          <cell r="Q9">
            <v>177</v>
          </cell>
          <cell r="R9">
            <v>207240</v>
          </cell>
          <cell r="S9">
            <v>7</v>
          </cell>
          <cell r="T9">
            <v>207250</v>
          </cell>
          <cell r="U9">
            <v>10</v>
          </cell>
          <cell r="V9">
            <v>207325</v>
          </cell>
          <cell r="W9">
            <v>75</v>
          </cell>
          <cell r="X9">
            <v>207362</v>
          </cell>
          <cell r="Y9">
            <v>37</v>
          </cell>
          <cell r="Z9">
            <v>207456</v>
          </cell>
          <cell r="AA9">
            <v>94</v>
          </cell>
          <cell r="AB9">
            <v>207462</v>
          </cell>
          <cell r="AC9">
            <v>6</v>
          </cell>
          <cell r="AD9">
            <v>207475</v>
          </cell>
          <cell r="AE9">
            <v>13</v>
          </cell>
          <cell r="AF9">
            <v>207588</v>
          </cell>
          <cell r="AG9">
            <v>113</v>
          </cell>
          <cell r="AH9">
            <v>207590</v>
          </cell>
          <cell r="AI9">
            <v>2</v>
          </cell>
          <cell r="AJ9">
            <v>207678</v>
          </cell>
          <cell r="AK9">
            <v>88</v>
          </cell>
          <cell r="AL9">
            <v>207692</v>
          </cell>
          <cell r="AM9">
            <v>14</v>
          </cell>
          <cell r="AN9">
            <v>207792</v>
          </cell>
          <cell r="AO9">
            <v>100</v>
          </cell>
          <cell r="AP9">
            <v>207928</v>
          </cell>
          <cell r="AQ9">
            <v>136</v>
          </cell>
          <cell r="AR9">
            <v>208013</v>
          </cell>
          <cell r="AS9">
            <v>85</v>
          </cell>
          <cell r="AT9">
            <v>208051</v>
          </cell>
        </row>
        <row r="10">
          <cell r="G10" t="str">
            <v>10.0.40.72</v>
          </cell>
          <cell r="H10" t="str">
            <v>DRL64141</v>
          </cell>
          <cell r="I10">
            <v>352851</v>
          </cell>
          <cell r="J10">
            <v>352977</v>
          </cell>
          <cell r="K10">
            <v>126</v>
          </cell>
          <cell r="L10">
            <v>353055</v>
          </cell>
          <cell r="M10">
            <v>78</v>
          </cell>
          <cell r="N10">
            <v>353154</v>
          </cell>
          <cell r="O10">
            <v>99</v>
          </cell>
          <cell r="P10">
            <v>353275</v>
          </cell>
          <cell r="Q10">
            <v>121</v>
          </cell>
          <cell r="R10">
            <v>353512</v>
          </cell>
          <cell r="S10">
            <v>237</v>
          </cell>
          <cell r="T10">
            <v>353670</v>
          </cell>
          <cell r="U10">
            <v>158</v>
          </cell>
          <cell r="V10">
            <v>353778</v>
          </cell>
          <cell r="W10">
            <v>108</v>
          </cell>
          <cell r="X10">
            <v>354012</v>
          </cell>
          <cell r="Y10">
            <v>234</v>
          </cell>
          <cell r="Z10">
            <v>354144</v>
          </cell>
          <cell r="AA10">
            <v>132</v>
          </cell>
          <cell r="AB10">
            <v>354336</v>
          </cell>
          <cell r="AC10">
            <v>192</v>
          </cell>
          <cell r="AD10">
            <v>354776</v>
          </cell>
          <cell r="AE10">
            <v>440</v>
          </cell>
          <cell r="AF10">
            <v>354870</v>
          </cell>
          <cell r="AG10">
            <v>94</v>
          </cell>
          <cell r="AH10">
            <v>354973</v>
          </cell>
          <cell r="AI10">
            <v>103</v>
          </cell>
          <cell r="AJ10">
            <v>355117</v>
          </cell>
          <cell r="AK10">
            <v>144</v>
          </cell>
          <cell r="AL10">
            <v>355334</v>
          </cell>
          <cell r="AM10">
            <v>217</v>
          </cell>
          <cell r="AN10">
            <v>355512</v>
          </cell>
          <cell r="AO10">
            <v>178</v>
          </cell>
          <cell r="AP10">
            <v>355640</v>
          </cell>
          <cell r="AQ10">
            <v>128</v>
          </cell>
          <cell r="AR10">
            <v>355739</v>
          </cell>
          <cell r="AS10">
            <v>99</v>
          </cell>
          <cell r="AT10">
            <v>355972</v>
          </cell>
        </row>
        <row r="11">
          <cell r="G11" t="str">
            <v>10.0.7.203</v>
          </cell>
          <cell r="H11" t="str">
            <v>DRL45434</v>
          </cell>
          <cell r="I11">
            <v>122078</v>
          </cell>
          <cell r="J11">
            <v>122117</v>
          </cell>
          <cell r="K11">
            <v>39</v>
          </cell>
          <cell r="L11">
            <v>122137</v>
          </cell>
          <cell r="M11">
            <v>20</v>
          </cell>
          <cell r="N11">
            <v>122173</v>
          </cell>
          <cell r="O11">
            <v>36</v>
          </cell>
          <cell r="P11">
            <v>122177</v>
          </cell>
          <cell r="Q11">
            <v>4</v>
          </cell>
          <cell r="R11">
            <v>122191</v>
          </cell>
          <cell r="S11">
            <v>14</v>
          </cell>
          <cell r="T11">
            <v>122195</v>
          </cell>
          <cell r="U11">
            <v>4</v>
          </cell>
          <cell r="V11">
            <v>122200</v>
          </cell>
          <cell r="W11">
            <v>5</v>
          </cell>
          <cell r="X11">
            <v>122203</v>
          </cell>
          <cell r="Y11">
            <v>3</v>
          </cell>
          <cell r="Z11">
            <v>122216</v>
          </cell>
          <cell r="AA11">
            <v>13</v>
          </cell>
          <cell r="AB11">
            <v>122225</v>
          </cell>
          <cell r="AC11">
            <v>9</v>
          </cell>
          <cell r="AD11">
            <v>122229</v>
          </cell>
          <cell r="AE11">
            <v>4</v>
          </cell>
          <cell r="AF11">
            <v>122238</v>
          </cell>
          <cell r="AG11">
            <v>9</v>
          </cell>
          <cell r="AH11">
            <v>122281</v>
          </cell>
          <cell r="AI11">
            <v>43</v>
          </cell>
          <cell r="AJ11">
            <v>122306</v>
          </cell>
          <cell r="AK11">
            <v>25</v>
          </cell>
          <cell r="AL11">
            <v>122314</v>
          </cell>
          <cell r="AM11">
            <v>8</v>
          </cell>
          <cell r="AN11">
            <v>122317</v>
          </cell>
          <cell r="AO11">
            <v>3</v>
          </cell>
          <cell r="AP11">
            <v>122330</v>
          </cell>
          <cell r="AQ11">
            <v>13</v>
          </cell>
          <cell r="AR11">
            <v>122341</v>
          </cell>
          <cell r="AS11">
            <v>11</v>
          </cell>
          <cell r="AT11">
            <v>122351</v>
          </cell>
        </row>
        <row r="12">
          <cell r="G12" t="str">
            <v>10.0.6.3</v>
          </cell>
          <cell r="H12" t="str">
            <v>DRL54231</v>
          </cell>
          <cell r="I12">
            <v>3063</v>
          </cell>
          <cell r="J12">
            <v>3063</v>
          </cell>
          <cell r="K12">
            <v>0</v>
          </cell>
          <cell r="L12">
            <v>3063</v>
          </cell>
          <cell r="M12">
            <v>0</v>
          </cell>
          <cell r="N12">
            <v>3063</v>
          </cell>
          <cell r="O12">
            <v>0</v>
          </cell>
          <cell r="P12">
            <v>3063</v>
          </cell>
          <cell r="Q12">
            <v>0</v>
          </cell>
          <cell r="R12">
            <v>3063</v>
          </cell>
          <cell r="S12">
            <v>0</v>
          </cell>
          <cell r="T12">
            <v>3063</v>
          </cell>
          <cell r="U12">
            <v>0</v>
          </cell>
          <cell r="V12">
            <v>3063</v>
          </cell>
          <cell r="W12">
            <v>0</v>
          </cell>
          <cell r="X12">
            <v>3064</v>
          </cell>
          <cell r="Y12">
            <v>1</v>
          </cell>
          <cell r="Z12">
            <v>3064</v>
          </cell>
          <cell r="AA12">
            <v>0</v>
          </cell>
          <cell r="AB12">
            <v>3064</v>
          </cell>
          <cell r="AC12">
            <v>0</v>
          </cell>
          <cell r="AD12">
            <v>3064</v>
          </cell>
          <cell r="AE12">
            <v>0</v>
          </cell>
          <cell r="AF12">
            <v>3064</v>
          </cell>
          <cell r="AG12">
            <v>0</v>
          </cell>
          <cell r="AH12">
            <v>3064</v>
          </cell>
          <cell r="AI12">
            <v>0</v>
          </cell>
          <cell r="AJ12">
            <v>3064</v>
          </cell>
          <cell r="AK12">
            <v>0</v>
          </cell>
          <cell r="AL12">
            <v>3064</v>
          </cell>
          <cell r="AM12">
            <v>0</v>
          </cell>
          <cell r="AN12">
            <v>3064</v>
          </cell>
          <cell r="AO12">
            <v>0</v>
          </cell>
          <cell r="AP12">
            <v>3064</v>
          </cell>
          <cell r="AQ12">
            <v>0</v>
          </cell>
          <cell r="AR12">
            <v>3064</v>
          </cell>
          <cell r="AS12">
            <v>0</v>
          </cell>
          <cell r="AT12">
            <v>3064</v>
          </cell>
        </row>
        <row r="13">
          <cell r="G13" t="str">
            <v>10.0.26.203</v>
          </cell>
          <cell r="H13" t="str">
            <v>FRU83469</v>
          </cell>
          <cell r="I13">
            <v>544721</v>
          </cell>
          <cell r="J13">
            <v>544731</v>
          </cell>
          <cell r="K13">
            <v>10</v>
          </cell>
          <cell r="L13">
            <v>544736</v>
          </cell>
          <cell r="M13">
            <v>5</v>
          </cell>
          <cell r="N13">
            <v>544792</v>
          </cell>
          <cell r="O13">
            <v>56</v>
          </cell>
          <cell r="P13">
            <v>544808</v>
          </cell>
          <cell r="Q13">
            <v>16</v>
          </cell>
          <cell r="R13">
            <v>544813</v>
          </cell>
          <cell r="S13">
            <v>5</v>
          </cell>
          <cell r="T13">
            <v>544820</v>
          </cell>
          <cell r="U13">
            <v>7</v>
          </cell>
          <cell r="V13">
            <v>544826</v>
          </cell>
          <cell r="W13">
            <v>6</v>
          </cell>
          <cell r="X13">
            <v>544858</v>
          </cell>
          <cell r="Y13">
            <v>32</v>
          </cell>
          <cell r="Z13">
            <v>544862</v>
          </cell>
          <cell r="AA13">
            <v>4</v>
          </cell>
          <cell r="AB13">
            <v>544873</v>
          </cell>
          <cell r="AC13">
            <v>11</v>
          </cell>
          <cell r="AD13">
            <v>544907</v>
          </cell>
          <cell r="AE13">
            <v>34</v>
          </cell>
          <cell r="AF13">
            <v>544917</v>
          </cell>
          <cell r="AG13">
            <v>10</v>
          </cell>
          <cell r="AH13">
            <v>544919</v>
          </cell>
          <cell r="AI13">
            <v>2</v>
          </cell>
          <cell r="AJ13">
            <v>544921</v>
          </cell>
          <cell r="AK13">
            <v>2</v>
          </cell>
          <cell r="AL13">
            <v>544929</v>
          </cell>
          <cell r="AM13">
            <v>8</v>
          </cell>
          <cell r="AN13">
            <v>544932</v>
          </cell>
          <cell r="AO13">
            <v>3</v>
          </cell>
          <cell r="AP13">
            <v>544954</v>
          </cell>
          <cell r="AQ13">
            <v>22</v>
          </cell>
          <cell r="AR13">
            <v>545116</v>
          </cell>
          <cell r="AS13">
            <v>162</v>
          </cell>
          <cell r="AT13">
            <v>545122</v>
          </cell>
        </row>
        <row r="14">
          <cell r="G14" t="str">
            <v>10.0.200.201</v>
          </cell>
          <cell r="H14" t="str">
            <v>DRL37950</v>
          </cell>
          <cell r="I14">
            <v>61581</v>
          </cell>
          <cell r="J14">
            <v>61581</v>
          </cell>
          <cell r="K14">
            <v>0</v>
          </cell>
          <cell r="L14">
            <v>61581</v>
          </cell>
          <cell r="M14">
            <v>0</v>
          </cell>
          <cell r="N14">
            <v>61581</v>
          </cell>
          <cell r="O14">
            <v>0</v>
          </cell>
          <cell r="P14">
            <v>61581</v>
          </cell>
          <cell r="Q14">
            <v>0</v>
          </cell>
          <cell r="R14">
            <v>61581</v>
          </cell>
          <cell r="S14">
            <v>0</v>
          </cell>
          <cell r="T14">
            <v>61581</v>
          </cell>
          <cell r="U14">
            <v>0</v>
          </cell>
          <cell r="V14">
            <v>61581</v>
          </cell>
          <cell r="W14">
            <v>0</v>
          </cell>
          <cell r="X14">
            <v>61581</v>
          </cell>
          <cell r="Y14">
            <v>0</v>
          </cell>
          <cell r="Z14">
            <v>61581</v>
          </cell>
          <cell r="AA14">
            <v>0</v>
          </cell>
          <cell r="AB14">
            <v>61581</v>
          </cell>
          <cell r="AC14">
            <v>0</v>
          </cell>
          <cell r="AD14">
            <v>61581</v>
          </cell>
          <cell r="AE14">
            <v>0</v>
          </cell>
          <cell r="AF14">
            <v>61581</v>
          </cell>
          <cell r="AG14">
            <v>0</v>
          </cell>
          <cell r="AH14">
            <v>61581</v>
          </cell>
          <cell r="AI14">
            <v>0</v>
          </cell>
          <cell r="AJ14">
            <v>61581</v>
          </cell>
          <cell r="AK14">
            <v>0</v>
          </cell>
          <cell r="AL14">
            <v>61581</v>
          </cell>
          <cell r="AM14">
            <v>0</v>
          </cell>
          <cell r="AN14">
            <v>61581</v>
          </cell>
          <cell r="AO14">
            <v>0</v>
          </cell>
          <cell r="AP14">
            <v>61581</v>
          </cell>
          <cell r="AQ14">
            <v>0</v>
          </cell>
          <cell r="AR14">
            <v>61581</v>
          </cell>
          <cell r="AS14">
            <v>0</v>
          </cell>
          <cell r="AT14">
            <v>61581</v>
          </cell>
        </row>
        <row r="15">
          <cell r="G15" t="str">
            <v>10.0.8.200</v>
          </cell>
          <cell r="H15" t="str">
            <v>FRU83454</v>
          </cell>
          <cell r="I15">
            <v>802107</v>
          </cell>
          <cell r="J15">
            <v>802183</v>
          </cell>
          <cell r="K15">
            <v>76</v>
          </cell>
          <cell r="L15">
            <v>802257</v>
          </cell>
          <cell r="M15">
            <v>74</v>
          </cell>
          <cell r="N15">
            <v>802378</v>
          </cell>
          <cell r="O15">
            <v>121</v>
          </cell>
          <cell r="P15">
            <v>802497</v>
          </cell>
          <cell r="Q15">
            <v>119</v>
          </cell>
          <cell r="R15">
            <v>802553</v>
          </cell>
          <cell r="S15">
            <v>56</v>
          </cell>
          <cell r="T15">
            <v>802663</v>
          </cell>
          <cell r="U15">
            <v>110</v>
          </cell>
          <cell r="V15">
            <v>802755</v>
          </cell>
          <cell r="W15">
            <v>92</v>
          </cell>
          <cell r="X15">
            <v>802889</v>
          </cell>
          <cell r="Y15">
            <v>134</v>
          </cell>
          <cell r="Z15">
            <v>802970</v>
          </cell>
          <cell r="AA15">
            <v>81</v>
          </cell>
          <cell r="AB15">
            <v>803042</v>
          </cell>
          <cell r="AC15">
            <v>72</v>
          </cell>
          <cell r="AD15">
            <v>803193</v>
          </cell>
          <cell r="AE15">
            <v>151</v>
          </cell>
          <cell r="AF15">
            <v>803309</v>
          </cell>
          <cell r="AG15">
            <v>116</v>
          </cell>
          <cell r="AH15">
            <v>803435</v>
          </cell>
          <cell r="AI15">
            <v>126</v>
          </cell>
          <cell r="AJ15">
            <v>803512</v>
          </cell>
          <cell r="AK15">
            <v>77</v>
          </cell>
          <cell r="AL15">
            <v>803712</v>
          </cell>
          <cell r="AM15">
            <v>200</v>
          </cell>
          <cell r="AN15">
            <v>803787</v>
          </cell>
          <cell r="AO15">
            <v>75</v>
          </cell>
          <cell r="AP15">
            <v>803846</v>
          </cell>
          <cell r="AQ15">
            <v>59</v>
          </cell>
          <cell r="AR15">
            <v>803898</v>
          </cell>
          <cell r="AS15">
            <v>52</v>
          </cell>
          <cell r="AT15">
            <v>803996</v>
          </cell>
        </row>
        <row r="16">
          <cell r="G16" t="str">
            <v>10.0.9.200</v>
          </cell>
          <cell r="H16" t="str">
            <v>FRU83010</v>
          </cell>
          <cell r="I16">
            <v>701255</v>
          </cell>
          <cell r="J16">
            <v>701268</v>
          </cell>
          <cell r="K16">
            <v>13</v>
          </cell>
          <cell r="L16">
            <v>701272</v>
          </cell>
          <cell r="M16">
            <v>4</v>
          </cell>
          <cell r="N16">
            <v>701272</v>
          </cell>
          <cell r="O16">
            <v>0</v>
          </cell>
          <cell r="P16">
            <v>701273</v>
          </cell>
          <cell r="Q16">
            <v>1</v>
          </cell>
          <cell r="R16">
            <v>701276</v>
          </cell>
          <cell r="S16">
            <v>3</v>
          </cell>
          <cell r="T16">
            <v>701280</v>
          </cell>
          <cell r="U16">
            <v>4</v>
          </cell>
          <cell r="V16">
            <v>701281</v>
          </cell>
          <cell r="W16">
            <v>1</v>
          </cell>
          <cell r="X16">
            <v>701284</v>
          </cell>
          <cell r="Y16">
            <v>3</v>
          </cell>
          <cell r="Z16">
            <v>701288</v>
          </cell>
          <cell r="AA16">
            <v>4</v>
          </cell>
          <cell r="AB16">
            <v>701293</v>
          </cell>
          <cell r="AC16">
            <v>5</v>
          </cell>
          <cell r="AD16">
            <v>701302</v>
          </cell>
          <cell r="AE16">
            <v>9</v>
          </cell>
          <cell r="AF16">
            <v>701302</v>
          </cell>
          <cell r="AG16">
            <v>0</v>
          </cell>
          <cell r="AH16">
            <v>701308</v>
          </cell>
          <cell r="AI16">
            <v>6</v>
          </cell>
          <cell r="AJ16">
            <v>701308</v>
          </cell>
          <cell r="AK16">
            <v>0</v>
          </cell>
          <cell r="AL16">
            <v>701309</v>
          </cell>
          <cell r="AM16">
            <v>1</v>
          </cell>
          <cell r="AN16">
            <v>701315</v>
          </cell>
          <cell r="AO16">
            <v>6</v>
          </cell>
          <cell r="AP16">
            <v>701315</v>
          </cell>
          <cell r="AQ16">
            <v>0</v>
          </cell>
          <cell r="AR16">
            <v>701326</v>
          </cell>
          <cell r="AS16">
            <v>11</v>
          </cell>
          <cell r="AT16">
            <v>701326</v>
          </cell>
        </row>
        <row r="17">
          <cell r="G17" t="str">
            <v>10.0.9.201</v>
          </cell>
          <cell r="H17" t="str">
            <v>FRU47828</v>
          </cell>
          <cell r="I17">
            <v>205581</v>
          </cell>
          <cell r="J17">
            <v>205581</v>
          </cell>
          <cell r="K17">
            <v>0</v>
          </cell>
          <cell r="L17">
            <v>205581</v>
          </cell>
          <cell r="M17">
            <v>0</v>
          </cell>
          <cell r="N17">
            <v>205581</v>
          </cell>
          <cell r="O17">
            <v>0</v>
          </cell>
          <cell r="P17">
            <v>205581</v>
          </cell>
          <cell r="Q17">
            <v>0</v>
          </cell>
          <cell r="R17">
            <v>205581</v>
          </cell>
          <cell r="S17">
            <v>0</v>
          </cell>
          <cell r="T17">
            <v>205581</v>
          </cell>
          <cell r="U17">
            <v>0</v>
          </cell>
          <cell r="V17">
            <v>205581</v>
          </cell>
          <cell r="W17">
            <v>0</v>
          </cell>
          <cell r="X17">
            <v>205581</v>
          </cell>
          <cell r="Y17">
            <v>0</v>
          </cell>
          <cell r="Z17">
            <v>205581</v>
          </cell>
          <cell r="AA17">
            <v>0</v>
          </cell>
          <cell r="AB17">
            <v>205581</v>
          </cell>
          <cell r="AC17">
            <v>0</v>
          </cell>
          <cell r="AD17">
            <v>205581</v>
          </cell>
          <cell r="AE17">
            <v>0</v>
          </cell>
          <cell r="AF17">
            <v>205581</v>
          </cell>
          <cell r="AG17">
            <v>0</v>
          </cell>
          <cell r="AH17">
            <v>205581</v>
          </cell>
          <cell r="AI17">
            <v>0</v>
          </cell>
          <cell r="AJ17">
            <v>205581</v>
          </cell>
          <cell r="AK17">
            <v>0</v>
          </cell>
          <cell r="AL17">
            <v>205581</v>
          </cell>
          <cell r="AM17">
            <v>0</v>
          </cell>
          <cell r="AN17">
            <v>205581</v>
          </cell>
          <cell r="AO17">
            <v>0</v>
          </cell>
          <cell r="AP17">
            <v>205581</v>
          </cell>
          <cell r="AQ17">
            <v>0</v>
          </cell>
          <cell r="AR17">
            <v>205581</v>
          </cell>
          <cell r="AS17">
            <v>0</v>
          </cell>
          <cell r="AT17">
            <v>205581</v>
          </cell>
        </row>
        <row r="18">
          <cell r="H18" t="str">
            <v>DRL37939</v>
          </cell>
          <cell r="I18">
            <v>212676</v>
          </cell>
          <cell r="J18">
            <v>212676</v>
          </cell>
          <cell r="K18">
            <v>0</v>
          </cell>
          <cell r="L18">
            <v>212676</v>
          </cell>
          <cell r="M18">
            <v>0</v>
          </cell>
          <cell r="N18">
            <v>212676</v>
          </cell>
          <cell r="O18">
            <v>0</v>
          </cell>
          <cell r="P18">
            <v>212676</v>
          </cell>
          <cell r="Q18">
            <v>0</v>
          </cell>
          <cell r="R18">
            <v>212676</v>
          </cell>
          <cell r="S18">
            <v>0</v>
          </cell>
          <cell r="T18">
            <v>212676</v>
          </cell>
          <cell r="U18">
            <v>0</v>
          </cell>
          <cell r="V18">
            <v>212676</v>
          </cell>
          <cell r="W18">
            <v>0</v>
          </cell>
          <cell r="X18">
            <v>212676</v>
          </cell>
          <cell r="Y18">
            <v>0</v>
          </cell>
          <cell r="Z18">
            <v>212676</v>
          </cell>
          <cell r="AA18">
            <v>0</v>
          </cell>
          <cell r="AB18">
            <v>212676</v>
          </cell>
          <cell r="AC18">
            <v>0</v>
          </cell>
          <cell r="AD18">
            <v>212676</v>
          </cell>
          <cell r="AE18">
            <v>0</v>
          </cell>
          <cell r="AF18">
            <v>212676</v>
          </cell>
          <cell r="AG18">
            <v>0</v>
          </cell>
          <cell r="AH18">
            <v>212676</v>
          </cell>
          <cell r="AI18">
            <v>0</v>
          </cell>
          <cell r="AJ18">
            <v>212676</v>
          </cell>
          <cell r="AK18">
            <v>0</v>
          </cell>
          <cell r="AL18">
            <v>212676</v>
          </cell>
          <cell r="AM18">
            <v>0</v>
          </cell>
          <cell r="AN18">
            <v>212676</v>
          </cell>
          <cell r="AO18">
            <v>0</v>
          </cell>
          <cell r="AP18">
            <v>212676</v>
          </cell>
          <cell r="AQ18">
            <v>0</v>
          </cell>
          <cell r="AR18">
            <v>212676</v>
          </cell>
          <cell r="AS18">
            <v>0</v>
          </cell>
          <cell r="AT18">
            <v>212676</v>
          </cell>
        </row>
        <row r="19">
          <cell r="G19" t="str">
            <v>10.0.111.110</v>
          </cell>
          <cell r="H19" t="str">
            <v>DRL43238</v>
          </cell>
          <cell r="I19">
            <v>266934</v>
          </cell>
          <cell r="J19">
            <v>266995</v>
          </cell>
          <cell r="K19">
            <v>61</v>
          </cell>
          <cell r="L19">
            <v>267081</v>
          </cell>
          <cell r="M19">
            <v>86</v>
          </cell>
          <cell r="N19">
            <v>267182</v>
          </cell>
          <cell r="O19">
            <v>101</v>
          </cell>
          <cell r="P19">
            <v>267212</v>
          </cell>
          <cell r="Q19">
            <v>30</v>
          </cell>
          <cell r="R19">
            <v>267284</v>
          </cell>
          <cell r="S19">
            <v>72</v>
          </cell>
          <cell r="T19">
            <v>267352</v>
          </cell>
          <cell r="U19">
            <v>68</v>
          </cell>
          <cell r="V19">
            <v>267452</v>
          </cell>
          <cell r="W19">
            <v>100</v>
          </cell>
          <cell r="X19">
            <v>267502</v>
          </cell>
          <cell r="Y19">
            <v>50</v>
          </cell>
          <cell r="Z19">
            <v>267616</v>
          </cell>
          <cell r="AA19">
            <v>114</v>
          </cell>
          <cell r="AB19">
            <v>267678</v>
          </cell>
          <cell r="AC19">
            <v>62</v>
          </cell>
          <cell r="AD19">
            <v>267772</v>
          </cell>
          <cell r="AE19">
            <v>94</v>
          </cell>
          <cell r="AF19">
            <v>267891</v>
          </cell>
          <cell r="AG19">
            <v>119</v>
          </cell>
          <cell r="AH19">
            <v>267928</v>
          </cell>
          <cell r="AI19">
            <v>37</v>
          </cell>
          <cell r="AJ19">
            <v>267966</v>
          </cell>
          <cell r="AK19">
            <v>38</v>
          </cell>
          <cell r="AL19">
            <v>268011</v>
          </cell>
          <cell r="AM19">
            <v>45</v>
          </cell>
          <cell r="AN19">
            <v>268048</v>
          </cell>
          <cell r="AO19">
            <v>37</v>
          </cell>
          <cell r="AP19">
            <v>268099</v>
          </cell>
          <cell r="AQ19">
            <v>51</v>
          </cell>
          <cell r="AR19">
            <v>268140</v>
          </cell>
          <cell r="AS19">
            <v>41</v>
          </cell>
          <cell r="AT19">
            <v>268173</v>
          </cell>
        </row>
        <row r="20">
          <cell r="G20" t="str">
            <v>10.0.13.203</v>
          </cell>
          <cell r="H20" t="str">
            <v>FRU83001</v>
          </cell>
          <cell r="I20">
            <v>838081</v>
          </cell>
          <cell r="J20">
            <v>838309</v>
          </cell>
          <cell r="K20">
            <v>228</v>
          </cell>
          <cell r="L20">
            <v>838386</v>
          </cell>
          <cell r="M20">
            <v>77</v>
          </cell>
          <cell r="N20">
            <v>838661</v>
          </cell>
          <cell r="O20">
            <v>275</v>
          </cell>
          <cell r="P20">
            <v>838958</v>
          </cell>
          <cell r="Q20">
            <v>297</v>
          </cell>
          <cell r="R20">
            <v>839153</v>
          </cell>
          <cell r="S20">
            <v>195</v>
          </cell>
          <cell r="T20">
            <v>839422</v>
          </cell>
          <cell r="U20">
            <v>269</v>
          </cell>
          <cell r="V20">
            <v>839562</v>
          </cell>
          <cell r="W20">
            <v>140</v>
          </cell>
          <cell r="X20">
            <v>839617</v>
          </cell>
          <cell r="Y20">
            <v>55</v>
          </cell>
          <cell r="Z20">
            <v>839702</v>
          </cell>
          <cell r="AA20">
            <v>85</v>
          </cell>
          <cell r="AB20">
            <v>839790</v>
          </cell>
          <cell r="AC20">
            <v>88</v>
          </cell>
          <cell r="AD20">
            <v>840007</v>
          </cell>
          <cell r="AE20">
            <v>217</v>
          </cell>
          <cell r="AF20">
            <v>840180</v>
          </cell>
          <cell r="AG20">
            <v>173</v>
          </cell>
          <cell r="AH20">
            <v>840304</v>
          </cell>
          <cell r="AI20">
            <v>124</v>
          </cell>
          <cell r="AJ20">
            <v>840556</v>
          </cell>
          <cell r="AK20">
            <v>252</v>
          </cell>
          <cell r="AL20">
            <v>840677</v>
          </cell>
          <cell r="AM20">
            <v>121</v>
          </cell>
          <cell r="AN20">
            <v>840860</v>
          </cell>
          <cell r="AO20">
            <v>183</v>
          </cell>
          <cell r="AP20">
            <v>841014</v>
          </cell>
          <cell r="AQ20">
            <v>154</v>
          </cell>
          <cell r="AR20">
            <v>841294</v>
          </cell>
          <cell r="AS20">
            <v>280</v>
          </cell>
          <cell r="AT20">
            <v>841478</v>
          </cell>
        </row>
        <row r="21">
          <cell r="G21" t="str">
            <v>10.0.15.18</v>
          </cell>
          <cell r="H21" t="str">
            <v>FRU83450</v>
          </cell>
          <cell r="I21">
            <v>1098140</v>
          </cell>
          <cell r="J21">
            <v>1098760</v>
          </cell>
          <cell r="K21">
            <v>620</v>
          </cell>
          <cell r="L21">
            <v>1099174</v>
          </cell>
          <cell r="M21">
            <v>414</v>
          </cell>
          <cell r="N21">
            <v>1099938</v>
          </cell>
          <cell r="O21">
            <v>764</v>
          </cell>
          <cell r="P21">
            <v>1100512</v>
          </cell>
          <cell r="Q21">
            <v>574</v>
          </cell>
          <cell r="R21">
            <v>1101111</v>
          </cell>
          <cell r="S21">
            <v>599</v>
          </cell>
          <cell r="T21">
            <v>1101882</v>
          </cell>
          <cell r="U21">
            <v>771</v>
          </cell>
          <cell r="V21">
            <v>1102679</v>
          </cell>
          <cell r="W21">
            <v>797</v>
          </cell>
          <cell r="X21">
            <v>1103210</v>
          </cell>
          <cell r="Y21">
            <v>531</v>
          </cell>
          <cell r="Z21">
            <v>1103869</v>
          </cell>
          <cell r="AA21">
            <v>659</v>
          </cell>
          <cell r="AB21">
            <v>1104414</v>
          </cell>
          <cell r="AC21">
            <v>545</v>
          </cell>
          <cell r="AD21">
            <v>1105269</v>
          </cell>
          <cell r="AE21">
            <v>855</v>
          </cell>
          <cell r="AF21">
            <v>1106009</v>
          </cell>
          <cell r="AG21">
            <v>740</v>
          </cell>
          <cell r="AH21">
            <v>1106386</v>
          </cell>
          <cell r="AI21">
            <v>377</v>
          </cell>
          <cell r="AJ21">
            <v>1106950</v>
          </cell>
          <cell r="AK21">
            <v>564</v>
          </cell>
          <cell r="AL21">
            <v>1107496</v>
          </cell>
          <cell r="AM21">
            <v>546</v>
          </cell>
          <cell r="AN21">
            <v>1108202</v>
          </cell>
          <cell r="AO21">
            <v>706</v>
          </cell>
          <cell r="AP21">
            <v>1108809</v>
          </cell>
          <cell r="AQ21">
            <v>607</v>
          </cell>
          <cell r="AR21">
            <v>1109510</v>
          </cell>
          <cell r="AS21">
            <v>701</v>
          </cell>
          <cell r="AT21">
            <v>1109858</v>
          </cell>
        </row>
        <row r="22">
          <cell r="G22" t="str">
            <v>10.0.18.202</v>
          </cell>
          <cell r="H22" t="str">
            <v>HRN01271</v>
          </cell>
          <cell r="I22">
            <v>1437142</v>
          </cell>
          <cell r="J22">
            <v>1437181</v>
          </cell>
          <cell r="K22">
            <v>39</v>
          </cell>
          <cell r="L22">
            <v>1437276</v>
          </cell>
          <cell r="M22">
            <v>95</v>
          </cell>
          <cell r="N22">
            <v>1437454</v>
          </cell>
          <cell r="O22">
            <v>178</v>
          </cell>
          <cell r="P22">
            <v>1437519</v>
          </cell>
          <cell r="Q22">
            <v>65</v>
          </cell>
          <cell r="R22">
            <v>1437635</v>
          </cell>
          <cell r="S22">
            <v>116</v>
          </cell>
          <cell r="T22">
            <v>1437731</v>
          </cell>
          <cell r="U22">
            <v>96</v>
          </cell>
          <cell r="V22">
            <v>1437787</v>
          </cell>
          <cell r="W22">
            <v>56</v>
          </cell>
          <cell r="X22">
            <v>1437818</v>
          </cell>
          <cell r="Y22">
            <v>31</v>
          </cell>
          <cell r="Z22">
            <v>1437939</v>
          </cell>
          <cell r="AA22">
            <v>121</v>
          </cell>
          <cell r="AB22">
            <v>1438037</v>
          </cell>
          <cell r="AC22">
            <v>98</v>
          </cell>
          <cell r="AD22">
            <v>1438113</v>
          </cell>
          <cell r="AE22">
            <v>76</v>
          </cell>
          <cell r="AF22">
            <v>1438168</v>
          </cell>
          <cell r="AG22">
            <v>55</v>
          </cell>
          <cell r="AH22">
            <v>1438241</v>
          </cell>
          <cell r="AI22">
            <v>73</v>
          </cell>
          <cell r="AJ22">
            <v>1438308</v>
          </cell>
          <cell r="AK22">
            <v>67</v>
          </cell>
          <cell r="AL22">
            <v>1438396</v>
          </cell>
          <cell r="AM22">
            <v>88</v>
          </cell>
          <cell r="AN22">
            <v>1438512</v>
          </cell>
          <cell r="AO22">
            <v>116</v>
          </cell>
          <cell r="AP22">
            <v>1438648</v>
          </cell>
          <cell r="AQ22">
            <v>136</v>
          </cell>
          <cell r="AR22">
            <v>1438767</v>
          </cell>
          <cell r="AS22">
            <v>119</v>
          </cell>
          <cell r="AT22">
            <v>1438883</v>
          </cell>
        </row>
        <row r="23">
          <cell r="G23" t="str">
            <v>10.0.17.202</v>
          </cell>
          <cell r="H23" t="str">
            <v>FRU82552</v>
          </cell>
          <cell r="I23">
            <v>433846</v>
          </cell>
          <cell r="J23">
            <v>433993</v>
          </cell>
          <cell r="K23">
            <v>147</v>
          </cell>
          <cell r="L23">
            <v>434058</v>
          </cell>
          <cell r="M23">
            <v>65</v>
          </cell>
          <cell r="N23">
            <v>434230</v>
          </cell>
          <cell r="O23">
            <v>172</v>
          </cell>
          <cell r="P23">
            <v>434498</v>
          </cell>
          <cell r="Q23">
            <v>268</v>
          </cell>
          <cell r="R23">
            <v>434615</v>
          </cell>
          <cell r="S23">
            <v>117</v>
          </cell>
          <cell r="T23">
            <v>434805</v>
          </cell>
          <cell r="U23">
            <v>190</v>
          </cell>
          <cell r="V23">
            <v>434940</v>
          </cell>
          <cell r="W23">
            <v>135</v>
          </cell>
          <cell r="X23">
            <v>435123</v>
          </cell>
          <cell r="Y23">
            <v>183</v>
          </cell>
          <cell r="Z23">
            <v>435182</v>
          </cell>
          <cell r="AA23">
            <v>59</v>
          </cell>
          <cell r="AB23">
            <v>435339</v>
          </cell>
          <cell r="AC23">
            <v>157</v>
          </cell>
          <cell r="AD23">
            <v>435491</v>
          </cell>
          <cell r="AE23">
            <v>152</v>
          </cell>
          <cell r="AF23">
            <v>435708</v>
          </cell>
          <cell r="AG23">
            <v>217</v>
          </cell>
          <cell r="AH23">
            <v>435828</v>
          </cell>
          <cell r="AI23">
            <v>120</v>
          </cell>
          <cell r="AJ23">
            <v>435880</v>
          </cell>
          <cell r="AK23">
            <v>52</v>
          </cell>
          <cell r="AL23">
            <v>435979</v>
          </cell>
          <cell r="AM23">
            <v>99</v>
          </cell>
          <cell r="AN23">
            <v>436163</v>
          </cell>
          <cell r="AO23">
            <v>184</v>
          </cell>
          <cell r="AP23">
            <v>436382</v>
          </cell>
          <cell r="AQ23">
            <v>219</v>
          </cell>
          <cell r="AR23">
            <v>436484</v>
          </cell>
          <cell r="AS23">
            <v>102</v>
          </cell>
          <cell r="AT23">
            <v>436751</v>
          </cell>
        </row>
        <row r="24">
          <cell r="G24" t="str">
            <v>10.0.21.201</v>
          </cell>
          <cell r="H24" t="str">
            <v>FRU83471</v>
          </cell>
          <cell r="I24">
            <v>997610</v>
          </cell>
          <cell r="J24">
            <v>997793</v>
          </cell>
          <cell r="K24">
            <v>183</v>
          </cell>
          <cell r="L24">
            <v>997972</v>
          </cell>
          <cell r="M24">
            <v>179</v>
          </cell>
          <cell r="N24">
            <v>998324</v>
          </cell>
          <cell r="O24">
            <v>352</v>
          </cell>
          <cell r="P24">
            <v>998621</v>
          </cell>
          <cell r="Q24">
            <v>297</v>
          </cell>
          <cell r="R24">
            <v>998791</v>
          </cell>
          <cell r="S24">
            <v>170</v>
          </cell>
          <cell r="T24">
            <v>999038</v>
          </cell>
          <cell r="U24">
            <v>247</v>
          </cell>
          <cell r="V24">
            <v>999203</v>
          </cell>
          <cell r="W24">
            <v>165</v>
          </cell>
          <cell r="X24">
            <v>999382</v>
          </cell>
          <cell r="Y24">
            <v>179</v>
          </cell>
          <cell r="Z24">
            <v>999691</v>
          </cell>
          <cell r="AA24">
            <v>309</v>
          </cell>
          <cell r="AB24">
            <v>999892</v>
          </cell>
          <cell r="AC24">
            <v>201</v>
          </cell>
          <cell r="AD24">
            <v>1000072</v>
          </cell>
          <cell r="AE24">
            <v>180</v>
          </cell>
          <cell r="AF24">
            <v>1000301</v>
          </cell>
          <cell r="AG24">
            <v>229</v>
          </cell>
          <cell r="AH24">
            <v>1000536</v>
          </cell>
          <cell r="AI24">
            <v>235</v>
          </cell>
          <cell r="AJ24">
            <v>1000818</v>
          </cell>
          <cell r="AK24">
            <v>282</v>
          </cell>
          <cell r="AL24">
            <v>1000999</v>
          </cell>
          <cell r="AM24">
            <v>181</v>
          </cell>
          <cell r="AN24">
            <v>1001167</v>
          </cell>
          <cell r="AO24">
            <v>168</v>
          </cell>
          <cell r="AP24">
            <v>1001406</v>
          </cell>
          <cell r="AQ24">
            <v>239</v>
          </cell>
          <cell r="AR24">
            <v>1001509</v>
          </cell>
          <cell r="AS24">
            <v>103</v>
          </cell>
          <cell r="AT24">
            <v>1001712</v>
          </cell>
        </row>
        <row r="25">
          <cell r="G25" t="str">
            <v>10.0.21.200</v>
          </cell>
          <cell r="H25" t="str">
            <v>DRL64128</v>
          </cell>
          <cell r="I25">
            <v>28692</v>
          </cell>
          <cell r="J25">
            <v>28692</v>
          </cell>
          <cell r="K25">
            <v>0</v>
          </cell>
          <cell r="L25">
            <v>28692</v>
          </cell>
          <cell r="M25">
            <v>0</v>
          </cell>
          <cell r="N25">
            <v>28692</v>
          </cell>
          <cell r="O25">
            <v>0</v>
          </cell>
          <cell r="P25">
            <v>28692</v>
          </cell>
          <cell r="Q25">
            <v>0</v>
          </cell>
          <cell r="R25">
            <v>28692</v>
          </cell>
          <cell r="S25">
            <v>0</v>
          </cell>
          <cell r="T25">
            <v>28692</v>
          </cell>
          <cell r="U25">
            <v>0</v>
          </cell>
          <cell r="V25">
            <v>28693</v>
          </cell>
          <cell r="W25">
            <v>1</v>
          </cell>
          <cell r="X25">
            <v>28693</v>
          </cell>
          <cell r="Y25">
            <v>0</v>
          </cell>
          <cell r="Z25">
            <v>28693</v>
          </cell>
          <cell r="AA25">
            <v>0</v>
          </cell>
          <cell r="AB25">
            <v>28693</v>
          </cell>
          <cell r="AC25">
            <v>0</v>
          </cell>
          <cell r="AD25">
            <v>28693</v>
          </cell>
          <cell r="AE25">
            <v>0</v>
          </cell>
          <cell r="AF25">
            <v>28693</v>
          </cell>
          <cell r="AG25">
            <v>0</v>
          </cell>
          <cell r="AH25">
            <v>28693</v>
          </cell>
          <cell r="AI25">
            <v>0</v>
          </cell>
          <cell r="AJ25">
            <v>28693</v>
          </cell>
          <cell r="AK25">
            <v>0</v>
          </cell>
          <cell r="AL25">
            <v>28693</v>
          </cell>
          <cell r="AM25">
            <v>0</v>
          </cell>
          <cell r="AN25">
            <v>28693</v>
          </cell>
          <cell r="AO25">
            <v>0</v>
          </cell>
          <cell r="AP25">
            <v>28693</v>
          </cell>
          <cell r="AQ25">
            <v>0</v>
          </cell>
          <cell r="AR25">
            <v>28693</v>
          </cell>
          <cell r="AS25">
            <v>0</v>
          </cell>
          <cell r="AT25">
            <v>28693</v>
          </cell>
        </row>
        <row r="26">
          <cell r="G26" t="str">
            <v>10.0.22.54</v>
          </cell>
          <cell r="H26" t="str">
            <v>FRU83453</v>
          </cell>
          <cell r="I26">
            <v>1143190</v>
          </cell>
          <cell r="J26">
            <v>1143207</v>
          </cell>
          <cell r="K26">
            <v>17</v>
          </cell>
          <cell r="L26">
            <v>1143625</v>
          </cell>
          <cell r="M26">
            <v>418</v>
          </cell>
          <cell r="N26">
            <v>1144851</v>
          </cell>
          <cell r="O26">
            <v>1226</v>
          </cell>
          <cell r="P26">
            <v>1145513</v>
          </cell>
          <cell r="Q26">
            <v>662</v>
          </cell>
          <cell r="R26">
            <v>1146585</v>
          </cell>
          <cell r="S26">
            <v>1072</v>
          </cell>
          <cell r="T26">
            <v>1146972</v>
          </cell>
          <cell r="U26">
            <v>387</v>
          </cell>
          <cell r="V26">
            <v>1147011</v>
          </cell>
          <cell r="W26">
            <v>39</v>
          </cell>
          <cell r="X26">
            <v>1147022</v>
          </cell>
          <cell r="Y26">
            <v>11</v>
          </cell>
          <cell r="Z26">
            <v>1147035</v>
          </cell>
          <cell r="AA26">
            <v>13</v>
          </cell>
          <cell r="AB26">
            <v>1147116</v>
          </cell>
          <cell r="AC26">
            <v>81</v>
          </cell>
          <cell r="AD26">
            <v>1147702</v>
          </cell>
          <cell r="AE26">
            <v>586</v>
          </cell>
          <cell r="AF26">
            <v>1148468</v>
          </cell>
          <cell r="AG26">
            <v>766</v>
          </cell>
          <cell r="AH26">
            <v>1148477</v>
          </cell>
          <cell r="AI26">
            <v>9</v>
          </cell>
          <cell r="AJ26">
            <v>1148488</v>
          </cell>
          <cell r="AK26">
            <v>11</v>
          </cell>
          <cell r="AL26">
            <v>1148582</v>
          </cell>
          <cell r="AM26">
            <v>94</v>
          </cell>
          <cell r="AN26">
            <v>1149347</v>
          </cell>
          <cell r="AO26">
            <v>765</v>
          </cell>
          <cell r="AP26">
            <v>1149388</v>
          </cell>
          <cell r="AQ26">
            <v>41</v>
          </cell>
          <cell r="AR26">
            <v>1149404</v>
          </cell>
          <cell r="AS26">
            <v>16</v>
          </cell>
          <cell r="AT26">
            <v>1149428</v>
          </cell>
        </row>
        <row r="27">
          <cell r="G27" t="str">
            <v>10.0.22.206</v>
          </cell>
          <cell r="H27" t="str">
            <v>FRU83459</v>
          </cell>
          <cell r="I27">
            <v>211332</v>
          </cell>
          <cell r="J27">
            <v>211422</v>
          </cell>
          <cell r="K27">
            <v>90</v>
          </cell>
          <cell r="L27">
            <v>211440</v>
          </cell>
          <cell r="M27">
            <v>18</v>
          </cell>
          <cell r="N27">
            <v>211526</v>
          </cell>
          <cell r="O27">
            <v>86</v>
          </cell>
          <cell r="P27">
            <v>211581</v>
          </cell>
          <cell r="Q27">
            <v>55</v>
          </cell>
          <cell r="R27">
            <v>211596</v>
          </cell>
          <cell r="S27">
            <v>15</v>
          </cell>
          <cell r="T27">
            <v>211622</v>
          </cell>
          <cell r="U27">
            <v>26</v>
          </cell>
          <cell r="V27">
            <v>211669</v>
          </cell>
          <cell r="W27">
            <v>47</v>
          </cell>
          <cell r="X27">
            <v>211717</v>
          </cell>
          <cell r="Y27">
            <v>48</v>
          </cell>
          <cell r="Z27">
            <v>211763</v>
          </cell>
          <cell r="AA27">
            <v>46</v>
          </cell>
          <cell r="AB27">
            <v>211835</v>
          </cell>
          <cell r="AC27">
            <v>72</v>
          </cell>
          <cell r="AD27">
            <v>211886</v>
          </cell>
          <cell r="AE27">
            <v>51</v>
          </cell>
          <cell r="AF27">
            <v>211956</v>
          </cell>
          <cell r="AG27">
            <v>70</v>
          </cell>
          <cell r="AH27">
            <v>212004</v>
          </cell>
          <cell r="AI27">
            <v>48</v>
          </cell>
          <cell r="AJ27">
            <v>212083</v>
          </cell>
          <cell r="AK27">
            <v>79</v>
          </cell>
          <cell r="AL27">
            <v>212098</v>
          </cell>
          <cell r="AM27">
            <v>15</v>
          </cell>
          <cell r="AN27">
            <v>212125</v>
          </cell>
          <cell r="AO27">
            <v>27</v>
          </cell>
          <cell r="AP27">
            <v>212168</v>
          </cell>
          <cell r="AQ27">
            <v>43</v>
          </cell>
          <cell r="AR27">
            <v>212335</v>
          </cell>
          <cell r="AS27">
            <v>167</v>
          </cell>
          <cell r="AT27">
            <v>212376</v>
          </cell>
        </row>
        <row r="28">
          <cell r="G28" t="str">
            <v>10.0.23.105</v>
          </cell>
          <cell r="H28" t="str">
            <v>FRU83479</v>
          </cell>
          <cell r="I28">
            <v>649324</v>
          </cell>
          <cell r="J28">
            <v>649439</v>
          </cell>
          <cell r="K28">
            <v>115</v>
          </cell>
          <cell r="L28">
            <v>649486</v>
          </cell>
          <cell r="M28">
            <v>47</v>
          </cell>
          <cell r="N28">
            <v>649550</v>
          </cell>
          <cell r="O28">
            <v>64</v>
          </cell>
          <cell r="P28">
            <v>649577</v>
          </cell>
          <cell r="Q28">
            <v>27</v>
          </cell>
          <cell r="R28">
            <v>649656</v>
          </cell>
          <cell r="S28">
            <v>79</v>
          </cell>
          <cell r="T28">
            <v>649784</v>
          </cell>
          <cell r="U28">
            <v>128</v>
          </cell>
          <cell r="V28">
            <v>649900</v>
          </cell>
          <cell r="W28">
            <v>116</v>
          </cell>
          <cell r="X28">
            <v>649965</v>
          </cell>
          <cell r="Y28">
            <v>65</v>
          </cell>
          <cell r="Z28">
            <v>649981</v>
          </cell>
          <cell r="AA28">
            <v>16</v>
          </cell>
          <cell r="AB28">
            <v>649998</v>
          </cell>
          <cell r="AC28">
            <v>17</v>
          </cell>
          <cell r="AD28">
            <v>650088</v>
          </cell>
          <cell r="AE28">
            <v>90</v>
          </cell>
          <cell r="AF28">
            <v>650131</v>
          </cell>
          <cell r="AG28">
            <v>43</v>
          </cell>
          <cell r="AH28">
            <v>650147</v>
          </cell>
          <cell r="AI28">
            <v>16</v>
          </cell>
          <cell r="AJ28">
            <v>650337</v>
          </cell>
          <cell r="AK28">
            <v>190</v>
          </cell>
          <cell r="AL28">
            <v>650408</v>
          </cell>
          <cell r="AM28">
            <v>71</v>
          </cell>
          <cell r="AN28">
            <v>650506</v>
          </cell>
          <cell r="AO28">
            <v>98</v>
          </cell>
          <cell r="AP28">
            <v>650655</v>
          </cell>
          <cell r="AQ28">
            <v>149</v>
          </cell>
          <cell r="AR28">
            <v>650833</v>
          </cell>
          <cell r="AS28">
            <v>178</v>
          </cell>
          <cell r="AT28">
            <v>650860</v>
          </cell>
        </row>
        <row r="29">
          <cell r="G29" t="str">
            <v>10.0.25.200</v>
          </cell>
          <cell r="H29" t="str">
            <v>FRU82974</v>
          </cell>
          <cell r="I29">
            <v>416503</v>
          </cell>
          <cell r="J29">
            <v>416518</v>
          </cell>
          <cell r="K29">
            <v>15</v>
          </cell>
          <cell r="L29">
            <v>416553</v>
          </cell>
          <cell r="M29">
            <v>35</v>
          </cell>
          <cell r="N29">
            <v>416572</v>
          </cell>
          <cell r="O29">
            <v>19</v>
          </cell>
          <cell r="P29">
            <v>416587</v>
          </cell>
          <cell r="Q29">
            <v>15</v>
          </cell>
          <cell r="R29">
            <v>416591</v>
          </cell>
          <cell r="S29">
            <v>4</v>
          </cell>
          <cell r="T29">
            <v>416598</v>
          </cell>
          <cell r="U29">
            <v>7</v>
          </cell>
          <cell r="V29">
            <v>416626</v>
          </cell>
          <cell r="W29">
            <v>28</v>
          </cell>
          <cell r="X29">
            <v>416637</v>
          </cell>
          <cell r="Y29">
            <v>11</v>
          </cell>
          <cell r="Z29">
            <v>416641</v>
          </cell>
          <cell r="AA29">
            <v>4</v>
          </cell>
          <cell r="AB29">
            <v>416653</v>
          </cell>
          <cell r="AC29">
            <v>12</v>
          </cell>
          <cell r="AD29">
            <v>416699</v>
          </cell>
          <cell r="AE29">
            <v>46</v>
          </cell>
          <cell r="AF29">
            <v>416750</v>
          </cell>
          <cell r="AG29">
            <v>51</v>
          </cell>
          <cell r="AH29">
            <v>416805</v>
          </cell>
          <cell r="AI29">
            <v>55</v>
          </cell>
          <cell r="AJ29">
            <v>416830</v>
          </cell>
          <cell r="AK29">
            <v>25</v>
          </cell>
          <cell r="AL29">
            <v>416836</v>
          </cell>
          <cell r="AM29">
            <v>6</v>
          </cell>
          <cell r="AN29">
            <v>416872</v>
          </cell>
          <cell r="AO29">
            <v>36</v>
          </cell>
          <cell r="AP29">
            <v>416872</v>
          </cell>
          <cell r="AQ29">
            <v>0</v>
          </cell>
          <cell r="AR29">
            <v>416881</v>
          </cell>
          <cell r="AS29">
            <v>9</v>
          </cell>
          <cell r="AT29">
            <v>416932</v>
          </cell>
        </row>
        <row r="30">
          <cell r="G30" t="str">
            <v>10.0.25.201</v>
          </cell>
          <cell r="H30" t="str">
            <v>FRU82971</v>
          </cell>
          <cell r="I30">
            <v>298790</v>
          </cell>
          <cell r="J30">
            <v>298792</v>
          </cell>
          <cell r="K30">
            <v>2</v>
          </cell>
          <cell r="L30">
            <v>298799</v>
          </cell>
          <cell r="M30">
            <v>7</v>
          </cell>
          <cell r="N30">
            <v>298820</v>
          </cell>
          <cell r="O30">
            <v>21</v>
          </cell>
          <cell r="P30">
            <v>298844</v>
          </cell>
          <cell r="Q30">
            <v>24</v>
          </cell>
          <cell r="R30">
            <v>298869</v>
          </cell>
          <cell r="S30">
            <v>25</v>
          </cell>
          <cell r="T30">
            <v>298881</v>
          </cell>
          <cell r="U30">
            <v>12</v>
          </cell>
          <cell r="V30">
            <v>298929</v>
          </cell>
          <cell r="W30">
            <v>48</v>
          </cell>
          <cell r="X30">
            <v>298936</v>
          </cell>
          <cell r="Y30">
            <v>7</v>
          </cell>
          <cell r="Z30">
            <v>298947</v>
          </cell>
          <cell r="AA30">
            <v>11</v>
          </cell>
          <cell r="AB30">
            <v>298952</v>
          </cell>
          <cell r="AC30">
            <v>5</v>
          </cell>
          <cell r="AD30">
            <v>298962</v>
          </cell>
          <cell r="AE30">
            <v>10</v>
          </cell>
          <cell r="AF30">
            <v>298973</v>
          </cell>
          <cell r="AG30">
            <v>11</v>
          </cell>
          <cell r="AH30">
            <v>298981</v>
          </cell>
          <cell r="AI30">
            <v>8</v>
          </cell>
          <cell r="AJ30">
            <v>298999</v>
          </cell>
          <cell r="AK30">
            <v>18</v>
          </cell>
          <cell r="AL30">
            <v>299018</v>
          </cell>
          <cell r="AM30">
            <v>19</v>
          </cell>
          <cell r="AN30">
            <v>299036</v>
          </cell>
          <cell r="AO30">
            <v>18</v>
          </cell>
          <cell r="AP30">
            <v>299055</v>
          </cell>
          <cell r="AQ30">
            <v>19</v>
          </cell>
          <cell r="AR30">
            <v>299068</v>
          </cell>
          <cell r="AS30">
            <v>13</v>
          </cell>
          <cell r="AT30">
            <v>299093</v>
          </cell>
        </row>
        <row r="31">
          <cell r="G31" t="str">
            <v>10.0.25.202</v>
          </cell>
          <cell r="H31" t="str">
            <v>FRU83465</v>
          </cell>
          <cell r="I31">
            <v>444132</v>
          </cell>
          <cell r="J31">
            <v>444263</v>
          </cell>
          <cell r="K31">
            <v>131</v>
          </cell>
          <cell r="L31">
            <v>444540</v>
          </cell>
          <cell r="M31">
            <v>277</v>
          </cell>
          <cell r="N31">
            <v>444582</v>
          </cell>
          <cell r="O31">
            <v>42</v>
          </cell>
          <cell r="P31">
            <v>444599</v>
          </cell>
          <cell r="Q31">
            <v>17</v>
          </cell>
          <cell r="R31">
            <v>444618</v>
          </cell>
          <cell r="S31">
            <v>19</v>
          </cell>
          <cell r="T31">
            <v>444739</v>
          </cell>
          <cell r="U31">
            <v>121</v>
          </cell>
          <cell r="V31">
            <v>444782</v>
          </cell>
          <cell r="W31">
            <v>43</v>
          </cell>
          <cell r="X31">
            <v>444812</v>
          </cell>
          <cell r="Y31">
            <v>30</v>
          </cell>
          <cell r="Z31">
            <v>444825</v>
          </cell>
          <cell r="AA31">
            <v>13</v>
          </cell>
          <cell r="AB31">
            <v>444909</v>
          </cell>
          <cell r="AC31">
            <v>84</v>
          </cell>
          <cell r="AD31">
            <v>445021</v>
          </cell>
          <cell r="AE31">
            <v>112</v>
          </cell>
          <cell r="AF31">
            <v>445098</v>
          </cell>
          <cell r="AG31">
            <v>77</v>
          </cell>
          <cell r="AH31">
            <v>445232</v>
          </cell>
          <cell r="AI31">
            <v>134</v>
          </cell>
          <cell r="AJ31">
            <v>445341</v>
          </cell>
          <cell r="AK31">
            <v>109</v>
          </cell>
          <cell r="AL31">
            <v>445345</v>
          </cell>
          <cell r="AM31">
            <v>4</v>
          </cell>
          <cell r="AN31">
            <v>445411</v>
          </cell>
          <cell r="AO31">
            <v>66</v>
          </cell>
          <cell r="AP31">
            <v>445541</v>
          </cell>
          <cell r="AQ31">
            <v>130</v>
          </cell>
          <cell r="AR31">
            <v>445677</v>
          </cell>
          <cell r="AS31">
            <v>136</v>
          </cell>
          <cell r="AT31">
            <v>445692</v>
          </cell>
        </row>
        <row r="32">
          <cell r="G32" t="str">
            <v>10.0.27.208</v>
          </cell>
          <cell r="H32" t="str">
            <v>HRN00901</v>
          </cell>
          <cell r="I32">
            <v>1140516</v>
          </cell>
          <cell r="J32">
            <v>1140651</v>
          </cell>
          <cell r="K32">
            <v>135</v>
          </cell>
          <cell r="L32">
            <v>1140834</v>
          </cell>
          <cell r="M32">
            <v>183</v>
          </cell>
          <cell r="N32">
            <v>1141094</v>
          </cell>
          <cell r="O32">
            <v>260</v>
          </cell>
          <cell r="P32">
            <v>1141413</v>
          </cell>
          <cell r="Q32">
            <v>319</v>
          </cell>
          <cell r="R32">
            <v>1141740</v>
          </cell>
          <cell r="S32">
            <v>327</v>
          </cell>
          <cell r="T32">
            <v>1142001</v>
          </cell>
          <cell r="U32">
            <v>261</v>
          </cell>
          <cell r="V32">
            <v>1142147</v>
          </cell>
          <cell r="W32">
            <v>146</v>
          </cell>
          <cell r="X32">
            <v>1142218</v>
          </cell>
          <cell r="Y32">
            <v>71</v>
          </cell>
          <cell r="Z32">
            <v>1142638</v>
          </cell>
          <cell r="AA32">
            <v>420</v>
          </cell>
          <cell r="AB32">
            <v>1142977</v>
          </cell>
          <cell r="AC32">
            <v>339</v>
          </cell>
          <cell r="AD32">
            <v>1143221</v>
          </cell>
          <cell r="AE32">
            <v>244</v>
          </cell>
          <cell r="AF32">
            <v>1143463</v>
          </cell>
          <cell r="AG32">
            <v>242</v>
          </cell>
          <cell r="AH32">
            <v>1143630</v>
          </cell>
          <cell r="AI32">
            <v>167</v>
          </cell>
          <cell r="AJ32">
            <v>1143711</v>
          </cell>
          <cell r="AK32">
            <v>81</v>
          </cell>
          <cell r="AL32">
            <v>1143880</v>
          </cell>
          <cell r="AM32">
            <v>169</v>
          </cell>
          <cell r="AN32">
            <v>1144064</v>
          </cell>
          <cell r="AO32">
            <v>184</v>
          </cell>
          <cell r="AP32">
            <v>1144174</v>
          </cell>
          <cell r="AQ32">
            <v>110</v>
          </cell>
          <cell r="AR32">
            <v>1144336</v>
          </cell>
          <cell r="AS32">
            <v>162</v>
          </cell>
          <cell r="AT32">
            <v>1144416</v>
          </cell>
        </row>
        <row r="33">
          <cell r="G33" t="str">
            <v>10.0.27.42</v>
          </cell>
          <cell r="H33" t="str">
            <v>DRL64105</v>
          </cell>
          <cell r="I33">
            <v>133578</v>
          </cell>
          <cell r="J33">
            <v>133578</v>
          </cell>
          <cell r="K33">
            <v>0</v>
          </cell>
          <cell r="L33">
            <v>133578</v>
          </cell>
          <cell r="M33">
            <v>0</v>
          </cell>
          <cell r="N33">
            <v>133578</v>
          </cell>
          <cell r="O33">
            <v>0</v>
          </cell>
          <cell r="P33">
            <v>133578</v>
          </cell>
          <cell r="Q33">
            <v>0</v>
          </cell>
          <cell r="R33">
            <v>133578</v>
          </cell>
          <cell r="S33">
            <v>0</v>
          </cell>
          <cell r="T33">
            <v>133578</v>
          </cell>
          <cell r="U33">
            <v>0</v>
          </cell>
          <cell r="V33">
            <v>133578</v>
          </cell>
          <cell r="W33">
            <v>0</v>
          </cell>
          <cell r="X33">
            <v>133578</v>
          </cell>
          <cell r="Y33">
            <v>0</v>
          </cell>
          <cell r="Z33">
            <v>133578</v>
          </cell>
          <cell r="AA33">
            <v>0</v>
          </cell>
          <cell r="AB33">
            <v>133578</v>
          </cell>
          <cell r="AC33">
            <v>0</v>
          </cell>
          <cell r="AD33">
            <v>133578</v>
          </cell>
          <cell r="AE33">
            <v>0</v>
          </cell>
          <cell r="AF33">
            <v>133578</v>
          </cell>
          <cell r="AG33">
            <v>0</v>
          </cell>
          <cell r="AH33">
            <v>133578</v>
          </cell>
          <cell r="AI33">
            <v>0</v>
          </cell>
          <cell r="AJ33">
            <v>133578</v>
          </cell>
          <cell r="AK33">
            <v>0</v>
          </cell>
          <cell r="AL33">
            <v>133578</v>
          </cell>
          <cell r="AM33">
            <v>0</v>
          </cell>
          <cell r="AN33">
            <v>133578</v>
          </cell>
          <cell r="AO33">
            <v>0</v>
          </cell>
          <cell r="AP33">
            <v>133578</v>
          </cell>
          <cell r="AQ33">
            <v>0</v>
          </cell>
          <cell r="AR33">
            <v>133578</v>
          </cell>
          <cell r="AS33">
            <v>0</v>
          </cell>
          <cell r="AT33">
            <v>133578</v>
          </cell>
        </row>
        <row r="34">
          <cell r="G34" t="str">
            <v>10.0.27.53</v>
          </cell>
          <cell r="H34" t="str">
            <v>DRL61549</v>
          </cell>
          <cell r="I34">
            <v>109887</v>
          </cell>
          <cell r="J34">
            <v>109889</v>
          </cell>
          <cell r="K34">
            <v>2</v>
          </cell>
          <cell r="L34">
            <v>109927</v>
          </cell>
          <cell r="M34">
            <v>38</v>
          </cell>
          <cell r="N34">
            <v>109950</v>
          </cell>
          <cell r="O34">
            <v>23</v>
          </cell>
          <cell r="P34">
            <v>109963</v>
          </cell>
          <cell r="Q34">
            <v>13</v>
          </cell>
          <cell r="R34">
            <v>109963</v>
          </cell>
          <cell r="S34">
            <v>0</v>
          </cell>
          <cell r="T34">
            <v>110018</v>
          </cell>
          <cell r="U34">
            <v>55</v>
          </cell>
          <cell r="V34">
            <v>110123</v>
          </cell>
          <cell r="W34">
            <v>105</v>
          </cell>
          <cell r="X34">
            <v>110192</v>
          </cell>
          <cell r="Y34">
            <v>69</v>
          </cell>
          <cell r="Z34">
            <v>110243</v>
          </cell>
          <cell r="AA34">
            <v>51</v>
          </cell>
          <cell r="AB34">
            <v>110308</v>
          </cell>
          <cell r="AC34">
            <v>65</v>
          </cell>
          <cell r="AD34">
            <v>110308</v>
          </cell>
          <cell r="AE34">
            <v>0</v>
          </cell>
          <cell r="AF34">
            <v>110310</v>
          </cell>
          <cell r="AG34">
            <v>2</v>
          </cell>
          <cell r="AH34">
            <v>110310</v>
          </cell>
          <cell r="AI34">
            <v>0</v>
          </cell>
          <cell r="AJ34">
            <v>110311</v>
          </cell>
          <cell r="AK34">
            <v>1</v>
          </cell>
          <cell r="AL34">
            <v>110311</v>
          </cell>
          <cell r="AM34">
            <v>0</v>
          </cell>
          <cell r="AN34">
            <v>110327</v>
          </cell>
          <cell r="AO34">
            <v>16</v>
          </cell>
          <cell r="AP34">
            <v>110327</v>
          </cell>
          <cell r="AQ34">
            <v>0</v>
          </cell>
          <cell r="AR34">
            <v>110327</v>
          </cell>
          <cell r="AS34">
            <v>0</v>
          </cell>
          <cell r="AT34">
            <v>110331</v>
          </cell>
        </row>
        <row r="35">
          <cell r="G35" t="str">
            <v>10.0.26.200</v>
          </cell>
          <cell r="H35" t="str">
            <v>FRU82387</v>
          </cell>
          <cell r="I35">
            <v>919837</v>
          </cell>
          <cell r="J35">
            <v>920461</v>
          </cell>
          <cell r="K35">
            <v>624</v>
          </cell>
          <cell r="L35">
            <v>920770</v>
          </cell>
          <cell r="M35">
            <v>309</v>
          </cell>
          <cell r="N35">
            <v>921282</v>
          </cell>
          <cell r="O35">
            <v>512</v>
          </cell>
          <cell r="P35">
            <v>921768</v>
          </cell>
          <cell r="Q35">
            <v>486</v>
          </cell>
          <cell r="R35">
            <v>922147</v>
          </cell>
          <cell r="S35">
            <v>379</v>
          </cell>
          <cell r="T35">
            <v>922862</v>
          </cell>
          <cell r="U35">
            <v>715</v>
          </cell>
          <cell r="V35">
            <v>923492</v>
          </cell>
          <cell r="W35">
            <v>630</v>
          </cell>
          <cell r="X35">
            <v>923867</v>
          </cell>
          <cell r="Y35">
            <v>375</v>
          </cell>
          <cell r="Z35">
            <v>924305</v>
          </cell>
          <cell r="AA35">
            <v>438</v>
          </cell>
          <cell r="AB35">
            <v>924590</v>
          </cell>
          <cell r="AC35">
            <v>285</v>
          </cell>
          <cell r="AD35">
            <v>924977</v>
          </cell>
          <cell r="AE35">
            <v>387</v>
          </cell>
          <cell r="AF35">
            <v>925497</v>
          </cell>
          <cell r="AG35">
            <v>520</v>
          </cell>
          <cell r="AH35">
            <v>925879</v>
          </cell>
          <cell r="AI35">
            <v>382</v>
          </cell>
          <cell r="AJ35">
            <v>926210</v>
          </cell>
          <cell r="AK35">
            <v>331</v>
          </cell>
          <cell r="AL35">
            <v>926694</v>
          </cell>
          <cell r="AM35">
            <v>484</v>
          </cell>
          <cell r="AN35">
            <v>927290</v>
          </cell>
          <cell r="AO35">
            <v>596</v>
          </cell>
          <cell r="AP35">
            <v>927692</v>
          </cell>
          <cell r="AQ35">
            <v>402</v>
          </cell>
          <cell r="AR35">
            <v>928073</v>
          </cell>
          <cell r="AS35">
            <v>381</v>
          </cell>
          <cell r="AT35">
            <v>928480</v>
          </cell>
        </row>
        <row r="36">
          <cell r="G36" t="str">
            <v>10.0.28.79</v>
          </cell>
          <cell r="H36" t="str">
            <v>HRN00661</v>
          </cell>
          <cell r="I36">
            <v>966882</v>
          </cell>
          <cell r="J36">
            <v>968412</v>
          </cell>
          <cell r="K36">
            <v>1530</v>
          </cell>
          <cell r="L36">
            <v>968910</v>
          </cell>
          <cell r="M36">
            <v>498</v>
          </cell>
          <cell r="N36">
            <v>970053</v>
          </cell>
          <cell r="O36">
            <v>1143</v>
          </cell>
          <cell r="P36">
            <v>971618</v>
          </cell>
          <cell r="Q36">
            <v>1565</v>
          </cell>
          <cell r="R36">
            <v>972393</v>
          </cell>
          <cell r="S36">
            <v>775</v>
          </cell>
          <cell r="T36">
            <v>973614</v>
          </cell>
          <cell r="U36">
            <v>1221</v>
          </cell>
          <cell r="V36">
            <v>974689</v>
          </cell>
          <cell r="W36">
            <v>1075</v>
          </cell>
          <cell r="X36">
            <v>975483</v>
          </cell>
          <cell r="Y36">
            <v>794</v>
          </cell>
          <cell r="Z36">
            <v>976831</v>
          </cell>
          <cell r="AA36">
            <v>1348</v>
          </cell>
          <cell r="AB36">
            <v>978103</v>
          </cell>
          <cell r="AC36">
            <v>1272</v>
          </cell>
          <cell r="AD36">
            <v>979458</v>
          </cell>
          <cell r="AE36">
            <v>1355</v>
          </cell>
          <cell r="AF36">
            <v>981521</v>
          </cell>
          <cell r="AG36">
            <v>2063</v>
          </cell>
          <cell r="AH36">
            <v>982693</v>
          </cell>
          <cell r="AI36">
            <v>1172</v>
          </cell>
          <cell r="AJ36">
            <v>983407</v>
          </cell>
          <cell r="AK36">
            <v>714</v>
          </cell>
          <cell r="AL36">
            <v>984668</v>
          </cell>
          <cell r="AM36">
            <v>1261</v>
          </cell>
          <cell r="AN36">
            <v>985470</v>
          </cell>
          <cell r="AO36">
            <v>802</v>
          </cell>
          <cell r="AP36">
            <v>987077</v>
          </cell>
          <cell r="AQ36">
            <v>1607</v>
          </cell>
          <cell r="AR36">
            <v>988539</v>
          </cell>
          <cell r="AS36">
            <v>1462</v>
          </cell>
          <cell r="AT36">
            <v>989942</v>
          </cell>
        </row>
        <row r="37">
          <cell r="G37" t="str">
            <v>10.0.28.200</v>
          </cell>
          <cell r="H37" t="str">
            <v>FRU83472</v>
          </cell>
          <cell r="I37">
            <v>1149002</v>
          </cell>
          <cell r="J37">
            <v>1149086</v>
          </cell>
          <cell r="K37">
            <v>84</v>
          </cell>
          <cell r="L37">
            <v>1149175</v>
          </cell>
          <cell r="M37">
            <v>89</v>
          </cell>
          <cell r="N37">
            <v>1149351</v>
          </cell>
          <cell r="O37">
            <v>176</v>
          </cell>
          <cell r="P37">
            <v>1149489</v>
          </cell>
          <cell r="Q37">
            <v>138</v>
          </cell>
          <cell r="R37">
            <v>1149573</v>
          </cell>
          <cell r="S37">
            <v>84</v>
          </cell>
          <cell r="T37">
            <v>1149627</v>
          </cell>
          <cell r="U37">
            <v>54</v>
          </cell>
          <cell r="V37">
            <v>1149782</v>
          </cell>
          <cell r="W37">
            <v>155</v>
          </cell>
          <cell r="X37">
            <v>1149803</v>
          </cell>
          <cell r="Y37">
            <v>21</v>
          </cell>
          <cell r="Z37">
            <v>1149885</v>
          </cell>
          <cell r="AA37">
            <v>82</v>
          </cell>
          <cell r="AB37">
            <v>1150059</v>
          </cell>
          <cell r="AC37">
            <v>174</v>
          </cell>
          <cell r="AD37">
            <v>1150145</v>
          </cell>
          <cell r="AE37">
            <v>86</v>
          </cell>
          <cell r="AF37">
            <v>1150210</v>
          </cell>
          <cell r="AG37">
            <v>65</v>
          </cell>
          <cell r="AH37">
            <v>1150245</v>
          </cell>
          <cell r="AI37">
            <v>35</v>
          </cell>
          <cell r="AJ37">
            <v>1150333</v>
          </cell>
          <cell r="AK37">
            <v>88</v>
          </cell>
          <cell r="AL37">
            <v>1150419</v>
          </cell>
          <cell r="AM37">
            <v>86</v>
          </cell>
          <cell r="AN37">
            <v>1150456</v>
          </cell>
          <cell r="AO37">
            <v>37</v>
          </cell>
          <cell r="AP37">
            <v>1150501</v>
          </cell>
          <cell r="AQ37">
            <v>45</v>
          </cell>
          <cell r="AR37">
            <v>1150616</v>
          </cell>
          <cell r="AS37">
            <v>115</v>
          </cell>
          <cell r="AT37">
            <v>1150672</v>
          </cell>
        </row>
        <row r="38">
          <cell r="G38" t="str">
            <v>10.0.29.200</v>
          </cell>
          <cell r="H38" t="str">
            <v>FRU83047</v>
          </cell>
          <cell r="I38">
            <v>1100568</v>
          </cell>
          <cell r="J38">
            <v>1100923</v>
          </cell>
          <cell r="K38">
            <v>355</v>
          </cell>
          <cell r="L38">
            <v>1101432</v>
          </cell>
          <cell r="M38">
            <v>509</v>
          </cell>
          <cell r="N38">
            <v>1101841</v>
          </cell>
          <cell r="O38">
            <v>409</v>
          </cell>
          <cell r="P38">
            <v>1102141</v>
          </cell>
          <cell r="Q38">
            <v>300</v>
          </cell>
          <cell r="R38">
            <v>1102949</v>
          </cell>
          <cell r="S38">
            <v>808</v>
          </cell>
          <cell r="T38">
            <v>1103369</v>
          </cell>
          <cell r="U38">
            <v>420</v>
          </cell>
          <cell r="V38">
            <v>1103823</v>
          </cell>
          <cell r="W38">
            <v>454</v>
          </cell>
          <cell r="X38">
            <v>1104060</v>
          </cell>
          <cell r="Y38">
            <v>237</v>
          </cell>
          <cell r="Z38">
            <v>1104301</v>
          </cell>
          <cell r="AA38">
            <v>241</v>
          </cell>
          <cell r="AB38">
            <v>1104605</v>
          </cell>
          <cell r="AC38">
            <v>304</v>
          </cell>
          <cell r="AD38">
            <v>1105206</v>
          </cell>
          <cell r="AE38">
            <v>601</v>
          </cell>
          <cell r="AF38">
            <v>1105754</v>
          </cell>
          <cell r="AG38">
            <v>548</v>
          </cell>
          <cell r="AH38">
            <v>1106696</v>
          </cell>
          <cell r="AI38">
            <v>942</v>
          </cell>
          <cell r="AJ38">
            <v>1106973</v>
          </cell>
          <cell r="AK38">
            <v>277</v>
          </cell>
          <cell r="AL38">
            <v>1107207</v>
          </cell>
          <cell r="AM38">
            <v>234</v>
          </cell>
          <cell r="AN38">
            <v>1107782</v>
          </cell>
          <cell r="AO38">
            <v>575</v>
          </cell>
          <cell r="AP38">
            <v>1108153</v>
          </cell>
          <cell r="AQ38">
            <v>371</v>
          </cell>
          <cell r="AR38">
            <v>1108990</v>
          </cell>
          <cell r="AS38">
            <v>837</v>
          </cell>
          <cell r="AT38">
            <v>1109190</v>
          </cell>
        </row>
        <row r="39">
          <cell r="G39" t="str">
            <v>10.0.29.201</v>
          </cell>
          <cell r="H39" t="str">
            <v>FRU82997</v>
          </cell>
          <cell r="I39">
            <v>197202</v>
          </cell>
          <cell r="J39">
            <v>197214</v>
          </cell>
          <cell r="K39">
            <v>12</v>
          </cell>
          <cell r="L39">
            <v>197233</v>
          </cell>
          <cell r="M39">
            <v>19</v>
          </cell>
          <cell r="N39">
            <v>197275</v>
          </cell>
          <cell r="O39">
            <v>42</v>
          </cell>
          <cell r="P39">
            <v>197340</v>
          </cell>
          <cell r="Q39">
            <v>65</v>
          </cell>
          <cell r="R39">
            <v>197354</v>
          </cell>
          <cell r="S39">
            <v>14</v>
          </cell>
          <cell r="T39">
            <v>197555</v>
          </cell>
          <cell r="U39">
            <v>201</v>
          </cell>
          <cell r="V39">
            <v>197741</v>
          </cell>
          <cell r="W39">
            <v>186</v>
          </cell>
          <cell r="X39">
            <v>197800</v>
          </cell>
          <cell r="Y39">
            <v>59</v>
          </cell>
          <cell r="Z39">
            <v>197856</v>
          </cell>
          <cell r="AA39">
            <v>56</v>
          </cell>
          <cell r="AB39">
            <v>197954</v>
          </cell>
          <cell r="AC39">
            <v>98</v>
          </cell>
          <cell r="AD39">
            <v>198012</v>
          </cell>
          <cell r="AE39">
            <v>58</v>
          </cell>
          <cell r="AF39">
            <v>198099</v>
          </cell>
          <cell r="AG39">
            <v>87</v>
          </cell>
          <cell r="AH39">
            <v>198366</v>
          </cell>
          <cell r="AI39">
            <v>267</v>
          </cell>
          <cell r="AJ39">
            <v>198577</v>
          </cell>
          <cell r="AK39">
            <v>211</v>
          </cell>
          <cell r="AL39">
            <v>198881</v>
          </cell>
          <cell r="AM39">
            <v>304</v>
          </cell>
          <cell r="AN39">
            <v>198985</v>
          </cell>
          <cell r="AO39">
            <v>104</v>
          </cell>
          <cell r="AP39">
            <v>199053</v>
          </cell>
          <cell r="AQ39">
            <v>68</v>
          </cell>
          <cell r="AR39">
            <v>199118</v>
          </cell>
          <cell r="AS39">
            <v>65</v>
          </cell>
          <cell r="AT39">
            <v>199152</v>
          </cell>
        </row>
        <row r="40">
          <cell r="G40" t="str">
            <v>10.0.29.203</v>
          </cell>
          <cell r="H40" t="str">
            <v>HRN01672</v>
          </cell>
          <cell r="I40">
            <v>1700502</v>
          </cell>
          <cell r="J40">
            <v>1700502</v>
          </cell>
          <cell r="K40">
            <v>0</v>
          </cell>
          <cell r="L40">
            <v>1700502</v>
          </cell>
          <cell r="M40">
            <v>0</v>
          </cell>
          <cell r="N40">
            <v>1700502</v>
          </cell>
          <cell r="O40">
            <v>0</v>
          </cell>
          <cell r="P40">
            <v>1700502</v>
          </cell>
          <cell r="Q40">
            <v>0</v>
          </cell>
          <cell r="R40">
            <v>1700502</v>
          </cell>
          <cell r="S40">
            <v>0</v>
          </cell>
          <cell r="T40">
            <v>1700502</v>
          </cell>
          <cell r="U40">
            <v>0</v>
          </cell>
          <cell r="V40">
            <v>1700502</v>
          </cell>
          <cell r="W40">
            <v>0</v>
          </cell>
          <cell r="X40">
            <v>1700502</v>
          </cell>
          <cell r="Y40">
            <v>0</v>
          </cell>
          <cell r="Z40">
            <v>1700502</v>
          </cell>
          <cell r="AA40">
            <v>0</v>
          </cell>
          <cell r="AB40">
            <v>1700502</v>
          </cell>
          <cell r="AC40">
            <v>0</v>
          </cell>
          <cell r="AD40">
            <v>1700502</v>
          </cell>
          <cell r="AE40">
            <v>0</v>
          </cell>
          <cell r="AF40">
            <v>1700502</v>
          </cell>
          <cell r="AG40">
            <v>0</v>
          </cell>
          <cell r="AH40">
            <v>1700502</v>
          </cell>
          <cell r="AI40">
            <v>0</v>
          </cell>
          <cell r="AJ40">
            <v>1700502</v>
          </cell>
          <cell r="AK40">
            <v>0</v>
          </cell>
          <cell r="AL40">
            <v>1700502</v>
          </cell>
          <cell r="AM40">
            <v>0</v>
          </cell>
          <cell r="AN40">
            <v>1700502</v>
          </cell>
          <cell r="AO40">
            <v>0</v>
          </cell>
          <cell r="AP40">
            <v>1700502</v>
          </cell>
          <cell r="AQ40">
            <v>0</v>
          </cell>
          <cell r="AR40">
            <v>1700502</v>
          </cell>
          <cell r="AS40">
            <v>0</v>
          </cell>
          <cell r="AT40">
            <v>1700502</v>
          </cell>
        </row>
        <row r="41">
          <cell r="G41" t="str">
            <v>10.0.29.204</v>
          </cell>
          <cell r="H41" t="str">
            <v>FRU83477</v>
          </cell>
          <cell r="I41">
            <v>439730</v>
          </cell>
          <cell r="J41">
            <v>439807</v>
          </cell>
          <cell r="K41">
            <v>77</v>
          </cell>
          <cell r="L41">
            <v>439909</v>
          </cell>
          <cell r="M41">
            <v>102</v>
          </cell>
          <cell r="N41">
            <v>439957</v>
          </cell>
          <cell r="O41">
            <v>48</v>
          </cell>
          <cell r="P41">
            <v>440089</v>
          </cell>
          <cell r="Q41">
            <v>132</v>
          </cell>
          <cell r="R41">
            <v>440126</v>
          </cell>
          <cell r="S41">
            <v>37</v>
          </cell>
          <cell r="T41">
            <v>440149</v>
          </cell>
          <cell r="U41">
            <v>23</v>
          </cell>
          <cell r="V41">
            <v>440157</v>
          </cell>
          <cell r="W41">
            <v>8</v>
          </cell>
          <cell r="X41">
            <v>440170</v>
          </cell>
          <cell r="Y41">
            <v>13</v>
          </cell>
          <cell r="Z41">
            <v>440229</v>
          </cell>
          <cell r="AA41">
            <v>59</v>
          </cell>
          <cell r="AB41">
            <v>440242</v>
          </cell>
          <cell r="AC41">
            <v>13</v>
          </cell>
          <cell r="AD41">
            <v>440263</v>
          </cell>
          <cell r="AE41">
            <v>21</v>
          </cell>
          <cell r="AF41">
            <v>440289</v>
          </cell>
          <cell r="AG41">
            <v>26</v>
          </cell>
          <cell r="AH41">
            <v>440292</v>
          </cell>
          <cell r="AI41">
            <v>3</v>
          </cell>
          <cell r="AJ41">
            <v>440345</v>
          </cell>
          <cell r="AK41">
            <v>53</v>
          </cell>
          <cell r="AL41">
            <v>440349</v>
          </cell>
          <cell r="AM41">
            <v>4</v>
          </cell>
          <cell r="AN41">
            <v>440357</v>
          </cell>
          <cell r="AO41">
            <v>8</v>
          </cell>
          <cell r="AP41">
            <v>440404</v>
          </cell>
          <cell r="AQ41">
            <v>47</v>
          </cell>
          <cell r="AR41">
            <v>440547</v>
          </cell>
          <cell r="AS41">
            <v>143</v>
          </cell>
          <cell r="AT41">
            <v>440578</v>
          </cell>
        </row>
        <row r="42">
          <cell r="G42" t="str">
            <v>10.0.29.202</v>
          </cell>
          <cell r="H42" t="str">
            <v>FRU84150</v>
          </cell>
          <cell r="I42">
            <v>753817</v>
          </cell>
          <cell r="J42">
            <v>753885</v>
          </cell>
          <cell r="K42">
            <v>68</v>
          </cell>
          <cell r="L42">
            <v>754067</v>
          </cell>
          <cell r="M42">
            <v>182</v>
          </cell>
          <cell r="N42">
            <v>754289</v>
          </cell>
          <cell r="O42">
            <v>222</v>
          </cell>
          <cell r="P42">
            <v>754434</v>
          </cell>
          <cell r="Q42">
            <v>145</v>
          </cell>
          <cell r="R42">
            <v>754538</v>
          </cell>
          <cell r="S42">
            <v>104</v>
          </cell>
          <cell r="T42">
            <v>754707</v>
          </cell>
          <cell r="U42">
            <v>169</v>
          </cell>
          <cell r="V42">
            <v>754838</v>
          </cell>
          <cell r="W42">
            <v>131</v>
          </cell>
          <cell r="X42">
            <v>755086</v>
          </cell>
          <cell r="Y42">
            <v>248</v>
          </cell>
          <cell r="Z42">
            <v>755245</v>
          </cell>
          <cell r="AA42">
            <v>159</v>
          </cell>
          <cell r="AB42">
            <v>755285</v>
          </cell>
          <cell r="AC42">
            <v>40</v>
          </cell>
          <cell r="AD42">
            <v>755546</v>
          </cell>
          <cell r="AE42">
            <v>261</v>
          </cell>
          <cell r="AF42">
            <v>755637</v>
          </cell>
          <cell r="AG42">
            <v>91</v>
          </cell>
          <cell r="AH42">
            <v>755905</v>
          </cell>
          <cell r="AI42">
            <v>268</v>
          </cell>
          <cell r="AJ42">
            <v>756001</v>
          </cell>
          <cell r="AK42">
            <v>96</v>
          </cell>
          <cell r="AL42">
            <v>756038</v>
          </cell>
          <cell r="AM42">
            <v>37</v>
          </cell>
          <cell r="AN42">
            <v>756190</v>
          </cell>
          <cell r="AO42">
            <v>152</v>
          </cell>
          <cell r="AP42">
            <v>756311</v>
          </cell>
          <cell r="AQ42">
            <v>121</v>
          </cell>
          <cell r="AR42">
            <v>756414</v>
          </cell>
          <cell r="AS42">
            <v>103</v>
          </cell>
          <cell r="AT42">
            <v>756544</v>
          </cell>
        </row>
        <row r="43">
          <cell r="G43" t="str">
            <v>10.0.29.132</v>
          </cell>
          <cell r="H43" t="str">
            <v>DRL64146</v>
          </cell>
          <cell r="I43">
            <v>9983</v>
          </cell>
          <cell r="J43">
            <v>9983</v>
          </cell>
          <cell r="K43">
            <v>0</v>
          </cell>
          <cell r="L43">
            <v>9983</v>
          </cell>
          <cell r="M43">
            <v>0</v>
          </cell>
          <cell r="N43">
            <v>9983</v>
          </cell>
          <cell r="O43">
            <v>0</v>
          </cell>
          <cell r="P43">
            <v>9983</v>
          </cell>
          <cell r="Q43">
            <v>0</v>
          </cell>
          <cell r="R43">
            <v>9983</v>
          </cell>
          <cell r="S43">
            <v>0</v>
          </cell>
          <cell r="T43">
            <v>9983</v>
          </cell>
          <cell r="U43">
            <v>0</v>
          </cell>
          <cell r="V43">
            <v>9983</v>
          </cell>
          <cell r="W43">
            <v>0</v>
          </cell>
          <cell r="X43">
            <v>9983</v>
          </cell>
          <cell r="Y43">
            <v>0</v>
          </cell>
          <cell r="Z43">
            <v>9983</v>
          </cell>
          <cell r="AA43">
            <v>0</v>
          </cell>
          <cell r="AB43">
            <v>9983</v>
          </cell>
          <cell r="AC43">
            <v>0</v>
          </cell>
          <cell r="AD43">
            <v>9983</v>
          </cell>
          <cell r="AE43">
            <v>0</v>
          </cell>
          <cell r="AF43">
            <v>9983</v>
          </cell>
          <cell r="AG43">
            <v>0</v>
          </cell>
          <cell r="AH43">
            <v>9983</v>
          </cell>
          <cell r="AI43">
            <v>0</v>
          </cell>
          <cell r="AJ43">
            <v>9991</v>
          </cell>
          <cell r="AK43">
            <v>8</v>
          </cell>
          <cell r="AL43">
            <v>10092</v>
          </cell>
          <cell r="AM43">
            <v>101</v>
          </cell>
          <cell r="AN43">
            <v>10233</v>
          </cell>
          <cell r="AO43">
            <v>141</v>
          </cell>
          <cell r="AP43">
            <v>10613</v>
          </cell>
          <cell r="AQ43">
            <v>380</v>
          </cell>
          <cell r="AR43">
            <v>10814</v>
          </cell>
          <cell r="AS43">
            <v>201</v>
          </cell>
          <cell r="AT43">
            <v>11270</v>
          </cell>
        </row>
        <row r="44">
          <cell r="G44" t="str">
            <v>10.0.30.200</v>
          </cell>
          <cell r="H44" t="str">
            <v>FRU82991</v>
          </cell>
          <cell r="I44">
            <v>623384</v>
          </cell>
          <cell r="J44">
            <v>623437</v>
          </cell>
          <cell r="K44">
            <v>53</v>
          </cell>
          <cell r="L44">
            <v>623477</v>
          </cell>
          <cell r="M44">
            <v>40</v>
          </cell>
          <cell r="N44">
            <v>623503</v>
          </cell>
          <cell r="O44">
            <v>26</v>
          </cell>
          <cell r="P44">
            <v>623610</v>
          </cell>
          <cell r="Q44">
            <v>107</v>
          </cell>
          <cell r="R44">
            <v>623680</v>
          </cell>
          <cell r="S44">
            <v>70</v>
          </cell>
          <cell r="T44">
            <v>623704</v>
          </cell>
          <cell r="U44">
            <v>24</v>
          </cell>
          <cell r="V44">
            <v>623736</v>
          </cell>
          <cell r="W44">
            <v>32</v>
          </cell>
          <cell r="X44">
            <v>623790</v>
          </cell>
          <cell r="Y44">
            <v>54</v>
          </cell>
          <cell r="Z44">
            <v>623848</v>
          </cell>
          <cell r="AA44">
            <v>58</v>
          </cell>
          <cell r="AB44">
            <v>623871</v>
          </cell>
          <cell r="AC44">
            <v>23</v>
          </cell>
          <cell r="AD44">
            <v>623911</v>
          </cell>
          <cell r="AE44">
            <v>40</v>
          </cell>
          <cell r="AF44">
            <v>623991</v>
          </cell>
          <cell r="AG44">
            <v>80</v>
          </cell>
          <cell r="AH44">
            <v>624020</v>
          </cell>
          <cell r="AI44">
            <v>29</v>
          </cell>
          <cell r="AJ44">
            <v>624048</v>
          </cell>
          <cell r="AK44">
            <v>28</v>
          </cell>
          <cell r="AL44">
            <v>624107</v>
          </cell>
          <cell r="AM44">
            <v>59</v>
          </cell>
          <cell r="AN44">
            <v>624238</v>
          </cell>
          <cell r="AO44">
            <v>131</v>
          </cell>
          <cell r="AP44">
            <v>624285</v>
          </cell>
          <cell r="AQ44">
            <v>47</v>
          </cell>
          <cell r="AR44">
            <v>624307</v>
          </cell>
          <cell r="AS44">
            <v>22</v>
          </cell>
          <cell r="AT44">
            <v>624332</v>
          </cell>
        </row>
        <row r="45">
          <cell r="G45" t="str">
            <v>10.0.31.49</v>
          </cell>
          <cell r="H45" t="str">
            <v>FRU83473</v>
          </cell>
          <cell r="I45">
            <v>366630</v>
          </cell>
          <cell r="J45">
            <v>366630</v>
          </cell>
          <cell r="K45">
            <v>0</v>
          </cell>
          <cell r="L45">
            <v>366630</v>
          </cell>
          <cell r="M45">
            <v>0</v>
          </cell>
          <cell r="N45">
            <v>366630</v>
          </cell>
          <cell r="O45">
            <v>0</v>
          </cell>
          <cell r="P45">
            <v>366630</v>
          </cell>
          <cell r="Q45">
            <v>0</v>
          </cell>
          <cell r="R45">
            <v>366630</v>
          </cell>
          <cell r="S45">
            <v>0</v>
          </cell>
          <cell r="T45">
            <v>366630</v>
          </cell>
          <cell r="U45">
            <v>0</v>
          </cell>
          <cell r="V45">
            <v>366630</v>
          </cell>
          <cell r="W45">
            <v>0</v>
          </cell>
          <cell r="X45">
            <v>366630</v>
          </cell>
          <cell r="Y45">
            <v>0</v>
          </cell>
          <cell r="Z45">
            <v>366630</v>
          </cell>
          <cell r="AA45">
            <v>0</v>
          </cell>
          <cell r="AB45">
            <v>366630</v>
          </cell>
          <cell r="AC45">
            <v>0</v>
          </cell>
          <cell r="AD45">
            <v>366630</v>
          </cell>
          <cell r="AE45">
            <v>0</v>
          </cell>
          <cell r="AF45">
            <v>366630</v>
          </cell>
          <cell r="AG45">
            <v>0</v>
          </cell>
          <cell r="AH45">
            <v>366630</v>
          </cell>
          <cell r="AI45">
            <v>0</v>
          </cell>
          <cell r="AJ45">
            <v>366630</v>
          </cell>
          <cell r="AK45">
            <v>0</v>
          </cell>
          <cell r="AL45">
            <v>366630</v>
          </cell>
          <cell r="AM45">
            <v>0</v>
          </cell>
          <cell r="AN45">
            <v>366630</v>
          </cell>
          <cell r="AO45">
            <v>0</v>
          </cell>
          <cell r="AP45">
            <v>366630</v>
          </cell>
          <cell r="AQ45">
            <v>0</v>
          </cell>
          <cell r="AR45">
            <v>366630</v>
          </cell>
          <cell r="AS45">
            <v>0</v>
          </cell>
          <cell r="AT45">
            <v>366630</v>
          </cell>
        </row>
        <row r="46">
          <cell r="G46" t="str">
            <v>10.0.32.203</v>
          </cell>
          <cell r="H46" t="str">
            <v>FRU83463</v>
          </cell>
          <cell r="I46">
            <v>1024460</v>
          </cell>
          <cell r="J46">
            <v>1024616</v>
          </cell>
          <cell r="K46">
            <v>156</v>
          </cell>
          <cell r="L46">
            <v>1024752</v>
          </cell>
          <cell r="M46">
            <v>136</v>
          </cell>
          <cell r="N46">
            <v>1025019</v>
          </cell>
          <cell r="O46">
            <v>267</v>
          </cell>
          <cell r="P46">
            <v>1025150</v>
          </cell>
          <cell r="Q46">
            <v>131</v>
          </cell>
          <cell r="R46">
            <v>1025226</v>
          </cell>
          <cell r="S46">
            <v>76</v>
          </cell>
          <cell r="T46">
            <v>1025318</v>
          </cell>
          <cell r="U46">
            <v>92</v>
          </cell>
          <cell r="V46">
            <v>1025501</v>
          </cell>
          <cell r="W46">
            <v>183</v>
          </cell>
          <cell r="X46">
            <v>1025629</v>
          </cell>
          <cell r="Y46">
            <v>128</v>
          </cell>
          <cell r="Z46">
            <v>1025700</v>
          </cell>
          <cell r="AA46">
            <v>71</v>
          </cell>
          <cell r="AB46">
            <v>1025808</v>
          </cell>
          <cell r="AC46">
            <v>108</v>
          </cell>
          <cell r="AD46">
            <v>1025925</v>
          </cell>
          <cell r="AE46">
            <v>117</v>
          </cell>
          <cell r="AF46">
            <v>1026153</v>
          </cell>
          <cell r="AG46">
            <v>228</v>
          </cell>
          <cell r="AH46">
            <v>1026219</v>
          </cell>
          <cell r="AI46">
            <v>66</v>
          </cell>
          <cell r="AJ46">
            <v>1026431</v>
          </cell>
          <cell r="AK46">
            <v>212</v>
          </cell>
          <cell r="AL46">
            <v>1026661</v>
          </cell>
          <cell r="AM46">
            <v>230</v>
          </cell>
          <cell r="AN46">
            <v>1026805</v>
          </cell>
          <cell r="AO46">
            <v>144</v>
          </cell>
          <cell r="AP46">
            <v>1027049</v>
          </cell>
          <cell r="AQ46">
            <v>244</v>
          </cell>
          <cell r="AR46">
            <v>1027372</v>
          </cell>
          <cell r="AS46">
            <v>323</v>
          </cell>
          <cell r="AT46">
            <v>1027534</v>
          </cell>
        </row>
        <row r="47">
          <cell r="G47" t="str">
            <v>10.0.32.99</v>
          </cell>
          <cell r="H47" t="str">
            <v>FRU83462</v>
          </cell>
          <cell r="I47">
            <v>569105</v>
          </cell>
          <cell r="J47">
            <v>569261</v>
          </cell>
          <cell r="K47">
            <v>156</v>
          </cell>
          <cell r="L47">
            <v>569333</v>
          </cell>
          <cell r="M47">
            <v>72</v>
          </cell>
          <cell r="N47">
            <v>569381</v>
          </cell>
          <cell r="O47">
            <v>48</v>
          </cell>
          <cell r="P47">
            <v>569405</v>
          </cell>
          <cell r="Q47">
            <v>24</v>
          </cell>
          <cell r="R47">
            <v>569449</v>
          </cell>
          <cell r="S47">
            <v>44</v>
          </cell>
          <cell r="T47">
            <v>569496</v>
          </cell>
          <cell r="U47">
            <v>47</v>
          </cell>
          <cell r="V47">
            <v>569553</v>
          </cell>
          <cell r="W47">
            <v>57</v>
          </cell>
          <cell r="X47">
            <v>569599</v>
          </cell>
          <cell r="Y47">
            <v>46</v>
          </cell>
          <cell r="Z47">
            <v>569644</v>
          </cell>
          <cell r="AA47">
            <v>45</v>
          </cell>
          <cell r="AB47">
            <v>569669</v>
          </cell>
          <cell r="AC47">
            <v>25</v>
          </cell>
          <cell r="AD47">
            <v>569733</v>
          </cell>
          <cell r="AE47">
            <v>64</v>
          </cell>
          <cell r="AF47">
            <v>569813</v>
          </cell>
          <cell r="AG47">
            <v>80</v>
          </cell>
          <cell r="AH47">
            <v>569888</v>
          </cell>
          <cell r="AI47">
            <v>75</v>
          </cell>
          <cell r="AJ47">
            <v>569903</v>
          </cell>
          <cell r="AK47">
            <v>15</v>
          </cell>
          <cell r="AL47">
            <v>569921</v>
          </cell>
          <cell r="AM47">
            <v>18</v>
          </cell>
          <cell r="AN47">
            <v>570066</v>
          </cell>
          <cell r="AO47">
            <v>145</v>
          </cell>
          <cell r="AP47">
            <v>570123</v>
          </cell>
          <cell r="AQ47">
            <v>57</v>
          </cell>
          <cell r="AR47">
            <v>570244</v>
          </cell>
          <cell r="AS47">
            <v>121</v>
          </cell>
          <cell r="AT47">
            <v>570285</v>
          </cell>
        </row>
        <row r="48">
          <cell r="G48" t="str">
            <v>10.0.33.202</v>
          </cell>
          <cell r="H48" t="str">
            <v>FRU83006</v>
          </cell>
          <cell r="I48">
            <v>454121</v>
          </cell>
          <cell r="J48">
            <v>454198</v>
          </cell>
          <cell r="K48">
            <v>77</v>
          </cell>
          <cell r="L48">
            <v>454247</v>
          </cell>
          <cell r="M48">
            <v>49</v>
          </cell>
          <cell r="N48">
            <v>454297</v>
          </cell>
          <cell r="O48">
            <v>50</v>
          </cell>
          <cell r="P48">
            <v>454338</v>
          </cell>
          <cell r="Q48">
            <v>41</v>
          </cell>
          <cell r="R48">
            <v>454478</v>
          </cell>
          <cell r="S48">
            <v>140</v>
          </cell>
          <cell r="T48">
            <v>454578</v>
          </cell>
          <cell r="U48">
            <v>100</v>
          </cell>
          <cell r="V48">
            <v>454594</v>
          </cell>
          <cell r="W48">
            <v>16</v>
          </cell>
          <cell r="X48">
            <v>454623</v>
          </cell>
          <cell r="Y48">
            <v>29</v>
          </cell>
          <cell r="Z48">
            <v>454685</v>
          </cell>
          <cell r="AA48">
            <v>62</v>
          </cell>
          <cell r="AB48">
            <v>454823</v>
          </cell>
          <cell r="AC48">
            <v>138</v>
          </cell>
          <cell r="AD48">
            <v>454937</v>
          </cell>
          <cell r="AE48">
            <v>114</v>
          </cell>
          <cell r="AF48">
            <v>455015</v>
          </cell>
          <cell r="AG48">
            <v>78</v>
          </cell>
          <cell r="AH48">
            <v>455039</v>
          </cell>
          <cell r="AI48">
            <v>24</v>
          </cell>
          <cell r="AJ48">
            <v>455068</v>
          </cell>
          <cell r="AK48">
            <v>29</v>
          </cell>
          <cell r="AL48">
            <v>455256</v>
          </cell>
          <cell r="AM48">
            <v>188</v>
          </cell>
          <cell r="AN48">
            <v>455287</v>
          </cell>
          <cell r="AO48">
            <v>31</v>
          </cell>
          <cell r="AP48">
            <v>455322</v>
          </cell>
          <cell r="AQ48">
            <v>35</v>
          </cell>
          <cell r="AR48">
            <v>455345</v>
          </cell>
          <cell r="AS48">
            <v>23</v>
          </cell>
          <cell r="AT48">
            <v>455389</v>
          </cell>
        </row>
        <row r="49">
          <cell r="G49" t="str">
            <v>10.0.33.205</v>
          </cell>
          <cell r="H49" t="str">
            <v>CN38OEJ0CW</v>
          </cell>
          <cell r="I49">
            <v>118852</v>
          </cell>
          <cell r="J49">
            <v>118927</v>
          </cell>
          <cell r="K49">
            <v>75</v>
          </cell>
          <cell r="L49">
            <v>118971</v>
          </cell>
          <cell r="M49">
            <v>44</v>
          </cell>
          <cell r="N49">
            <v>118998</v>
          </cell>
          <cell r="O49">
            <v>27</v>
          </cell>
          <cell r="P49">
            <v>119020</v>
          </cell>
          <cell r="Q49">
            <v>22</v>
          </cell>
          <cell r="R49">
            <v>119062</v>
          </cell>
          <cell r="S49">
            <v>42</v>
          </cell>
          <cell r="T49">
            <v>119095</v>
          </cell>
          <cell r="U49">
            <v>33</v>
          </cell>
          <cell r="V49">
            <v>119112</v>
          </cell>
          <cell r="W49">
            <v>17</v>
          </cell>
          <cell r="X49">
            <v>119172</v>
          </cell>
          <cell r="Y49">
            <v>60</v>
          </cell>
          <cell r="Z49">
            <v>119207</v>
          </cell>
          <cell r="AA49">
            <v>35</v>
          </cell>
          <cell r="AB49">
            <v>119255</v>
          </cell>
          <cell r="AC49">
            <v>48</v>
          </cell>
          <cell r="AD49">
            <v>119326</v>
          </cell>
          <cell r="AE49">
            <v>71</v>
          </cell>
          <cell r="AF49">
            <v>119429</v>
          </cell>
          <cell r="AG49">
            <v>103</v>
          </cell>
          <cell r="AH49">
            <v>119476</v>
          </cell>
          <cell r="AI49">
            <v>47</v>
          </cell>
          <cell r="AJ49">
            <v>119517</v>
          </cell>
          <cell r="AK49">
            <v>41</v>
          </cell>
          <cell r="AL49">
            <v>119554</v>
          </cell>
          <cell r="AM49">
            <v>37</v>
          </cell>
          <cell r="AN49">
            <v>119622</v>
          </cell>
          <cell r="AO49">
            <v>68</v>
          </cell>
          <cell r="AP49">
            <v>119637</v>
          </cell>
          <cell r="AQ49">
            <v>15</v>
          </cell>
          <cell r="AR49">
            <v>119669</v>
          </cell>
          <cell r="AS49">
            <v>32</v>
          </cell>
          <cell r="AT49">
            <v>119742</v>
          </cell>
        </row>
        <row r="50">
          <cell r="G50" t="str">
            <v>10.0.33.201</v>
          </cell>
          <cell r="H50" t="str">
            <v>HQY02243</v>
          </cell>
          <cell r="I50">
            <v>44052</v>
          </cell>
          <cell r="J50">
            <v>44052</v>
          </cell>
          <cell r="K50">
            <v>0</v>
          </cell>
          <cell r="L50">
            <v>44052</v>
          </cell>
          <cell r="M50">
            <v>0</v>
          </cell>
          <cell r="N50">
            <v>44052</v>
          </cell>
          <cell r="O50">
            <v>0</v>
          </cell>
          <cell r="P50">
            <v>44052</v>
          </cell>
          <cell r="Q50">
            <v>0</v>
          </cell>
          <cell r="R50">
            <v>44052</v>
          </cell>
          <cell r="S50">
            <v>0</v>
          </cell>
          <cell r="T50">
            <v>44052</v>
          </cell>
          <cell r="U50">
            <v>0</v>
          </cell>
          <cell r="V50">
            <v>44052</v>
          </cell>
          <cell r="W50">
            <v>0</v>
          </cell>
          <cell r="X50">
            <v>44052</v>
          </cell>
          <cell r="Y50">
            <v>0</v>
          </cell>
          <cell r="Z50">
            <v>44052</v>
          </cell>
          <cell r="AA50">
            <v>0</v>
          </cell>
          <cell r="AB50">
            <v>44052</v>
          </cell>
          <cell r="AC50">
            <v>0</v>
          </cell>
          <cell r="AD50">
            <v>44052</v>
          </cell>
          <cell r="AE50">
            <v>0</v>
          </cell>
          <cell r="AF50">
            <v>44052</v>
          </cell>
          <cell r="AG50">
            <v>0</v>
          </cell>
          <cell r="AH50">
            <v>44052</v>
          </cell>
          <cell r="AI50">
            <v>0</v>
          </cell>
          <cell r="AJ50">
            <v>44052</v>
          </cell>
          <cell r="AK50">
            <v>0</v>
          </cell>
          <cell r="AL50">
            <v>44052</v>
          </cell>
          <cell r="AM50">
            <v>0</v>
          </cell>
          <cell r="AN50">
            <v>44052</v>
          </cell>
          <cell r="AO50">
            <v>0</v>
          </cell>
          <cell r="AP50">
            <v>44052</v>
          </cell>
          <cell r="AQ50">
            <v>0</v>
          </cell>
          <cell r="AR50">
            <v>44052</v>
          </cell>
          <cell r="AS50">
            <v>0</v>
          </cell>
          <cell r="AT50">
            <v>44055</v>
          </cell>
        </row>
        <row r="51">
          <cell r="G51" t="str">
            <v>10.0.33.200</v>
          </cell>
          <cell r="H51" t="str">
            <v>PHGDD78336</v>
          </cell>
          <cell r="I51">
            <v>3783</v>
          </cell>
          <cell r="J51">
            <v>3783</v>
          </cell>
          <cell r="K51">
            <v>0</v>
          </cell>
          <cell r="L51">
            <v>3783</v>
          </cell>
          <cell r="M51">
            <v>0</v>
          </cell>
          <cell r="N51">
            <v>3783</v>
          </cell>
          <cell r="O51">
            <v>0</v>
          </cell>
          <cell r="P51">
            <v>3783</v>
          </cell>
          <cell r="Q51">
            <v>0</v>
          </cell>
          <cell r="R51">
            <v>3783</v>
          </cell>
          <cell r="S51">
            <v>0</v>
          </cell>
          <cell r="T51">
            <v>3783</v>
          </cell>
          <cell r="U51">
            <v>0</v>
          </cell>
          <cell r="V51">
            <v>3783</v>
          </cell>
          <cell r="W51">
            <v>0</v>
          </cell>
          <cell r="X51">
            <v>3783</v>
          </cell>
          <cell r="Y51">
            <v>0</v>
          </cell>
          <cell r="Z51">
            <v>3783</v>
          </cell>
          <cell r="AA51">
            <v>0</v>
          </cell>
          <cell r="AB51">
            <v>3783</v>
          </cell>
          <cell r="AC51">
            <v>0</v>
          </cell>
          <cell r="AD51">
            <v>3783</v>
          </cell>
          <cell r="AE51">
            <v>0</v>
          </cell>
          <cell r="AF51">
            <v>3783</v>
          </cell>
          <cell r="AG51">
            <v>0</v>
          </cell>
          <cell r="AH51">
            <v>3783</v>
          </cell>
          <cell r="AI51">
            <v>0</v>
          </cell>
          <cell r="AJ51">
            <v>3783</v>
          </cell>
          <cell r="AK51">
            <v>0</v>
          </cell>
          <cell r="AL51">
            <v>3783</v>
          </cell>
          <cell r="AM51">
            <v>0</v>
          </cell>
          <cell r="AN51">
            <v>3783</v>
          </cell>
          <cell r="AO51">
            <v>0</v>
          </cell>
          <cell r="AP51">
            <v>3783</v>
          </cell>
          <cell r="AQ51">
            <v>0</v>
          </cell>
          <cell r="AR51">
            <v>3783</v>
          </cell>
          <cell r="AS51">
            <v>0</v>
          </cell>
          <cell r="AT51">
            <v>3783</v>
          </cell>
        </row>
        <row r="52">
          <cell r="G52" t="str">
            <v>10.0.36.21</v>
          </cell>
          <cell r="H52" t="str">
            <v>FRU83451</v>
          </cell>
          <cell r="I52">
            <v>1235956</v>
          </cell>
          <cell r="J52">
            <v>1236155</v>
          </cell>
          <cell r="K52">
            <v>199</v>
          </cell>
          <cell r="L52">
            <v>1236187</v>
          </cell>
          <cell r="M52">
            <v>32</v>
          </cell>
          <cell r="N52">
            <v>1236306</v>
          </cell>
          <cell r="O52">
            <v>119</v>
          </cell>
          <cell r="P52">
            <v>1236360</v>
          </cell>
          <cell r="Q52">
            <v>54</v>
          </cell>
          <cell r="R52">
            <v>1236408</v>
          </cell>
          <cell r="S52">
            <v>48</v>
          </cell>
          <cell r="T52">
            <v>1236924</v>
          </cell>
          <cell r="U52">
            <v>516</v>
          </cell>
          <cell r="V52">
            <v>1237084</v>
          </cell>
          <cell r="W52">
            <v>160</v>
          </cell>
          <cell r="X52">
            <v>1237175</v>
          </cell>
          <cell r="Y52">
            <v>91</v>
          </cell>
          <cell r="Z52">
            <v>1237410</v>
          </cell>
          <cell r="AA52">
            <v>235</v>
          </cell>
          <cell r="AB52">
            <v>1237728</v>
          </cell>
          <cell r="AC52">
            <v>318</v>
          </cell>
          <cell r="AD52">
            <v>1238310</v>
          </cell>
          <cell r="AE52">
            <v>582</v>
          </cell>
          <cell r="AF52">
            <v>1238569</v>
          </cell>
          <cell r="AG52">
            <v>259</v>
          </cell>
          <cell r="AH52">
            <v>1239049</v>
          </cell>
          <cell r="AI52">
            <v>480</v>
          </cell>
          <cell r="AJ52">
            <v>1239181</v>
          </cell>
          <cell r="AK52">
            <v>132</v>
          </cell>
          <cell r="AL52">
            <v>1239454</v>
          </cell>
          <cell r="AM52">
            <v>273</v>
          </cell>
          <cell r="AN52">
            <v>1239823</v>
          </cell>
          <cell r="AO52">
            <v>369</v>
          </cell>
          <cell r="AP52">
            <v>1240066</v>
          </cell>
          <cell r="AQ52">
            <v>243</v>
          </cell>
          <cell r="AR52">
            <v>1240139</v>
          </cell>
          <cell r="AS52">
            <v>73</v>
          </cell>
          <cell r="AT52">
            <v>1240457</v>
          </cell>
        </row>
        <row r="53">
          <cell r="G53" t="str">
            <v>10.0.36.55</v>
          </cell>
          <cell r="H53" t="str">
            <v>DRL61688</v>
          </cell>
          <cell r="I53">
            <v>286299</v>
          </cell>
          <cell r="J53">
            <v>286322</v>
          </cell>
          <cell r="K53">
            <v>23</v>
          </cell>
          <cell r="L53">
            <v>286322</v>
          </cell>
          <cell r="M53">
            <v>0</v>
          </cell>
          <cell r="N53">
            <v>286322</v>
          </cell>
          <cell r="O53">
            <v>0</v>
          </cell>
          <cell r="P53">
            <v>286322</v>
          </cell>
          <cell r="Q53">
            <v>0</v>
          </cell>
          <cell r="R53">
            <v>286330</v>
          </cell>
          <cell r="S53">
            <v>8</v>
          </cell>
          <cell r="T53">
            <v>286330</v>
          </cell>
          <cell r="U53">
            <v>0</v>
          </cell>
          <cell r="V53">
            <v>286331</v>
          </cell>
          <cell r="W53">
            <v>1</v>
          </cell>
          <cell r="X53">
            <v>286331</v>
          </cell>
          <cell r="Y53">
            <v>0</v>
          </cell>
          <cell r="Z53">
            <v>286333</v>
          </cell>
          <cell r="AA53">
            <v>2</v>
          </cell>
          <cell r="AB53">
            <v>286359</v>
          </cell>
          <cell r="AC53">
            <v>26</v>
          </cell>
          <cell r="AD53">
            <v>286468</v>
          </cell>
          <cell r="AE53">
            <v>109</v>
          </cell>
          <cell r="AF53">
            <v>286498</v>
          </cell>
          <cell r="AG53">
            <v>30</v>
          </cell>
          <cell r="AH53">
            <v>286563</v>
          </cell>
          <cell r="AI53">
            <v>65</v>
          </cell>
          <cell r="AJ53">
            <v>286596</v>
          </cell>
          <cell r="AK53">
            <v>33</v>
          </cell>
          <cell r="AL53">
            <v>286739</v>
          </cell>
          <cell r="AM53">
            <v>143</v>
          </cell>
          <cell r="AN53">
            <v>286805</v>
          </cell>
          <cell r="AO53">
            <v>66</v>
          </cell>
          <cell r="AP53">
            <v>286805</v>
          </cell>
          <cell r="AQ53">
            <v>0</v>
          </cell>
          <cell r="AR53">
            <v>286818</v>
          </cell>
          <cell r="AS53">
            <v>13</v>
          </cell>
          <cell r="AT53">
            <v>286820</v>
          </cell>
        </row>
        <row r="54">
          <cell r="G54" t="str">
            <v>10.0.36.47</v>
          </cell>
          <cell r="H54" t="str">
            <v>FRU83461</v>
          </cell>
          <cell r="I54">
            <v>161663</v>
          </cell>
          <cell r="J54">
            <v>161667</v>
          </cell>
          <cell r="K54">
            <v>4</v>
          </cell>
          <cell r="L54">
            <v>161667</v>
          </cell>
          <cell r="M54">
            <v>0</v>
          </cell>
          <cell r="N54">
            <v>161674</v>
          </cell>
          <cell r="O54">
            <v>7</v>
          </cell>
          <cell r="P54">
            <v>161684</v>
          </cell>
          <cell r="Q54">
            <v>10</v>
          </cell>
          <cell r="R54">
            <v>161684</v>
          </cell>
          <cell r="S54">
            <v>0</v>
          </cell>
          <cell r="T54">
            <v>161685</v>
          </cell>
          <cell r="U54">
            <v>1</v>
          </cell>
          <cell r="V54">
            <v>161724</v>
          </cell>
          <cell r="W54">
            <v>39</v>
          </cell>
          <cell r="X54">
            <v>161724</v>
          </cell>
          <cell r="Y54">
            <v>0</v>
          </cell>
          <cell r="Z54">
            <v>161727</v>
          </cell>
          <cell r="AA54">
            <v>3</v>
          </cell>
          <cell r="AB54">
            <v>161728</v>
          </cell>
          <cell r="AC54">
            <v>1</v>
          </cell>
          <cell r="AD54">
            <v>161733</v>
          </cell>
          <cell r="AE54">
            <v>5</v>
          </cell>
          <cell r="AF54">
            <v>161735</v>
          </cell>
          <cell r="AG54">
            <v>2</v>
          </cell>
          <cell r="AH54">
            <v>161737</v>
          </cell>
          <cell r="AI54">
            <v>2</v>
          </cell>
          <cell r="AJ54">
            <v>161741</v>
          </cell>
          <cell r="AK54">
            <v>4</v>
          </cell>
          <cell r="AL54">
            <v>161747</v>
          </cell>
          <cell r="AM54">
            <v>6</v>
          </cell>
          <cell r="AN54">
            <v>161764</v>
          </cell>
          <cell r="AO54">
            <v>17</v>
          </cell>
          <cell r="AP54">
            <v>161776</v>
          </cell>
          <cell r="AQ54">
            <v>12</v>
          </cell>
          <cell r="AR54">
            <v>161792</v>
          </cell>
          <cell r="AS54">
            <v>16</v>
          </cell>
          <cell r="AT54">
            <v>161797</v>
          </cell>
        </row>
        <row r="55">
          <cell r="G55" t="str">
            <v>10.0.36.45</v>
          </cell>
          <cell r="H55" t="str">
            <v>HQY02250</v>
          </cell>
          <cell r="I55">
            <v>24083</v>
          </cell>
          <cell r="J55">
            <v>24083</v>
          </cell>
          <cell r="K55">
            <v>0</v>
          </cell>
          <cell r="L55">
            <v>24107</v>
          </cell>
          <cell r="M55">
            <v>24</v>
          </cell>
          <cell r="N55">
            <v>24107</v>
          </cell>
          <cell r="O55">
            <v>0</v>
          </cell>
          <cell r="P55">
            <v>24136</v>
          </cell>
          <cell r="Q55">
            <v>29</v>
          </cell>
          <cell r="R55">
            <v>24136</v>
          </cell>
          <cell r="S55">
            <v>0</v>
          </cell>
          <cell r="T55">
            <v>24136</v>
          </cell>
          <cell r="U55">
            <v>0</v>
          </cell>
          <cell r="V55">
            <v>24153</v>
          </cell>
          <cell r="W55">
            <v>17</v>
          </cell>
          <cell r="X55">
            <v>24153</v>
          </cell>
          <cell r="Y55">
            <v>0</v>
          </cell>
          <cell r="Z55">
            <v>24168</v>
          </cell>
          <cell r="AA55">
            <v>15</v>
          </cell>
          <cell r="AB55">
            <v>24168</v>
          </cell>
          <cell r="AC55">
            <v>0</v>
          </cell>
          <cell r="AD55">
            <v>24219</v>
          </cell>
          <cell r="AE55">
            <v>51</v>
          </cell>
          <cell r="AF55">
            <v>24222</v>
          </cell>
          <cell r="AG55">
            <v>3</v>
          </cell>
          <cell r="AH55">
            <v>24227</v>
          </cell>
          <cell r="AI55">
            <v>5</v>
          </cell>
          <cell r="AJ55">
            <v>24227</v>
          </cell>
          <cell r="AK55">
            <v>0</v>
          </cell>
          <cell r="AL55">
            <v>24227</v>
          </cell>
          <cell r="AM55">
            <v>0</v>
          </cell>
          <cell r="AN55">
            <v>24243</v>
          </cell>
          <cell r="AO55">
            <v>16</v>
          </cell>
          <cell r="AP55">
            <v>24243</v>
          </cell>
          <cell r="AQ55">
            <v>0</v>
          </cell>
          <cell r="AR55">
            <v>24244</v>
          </cell>
          <cell r="AS55">
            <v>1</v>
          </cell>
          <cell r="AT55">
            <v>24244</v>
          </cell>
        </row>
        <row r="56">
          <cell r="G56" t="str">
            <v>10.0.36.15</v>
          </cell>
          <cell r="H56" t="str">
            <v>HQY02264</v>
          </cell>
          <cell r="I56">
            <v>11601</v>
          </cell>
          <cell r="J56">
            <v>11601</v>
          </cell>
          <cell r="K56">
            <v>0</v>
          </cell>
          <cell r="L56">
            <v>11601</v>
          </cell>
          <cell r="M56">
            <v>0</v>
          </cell>
          <cell r="N56">
            <v>11601</v>
          </cell>
          <cell r="O56">
            <v>0</v>
          </cell>
          <cell r="P56">
            <v>11601</v>
          </cell>
          <cell r="Q56">
            <v>0</v>
          </cell>
          <cell r="R56">
            <v>11601</v>
          </cell>
          <cell r="S56">
            <v>0</v>
          </cell>
          <cell r="T56">
            <v>11601</v>
          </cell>
          <cell r="U56">
            <v>0</v>
          </cell>
          <cell r="V56">
            <v>11601</v>
          </cell>
          <cell r="W56">
            <v>0</v>
          </cell>
          <cell r="X56">
            <v>11601</v>
          </cell>
          <cell r="Y56">
            <v>0</v>
          </cell>
          <cell r="Z56">
            <v>11601</v>
          </cell>
          <cell r="AA56">
            <v>0</v>
          </cell>
          <cell r="AB56">
            <v>11602</v>
          </cell>
          <cell r="AC56">
            <v>1</v>
          </cell>
          <cell r="AD56">
            <v>11602</v>
          </cell>
          <cell r="AE56">
            <v>0</v>
          </cell>
          <cell r="AF56">
            <v>11602</v>
          </cell>
          <cell r="AG56">
            <v>0</v>
          </cell>
          <cell r="AH56">
            <v>11602</v>
          </cell>
          <cell r="AI56">
            <v>0</v>
          </cell>
          <cell r="AJ56">
            <v>11602</v>
          </cell>
          <cell r="AK56">
            <v>0</v>
          </cell>
          <cell r="AL56">
            <v>11602</v>
          </cell>
          <cell r="AM56">
            <v>0</v>
          </cell>
          <cell r="AN56">
            <v>11604</v>
          </cell>
          <cell r="AO56">
            <v>2</v>
          </cell>
          <cell r="AP56">
            <v>11607</v>
          </cell>
          <cell r="AQ56">
            <v>3</v>
          </cell>
          <cell r="AR56">
            <v>11607</v>
          </cell>
          <cell r="AS56">
            <v>0</v>
          </cell>
          <cell r="AT56">
            <v>11607</v>
          </cell>
        </row>
        <row r="57">
          <cell r="G57" t="str">
            <v>10.0.36.104</v>
          </cell>
          <cell r="H57" t="str">
            <v>CN8B3JY02Z</v>
          </cell>
          <cell r="I57">
            <v>39872</v>
          </cell>
          <cell r="J57">
            <v>39917</v>
          </cell>
          <cell r="K57">
            <v>45</v>
          </cell>
          <cell r="L57">
            <v>39951</v>
          </cell>
          <cell r="M57">
            <v>34</v>
          </cell>
          <cell r="N57">
            <v>39968</v>
          </cell>
          <cell r="O57">
            <v>17</v>
          </cell>
          <cell r="P57">
            <v>39987</v>
          </cell>
          <cell r="Q57">
            <v>19</v>
          </cell>
          <cell r="R57">
            <v>40021</v>
          </cell>
          <cell r="S57">
            <v>34</v>
          </cell>
          <cell r="T57">
            <v>40022</v>
          </cell>
          <cell r="U57">
            <v>1</v>
          </cell>
          <cell r="V57">
            <v>40075</v>
          </cell>
          <cell r="W57">
            <v>53</v>
          </cell>
          <cell r="X57">
            <v>40086</v>
          </cell>
          <cell r="Y57">
            <v>11</v>
          </cell>
          <cell r="Z57">
            <v>40092</v>
          </cell>
          <cell r="AA57">
            <v>6</v>
          </cell>
          <cell r="AB57">
            <v>40102</v>
          </cell>
          <cell r="AC57">
            <v>10</v>
          </cell>
          <cell r="AD57">
            <v>40206</v>
          </cell>
          <cell r="AE57">
            <v>104</v>
          </cell>
          <cell r="AF57">
            <v>40225</v>
          </cell>
          <cell r="AG57">
            <v>19</v>
          </cell>
          <cell r="AH57">
            <v>40261</v>
          </cell>
          <cell r="AI57">
            <v>36</v>
          </cell>
          <cell r="AJ57">
            <v>40276</v>
          </cell>
          <cell r="AK57">
            <v>15</v>
          </cell>
          <cell r="AL57">
            <v>40283</v>
          </cell>
          <cell r="AM57">
            <v>7</v>
          </cell>
          <cell r="AN57">
            <v>40318</v>
          </cell>
          <cell r="AO57">
            <v>35</v>
          </cell>
          <cell r="AP57">
            <v>40394</v>
          </cell>
          <cell r="AQ57">
            <v>76</v>
          </cell>
          <cell r="AR57">
            <v>40408</v>
          </cell>
          <cell r="AS57">
            <v>14</v>
          </cell>
          <cell r="AT57">
            <v>40425</v>
          </cell>
        </row>
        <row r="58">
          <cell r="G58" t="str">
            <v>10.0.110.200</v>
          </cell>
          <cell r="H58" t="str">
            <v>DRL64211</v>
          </cell>
          <cell r="I58">
            <v>154567</v>
          </cell>
          <cell r="J58">
            <v>154567</v>
          </cell>
          <cell r="K58">
            <v>0</v>
          </cell>
          <cell r="L58">
            <v>154567</v>
          </cell>
          <cell r="M58">
            <v>0</v>
          </cell>
          <cell r="N58">
            <v>154567</v>
          </cell>
          <cell r="O58">
            <v>0</v>
          </cell>
          <cell r="P58">
            <v>154567</v>
          </cell>
          <cell r="Q58">
            <v>0</v>
          </cell>
          <cell r="R58">
            <v>154567</v>
          </cell>
          <cell r="S58">
            <v>0</v>
          </cell>
          <cell r="T58">
            <v>154567</v>
          </cell>
          <cell r="U58">
            <v>0</v>
          </cell>
          <cell r="V58">
            <v>154567</v>
          </cell>
          <cell r="W58">
            <v>0</v>
          </cell>
          <cell r="X58">
            <v>154567</v>
          </cell>
          <cell r="Y58">
            <v>0</v>
          </cell>
          <cell r="Z58">
            <v>154567</v>
          </cell>
          <cell r="AA58">
            <v>0</v>
          </cell>
          <cell r="AB58">
            <v>154567</v>
          </cell>
          <cell r="AC58">
            <v>0</v>
          </cell>
          <cell r="AD58">
            <v>154567</v>
          </cell>
          <cell r="AE58">
            <v>0</v>
          </cell>
          <cell r="AF58">
            <v>154567</v>
          </cell>
          <cell r="AG58">
            <v>0</v>
          </cell>
          <cell r="AH58">
            <v>154567</v>
          </cell>
          <cell r="AI58">
            <v>0</v>
          </cell>
          <cell r="AJ58">
            <v>154567</v>
          </cell>
          <cell r="AK58">
            <v>0</v>
          </cell>
          <cell r="AL58">
            <v>154567</v>
          </cell>
          <cell r="AM58">
            <v>0</v>
          </cell>
          <cell r="AN58">
            <v>154567</v>
          </cell>
          <cell r="AO58">
            <v>0</v>
          </cell>
          <cell r="AP58">
            <v>154567</v>
          </cell>
          <cell r="AQ58">
            <v>0</v>
          </cell>
          <cell r="AR58">
            <v>154567</v>
          </cell>
          <cell r="AS58">
            <v>0</v>
          </cell>
          <cell r="AT58">
            <v>154567</v>
          </cell>
        </row>
        <row r="59">
          <cell r="K59">
            <v>5655</v>
          </cell>
          <cell r="M59">
            <v>4493</v>
          </cell>
          <cell r="O59">
            <v>7060</v>
          </cell>
          <cell r="Q59">
            <v>6431</v>
          </cell>
          <cell r="S59">
            <v>5894</v>
          </cell>
          <cell r="U59">
            <v>6641</v>
          </cell>
          <cell r="W59">
            <v>5550</v>
          </cell>
          <cell r="Y59">
            <v>4222</v>
          </cell>
          <cell r="AA59">
            <v>5228</v>
          </cell>
          <cell r="AC59">
            <v>5091</v>
          </cell>
          <cell r="AE59">
            <v>7496</v>
          </cell>
          <cell r="AG59">
            <v>7554</v>
          </cell>
          <cell r="AI59">
            <v>5705</v>
          </cell>
          <cell r="AK59">
            <v>4544</v>
          </cell>
          <cell r="AM59">
            <v>5546</v>
          </cell>
          <cell r="AO59">
            <v>6486</v>
          </cell>
          <cell r="AQ59">
            <v>6065</v>
          </cell>
          <cell r="AS59">
            <v>6495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D1" zoomScale="71" zoomScaleNormal="71" workbookViewId="0">
      <pane ySplit="1" topLeftCell="A2" activePane="bottomLeft" state="frozen"/>
      <selection activeCell="Q1" sqref="Q1"/>
      <selection pane="bottomLeft" activeCell="R2" sqref="R2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85</v>
      </c>
      <c r="B1" s="113" t="s">
        <v>119</v>
      </c>
      <c r="C1" s="113" t="s">
        <v>115</v>
      </c>
      <c r="D1" s="113" t="s">
        <v>160</v>
      </c>
      <c r="E1" s="113" t="s">
        <v>271</v>
      </c>
      <c r="F1" s="113" t="s">
        <v>0</v>
      </c>
      <c r="G1" s="113" t="s">
        <v>1</v>
      </c>
      <c r="H1" s="113" t="s">
        <v>2</v>
      </c>
      <c r="I1" s="114" t="s">
        <v>1209</v>
      </c>
      <c r="J1" s="115" t="s">
        <v>1131</v>
      </c>
      <c r="K1" s="115" t="s">
        <v>1132</v>
      </c>
      <c r="L1" s="116" t="s">
        <v>1133</v>
      </c>
      <c r="M1" s="116" t="s">
        <v>1134</v>
      </c>
      <c r="N1" s="115" t="s">
        <v>1135</v>
      </c>
      <c r="O1" s="115" t="s">
        <v>1136</v>
      </c>
      <c r="P1" s="116" t="s">
        <v>1137</v>
      </c>
      <c r="Q1" s="116" t="s">
        <v>1138</v>
      </c>
      <c r="R1" s="115" t="s">
        <v>1139</v>
      </c>
      <c r="S1" s="115" t="s">
        <v>1140</v>
      </c>
      <c r="T1" s="113" t="s">
        <v>208</v>
      </c>
      <c r="U1" s="113" t="s">
        <v>285</v>
      </c>
      <c r="V1" s="117" t="s">
        <v>1141</v>
      </c>
      <c r="W1" s="147" t="s">
        <v>205</v>
      </c>
      <c r="X1" s="125" t="s">
        <v>1163</v>
      </c>
    </row>
    <row r="2" spans="1:24" ht="16.5" customHeight="1" x14ac:dyDescent="0.25">
      <c r="A2" s="2" t="s">
        <v>86</v>
      </c>
      <c r="B2" s="87" t="s">
        <v>116</v>
      </c>
      <c r="C2" s="17" t="s">
        <v>270</v>
      </c>
      <c r="D2" s="7" t="s">
        <v>132</v>
      </c>
      <c r="E2" s="17" t="s">
        <v>215</v>
      </c>
      <c r="F2" s="89" t="s">
        <v>3</v>
      </c>
      <c r="G2" s="24" t="s">
        <v>128</v>
      </c>
      <c r="H2" s="13" t="s">
        <v>129</v>
      </c>
      <c r="I2" s="33">
        <v>278228</v>
      </c>
      <c r="J2" s="68">
        <v>278362</v>
      </c>
      <c r="K2" s="68">
        <f>J2-I2</f>
        <v>134</v>
      </c>
      <c r="L2" s="68">
        <v>278656</v>
      </c>
      <c r="M2" s="68">
        <f>L2-J2</f>
        <v>294</v>
      </c>
      <c r="N2" s="33">
        <f>VLOOKUP(G2,'[30]01-09 al 30-09'!$G:$AJ,30,FALSE)</f>
        <v>278733</v>
      </c>
      <c r="O2" s="33">
        <f t="shared" ref="O2:O8" si="0">N2-L2</f>
        <v>77</v>
      </c>
      <c r="P2" s="33">
        <f>VLOOKUP(G2,'[30]01-09 al 30-09'!$G:$AT,40,FALSE)</f>
        <v>278834</v>
      </c>
      <c r="Q2" s="33">
        <f>P2-N2</f>
        <v>101</v>
      </c>
      <c r="R2" s="33"/>
      <c r="S2" s="33"/>
      <c r="T2" s="33">
        <f>S2+Q2+O2+M2+K2</f>
        <v>606</v>
      </c>
      <c r="U2" s="34">
        <f t="shared" ref="U2:U28" si="1">COUNTIFS(P2:Q2,"=0")</f>
        <v>0</v>
      </c>
      <c r="V2" s="118">
        <v>46146</v>
      </c>
      <c r="W2" s="148"/>
      <c r="X2" s="67" t="s">
        <v>1164</v>
      </c>
    </row>
    <row r="3" spans="1:24" ht="16.5" customHeight="1" x14ac:dyDescent="0.25">
      <c r="A3" s="2" t="s">
        <v>86</v>
      </c>
      <c r="B3" s="87" t="s">
        <v>116</v>
      </c>
      <c r="C3" s="17" t="s">
        <v>270</v>
      </c>
      <c r="D3" s="7" t="s">
        <v>133</v>
      </c>
      <c r="E3" s="17" t="s">
        <v>215</v>
      </c>
      <c r="F3" s="89" t="s">
        <v>3</v>
      </c>
      <c r="G3" s="24" t="s">
        <v>130</v>
      </c>
      <c r="H3" s="13" t="s">
        <v>131</v>
      </c>
      <c r="I3" s="33">
        <v>197125</v>
      </c>
      <c r="J3" s="68">
        <v>197190</v>
      </c>
      <c r="K3" s="68">
        <f t="shared" ref="K3:K52" si="2">J3-I3</f>
        <v>65</v>
      </c>
      <c r="L3" s="68">
        <v>197345</v>
      </c>
      <c r="M3" s="68">
        <f t="shared" ref="M3:M52" si="3">L3-J3</f>
        <v>155</v>
      </c>
      <c r="N3" s="33">
        <f>VLOOKUP(G3,'[30]01-09 al 30-09'!$G:$AJ,30,FALSE)</f>
        <v>197428</v>
      </c>
      <c r="O3" s="33">
        <f t="shared" si="0"/>
        <v>83</v>
      </c>
      <c r="P3" s="33">
        <f>VLOOKUP(G3,'[30]01-09 al 30-09'!$G:$AT,40,FALSE)</f>
        <v>197580</v>
      </c>
      <c r="Q3" s="33">
        <f t="shared" ref="Q3:Q52" si="4">P3-N3</f>
        <v>152</v>
      </c>
      <c r="R3" s="33"/>
      <c r="S3" s="33"/>
      <c r="T3" s="33">
        <f t="shared" ref="T3:T52" si="5">S3+Q3+O3+M3+K3</f>
        <v>455</v>
      </c>
      <c r="U3" s="34">
        <f t="shared" si="1"/>
        <v>0</v>
      </c>
      <c r="V3" s="118">
        <v>46146</v>
      </c>
      <c r="W3" s="148"/>
      <c r="X3" s="67" t="s">
        <v>1164</v>
      </c>
    </row>
    <row r="4" spans="1:24" s="81" customFormat="1" ht="16.5" customHeight="1" x14ac:dyDescent="0.25">
      <c r="A4" s="89" t="s">
        <v>86</v>
      </c>
      <c r="B4" s="87" t="s">
        <v>116</v>
      </c>
      <c r="C4" s="17" t="s">
        <v>272</v>
      </c>
      <c r="D4" s="7" t="s">
        <v>226</v>
      </c>
      <c r="E4" s="17" t="s">
        <v>225</v>
      </c>
      <c r="F4" s="89" t="s">
        <v>4</v>
      </c>
      <c r="G4" s="103" t="s">
        <v>137</v>
      </c>
      <c r="H4" s="143" t="s">
        <v>138</v>
      </c>
      <c r="I4" s="33">
        <v>60271</v>
      </c>
      <c r="J4" s="68">
        <v>60271</v>
      </c>
      <c r="K4" s="68">
        <f t="shared" si="2"/>
        <v>0</v>
      </c>
      <c r="L4" s="68">
        <v>60292</v>
      </c>
      <c r="M4" s="68">
        <f t="shared" si="3"/>
        <v>21</v>
      </c>
      <c r="N4" s="33">
        <f>VLOOKUP(G4,'[30]01-09 al 30-09'!$G:$AJ,30,FALSE)</f>
        <v>60292</v>
      </c>
      <c r="O4" s="33">
        <f t="shared" si="0"/>
        <v>0</v>
      </c>
      <c r="P4" s="33">
        <f>VLOOKUP(G4,'[30]01-09 al 30-09'!$G:$AT,40,FALSE)</f>
        <v>60292</v>
      </c>
      <c r="Q4" s="33">
        <f t="shared" si="4"/>
        <v>0</v>
      </c>
      <c r="R4" s="33"/>
      <c r="S4" s="33"/>
      <c r="T4" s="33">
        <f t="shared" si="5"/>
        <v>21</v>
      </c>
      <c r="U4" s="34">
        <f t="shared" si="1"/>
        <v>1</v>
      </c>
      <c r="V4" s="118">
        <v>46146</v>
      </c>
      <c r="W4" s="90"/>
      <c r="X4" s="80" t="s">
        <v>1164</v>
      </c>
    </row>
    <row r="5" spans="1:24" s="81" customFormat="1" ht="16.5" customHeight="1" x14ac:dyDescent="0.25">
      <c r="A5" s="78" t="s">
        <v>86</v>
      </c>
      <c r="B5" s="83" t="s">
        <v>116</v>
      </c>
      <c r="C5" s="72" t="s">
        <v>273</v>
      </c>
      <c r="D5" s="7" t="s">
        <v>1023</v>
      </c>
      <c r="E5" s="96" t="s">
        <v>230</v>
      </c>
      <c r="F5" s="78" t="s">
        <v>4</v>
      </c>
      <c r="G5" s="79" t="s">
        <v>29</v>
      </c>
      <c r="H5" s="88" t="s">
        <v>125</v>
      </c>
      <c r="I5" s="33">
        <v>60247</v>
      </c>
      <c r="J5" s="68">
        <v>60255</v>
      </c>
      <c r="K5" s="68">
        <f t="shared" si="2"/>
        <v>8</v>
      </c>
      <c r="L5" s="68">
        <v>60267</v>
      </c>
      <c r="M5" s="68">
        <f t="shared" si="3"/>
        <v>12</v>
      </c>
      <c r="N5" s="33">
        <f>VLOOKUP(G5,'[30]01-09 al 30-09'!$G:$AJ,30,FALSE)</f>
        <v>60267</v>
      </c>
      <c r="O5" s="33">
        <f t="shared" si="0"/>
        <v>0</v>
      </c>
      <c r="P5" s="33">
        <f>VLOOKUP(G5,'[30]01-09 al 30-09'!$G:$AT,40,FALSE)</f>
        <v>60273</v>
      </c>
      <c r="Q5" s="33">
        <f t="shared" si="4"/>
        <v>6</v>
      </c>
      <c r="R5" s="33"/>
      <c r="S5" s="33"/>
      <c r="T5" s="33">
        <f t="shared" si="5"/>
        <v>26</v>
      </c>
      <c r="U5" s="34">
        <f t="shared" si="1"/>
        <v>0</v>
      </c>
      <c r="V5" s="118">
        <v>46146</v>
      </c>
      <c r="W5" s="90"/>
      <c r="X5" s="80" t="s">
        <v>1164</v>
      </c>
    </row>
    <row r="6" spans="1:24" s="81" customFormat="1" ht="16.5" customHeight="1" x14ac:dyDescent="0.25">
      <c r="A6" s="14" t="s">
        <v>86</v>
      </c>
      <c r="B6" s="83" t="s">
        <v>116</v>
      </c>
      <c r="C6" s="135" t="s">
        <v>113</v>
      </c>
      <c r="D6" s="7" t="s">
        <v>1144</v>
      </c>
      <c r="E6" s="139" t="s">
        <v>1120</v>
      </c>
      <c r="F6" s="79" t="s">
        <v>4</v>
      </c>
      <c r="G6" s="27" t="s">
        <v>134</v>
      </c>
      <c r="H6" s="6" t="s">
        <v>1121</v>
      </c>
      <c r="I6" s="33">
        <v>61581</v>
      </c>
      <c r="J6" s="68">
        <v>61581</v>
      </c>
      <c r="K6" s="68">
        <f t="shared" si="2"/>
        <v>0</v>
      </c>
      <c r="L6" s="68">
        <v>61581</v>
      </c>
      <c r="M6" s="68">
        <f t="shared" si="3"/>
        <v>0</v>
      </c>
      <c r="N6" s="33">
        <f>VLOOKUP(G6,'[30]01-09 al 30-09'!$G:$AJ,30,FALSE)</f>
        <v>61581</v>
      </c>
      <c r="O6" s="33">
        <f t="shared" si="0"/>
        <v>0</v>
      </c>
      <c r="P6" s="33">
        <f>VLOOKUP(G6,'[30]01-09 al 30-09'!$G:$AT,40,FALSE)</f>
        <v>61581</v>
      </c>
      <c r="Q6" s="33">
        <f t="shared" si="4"/>
        <v>0</v>
      </c>
      <c r="R6" s="33"/>
      <c r="S6" s="33"/>
      <c r="T6" s="33">
        <f t="shared" si="5"/>
        <v>0</v>
      </c>
      <c r="U6" s="34">
        <f t="shared" si="1"/>
        <v>1</v>
      </c>
      <c r="V6" s="118">
        <v>46146</v>
      </c>
      <c r="W6" s="146" t="s">
        <v>1122</v>
      </c>
      <c r="X6" s="15" t="s">
        <v>1164</v>
      </c>
    </row>
    <row r="7" spans="1:24" s="81" customFormat="1" ht="16.5" customHeight="1" x14ac:dyDescent="0.25">
      <c r="A7" s="78" t="s">
        <v>86</v>
      </c>
      <c r="B7" s="83" t="s">
        <v>116</v>
      </c>
      <c r="C7" s="72" t="s">
        <v>113</v>
      </c>
      <c r="D7" s="108" t="s">
        <v>163</v>
      </c>
      <c r="E7" s="94" t="s">
        <v>231</v>
      </c>
      <c r="F7" s="78" t="s">
        <v>4</v>
      </c>
      <c r="G7" s="79" t="s">
        <v>74</v>
      </c>
      <c r="H7" s="88" t="s">
        <v>1060</v>
      </c>
      <c r="I7" s="33">
        <v>122078</v>
      </c>
      <c r="J7" s="68">
        <v>122191</v>
      </c>
      <c r="K7" s="68">
        <f t="shared" si="2"/>
        <v>113</v>
      </c>
      <c r="L7" s="68">
        <v>122225</v>
      </c>
      <c r="M7" s="68">
        <f t="shared" si="3"/>
        <v>34</v>
      </c>
      <c r="N7" s="33">
        <f>VLOOKUP(G7,'[30]01-09 al 30-09'!$G:$AJ,30,FALSE)</f>
        <v>122306</v>
      </c>
      <c r="O7" s="33">
        <f t="shared" si="0"/>
        <v>81</v>
      </c>
      <c r="P7" s="33">
        <f>VLOOKUP(G7,'[30]01-09 al 30-09'!$G:$AT,40,FALSE)</f>
        <v>122351</v>
      </c>
      <c r="Q7" s="33">
        <f t="shared" si="4"/>
        <v>45</v>
      </c>
      <c r="R7" s="33"/>
      <c r="S7" s="33"/>
      <c r="T7" s="33">
        <f t="shared" si="5"/>
        <v>273</v>
      </c>
      <c r="U7" s="34">
        <f t="shared" si="1"/>
        <v>0</v>
      </c>
      <c r="V7" s="118">
        <v>46146</v>
      </c>
      <c r="W7" s="90"/>
      <c r="X7" s="80" t="s">
        <v>1164</v>
      </c>
    </row>
    <row r="8" spans="1:24" ht="16.5" customHeight="1" x14ac:dyDescent="0.25">
      <c r="A8" s="89" t="s">
        <v>86</v>
      </c>
      <c r="B8" s="89" t="s">
        <v>116</v>
      </c>
      <c r="C8" s="134" t="s">
        <v>113</v>
      </c>
      <c r="D8" s="136" t="s">
        <v>1068</v>
      </c>
      <c r="E8" s="138" t="s">
        <v>1066</v>
      </c>
      <c r="F8" s="89" t="s">
        <v>4</v>
      </c>
      <c r="G8" s="103" t="s">
        <v>1067</v>
      </c>
      <c r="H8" s="144" t="s">
        <v>146</v>
      </c>
      <c r="I8" s="33">
        <v>3063</v>
      </c>
      <c r="J8" s="68">
        <v>3063</v>
      </c>
      <c r="K8" s="68">
        <f t="shared" si="2"/>
        <v>0</v>
      </c>
      <c r="L8" s="68">
        <v>3064</v>
      </c>
      <c r="M8" s="68">
        <f t="shared" si="3"/>
        <v>1</v>
      </c>
      <c r="N8" s="33">
        <f>VLOOKUP(G8,'[30]01-09 al 30-09'!$G:$AJ,30,FALSE)</f>
        <v>3064</v>
      </c>
      <c r="O8" s="33">
        <f t="shared" si="0"/>
        <v>0</v>
      </c>
      <c r="P8" s="33">
        <f>VLOOKUP(G8,'[30]01-09 al 30-09'!$G:$AT,40,FALSE)</f>
        <v>3064</v>
      </c>
      <c r="Q8" s="33">
        <f t="shared" si="4"/>
        <v>0</v>
      </c>
      <c r="R8" s="33"/>
      <c r="S8" s="33"/>
      <c r="T8" s="33">
        <f t="shared" si="5"/>
        <v>1</v>
      </c>
      <c r="U8" s="34">
        <f t="shared" si="1"/>
        <v>1</v>
      </c>
      <c r="V8" s="118">
        <v>46146</v>
      </c>
      <c r="W8" s="90" t="s">
        <v>1179</v>
      </c>
      <c r="X8" s="80" t="s">
        <v>1164</v>
      </c>
    </row>
    <row r="9" spans="1:24" s="81" customFormat="1" ht="16.5" customHeight="1" x14ac:dyDescent="0.25">
      <c r="A9" s="14" t="s">
        <v>86</v>
      </c>
      <c r="B9" s="78" t="s">
        <v>116</v>
      </c>
      <c r="C9" s="135" t="s">
        <v>113</v>
      </c>
      <c r="D9" s="7" t="s">
        <v>162</v>
      </c>
      <c r="E9" s="139" t="s">
        <v>255</v>
      </c>
      <c r="F9" s="78" t="s">
        <v>3</v>
      </c>
      <c r="G9" s="27" t="s">
        <v>49</v>
      </c>
      <c r="H9" s="6" t="s">
        <v>82</v>
      </c>
      <c r="I9" s="33">
        <v>544721</v>
      </c>
      <c r="J9" s="68">
        <v>544813</v>
      </c>
      <c r="K9" s="68">
        <f t="shared" si="2"/>
        <v>92</v>
      </c>
      <c r="L9" s="68">
        <v>544873</v>
      </c>
      <c r="M9" s="68">
        <f t="shared" si="3"/>
        <v>60</v>
      </c>
      <c r="N9" s="33">
        <f>VLOOKUP(G9,'[30]01-09 al 30-09'!$G:$AJ,30,FALSE)</f>
        <v>544921</v>
      </c>
      <c r="O9" s="33">
        <f t="shared" ref="O9:O52" si="6">N9-L9</f>
        <v>48</v>
      </c>
      <c r="P9" s="33">
        <f>VLOOKUP(G9,'[30]01-09 al 30-09'!$G:$AT,40,FALSE)</f>
        <v>545122</v>
      </c>
      <c r="Q9" s="33">
        <f t="shared" si="4"/>
        <v>201</v>
      </c>
      <c r="R9" s="33"/>
      <c r="S9" s="33"/>
      <c r="T9" s="33">
        <f t="shared" si="5"/>
        <v>401</v>
      </c>
      <c r="U9" s="34">
        <f t="shared" si="1"/>
        <v>0</v>
      </c>
      <c r="V9" s="118">
        <v>46146</v>
      </c>
      <c r="W9" s="146"/>
      <c r="X9" s="15" t="s">
        <v>1164</v>
      </c>
    </row>
    <row r="10" spans="1:24" ht="16.5" customHeight="1" x14ac:dyDescent="0.25">
      <c r="A10" s="14" t="s">
        <v>86</v>
      </c>
      <c r="B10" s="83" t="s">
        <v>116</v>
      </c>
      <c r="C10" s="72" t="s">
        <v>111</v>
      </c>
      <c r="D10" s="7" t="s">
        <v>164</v>
      </c>
      <c r="E10" s="93" t="s">
        <v>233</v>
      </c>
      <c r="F10" s="78" t="s">
        <v>3</v>
      </c>
      <c r="G10" s="27" t="s">
        <v>59</v>
      </c>
      <c r="H10" s="6" t="s">
        <v>60</v>
      </c>
      <c r="I10" s="33">
        <v>802107</v>
      </c>
      <c r="J10" s="68">
        <v>802553</v>
      </c>
      <c r="K10" s="68">
        <f t="shared" si="2"/>
        <v>446</v>
      </c>
      <c r="L10" s="68">
        <v>803042</v>
      </c>
      <c r="M10" s="68">
        <f t="shared" si="3"/>
        <v>489</v>
      </c>
      <c r="N10" s="33">
        <f>VLOOKUP(G10,'[30]01-09 al 30-09'!$G:$AJ,30,FALSE)</f>
        <v>803512</v>
      </c>
      <c r="O10" s="33">
        <f t="shared" si="6"/>
        <v>470</v>
      </c>
      <c r="P10" s="33">
        <f>VLOOKUP(G10,'[30]01-09 al 30-09'!$G:$AT,40,FALSE)</f>
        <v>803996</v>
      </c>
      <c r="Q10" s="33">
        <f t="shared" si="4"/>
        <v>484</v>
      </c>
      <c r="R10" s="33"/>
      <c r="S10" s="33"/>
      <c r="T10" s="33">
        <f t="shared" si="5"/>
        <v>1889</v>
      </c>
      <c r="U10" s="34">
        <f t="shared" si="1"/>
        <v>0</v>
      </c>
      <c r="V10" s="118">
        <v>46146</v>
      </c>
      <c r="W10" s="146"/>
      <c r="X10" s="15" t="s">
        <v>1164</v>
      </c>
    </row>
    <row r="11" spans="1:24" ht="16.5" customHeight="1" x14ac:dyDescent="0.25">
      <c r="A11" s="14" t="s">
        <v>86</v>
      </c>
      <c r="B11" s="78" t="s">
        <v>116</v>
      </c>
      <c r="C11" s="72" t="s">
        <v>114</v>
      </c>
      <c r="D11" s="7" t="s">
        <v>165</v>
      </c>
      <c r="E11" s="107" t="s">
        <v>1072</v>
      </c>
      <c r="F11" s="78" t="s">
        <v>3</v>
      </c>
      <c r="G11" s="27" t="s">
        <v>1170</v>
      </c>
      <c r="H11" s="6" t="s">
        <v>287</v>
      </c>
      <c r="I11" s="33">
        <v>701255</v>
      </c>
      <c r="J11" s="68">
        <v>701276</v>
      </c>
      <c r="K11" s="68">
        <f t="shared" si="2"/>
        <v>21</v>
      </c>
      <c r="L11" s="68">
        <v>701293</v>
      </c>
      <c r="M11" s="68">
        <f t="shared" si="3"/>
        <v>17</v>
      </c>
      <c r="N11" s="33">
        <f>VLOOKUP(G11,'[30]01-09 al 30-09'!$G:$AJ,30,FALSE)</f>
        <v>701308</v>
      </c>
      <c r="O11" s="33">
        <f t="shared" si="6"/>
        <v>15</v>
      </c>
      <c r="P11" s="33">
        <f>VLOOKUP(G11,'[30]01-09 al 30-09'!$G:$AT,40,FALSE)</f>
        <v>701326</v>
      </c>
      <c r="Q11" s="33">
        <f t="shared" si="4"/>
        <v>18</v>
      </c>
      <c r="R11" s="33"/>
      <c r="S11" s="33"/>
      <c r="T11" s="33">
        <f t="shared" si="5"/>
        <v>71</v>
      </c>
      <c r="U11" s="34">
        <f t="shared" si="1"/>
        <v>0</v>
      </c>
      <c r="V11" s="118">
        <v>46146</v>
      </c>
      <c r="W11" s="112"/>
      <c r="X11" s="18" t="s">
        <v>1164</v>
      </c>
    </row>
    <row r="12" spans="1:24" ht="16.5" customHeight="1" x14ac:dyDescent="0.25">
      <c r="A12" s="14" t="s">
        <v>86</v>
      </c>
      <c r="B12" s="78" t="s">
        <v>116</v>
      </c>
      <c r="C12" s="72" t="s">
        <v>114</v>
      </c>
      <c r="D12" s="7" t="s">
        <v>1171</v>
      </c>
      <c r="E12" s="106" t="s">
        <v>1168</v>
      </c>
      <c r="F12" s="88" t="s">
        <v>1166</v>
      </c>
      <c r="G12" s="6" t="s">
        <v>1172</v>
      </c>
      <c r="H12" s="6" t="s">
        <v>1167</v>
      </c>
      <c r="I12" s="33">
        <v>205581</v>
      </c>
      <c r="J12" s="68">
        <v>205581</v>
      </c>
      <c r="K12" s="68">
        <f t="shared" si="2"/>
        <v>0</v>
      </c>
      <c r="L12" s="68">
        <v>205581</v>
      </c>
      <c r="M12" s="68">
        <f t="shared" si="3"/>
        <v>0</v>
      </c>
      <c r="N12" s="33">
        <f>VLOOKUP(G12,'[30]01-09 al 30-09'!$G:$AJ,30,FALSE)</f>
        <v>205581</v>
      </c>
      <c r="O12" s="33">
        <f t="shared" si="6"/>
        <v>0</v>
      </c>
      <c r="P12" s="33">
        <f>VLOOKUP(G12,'[30]01-09 al 30-09'!$G:$AT,40,FALSE)</f>
        <v>205581</v>
      </c>
      <c r="Q12" s="33">
        <f t="shared" si="4"/>
        <v>0</v>
      </c>
      <c r="R12" s="33"/>
      <c r="S12" s="33"/>
      <c r="T12" s="33">
        <f t="shared" si="5"/>
        <v>0</v>
      </c>
      <c r="U12" s="34">
        <f t="shared" si="1"/>
        <v>1</v>
      </c>
      <c r="V12" s="118">
        <v>46146</v>
      </c>
      <c r="W12" s="146" t="s">
        <v>1173</v>
      </c>
      <c r="X12" s="15" t="s">
        <v>1164</v>
      </c>
    </row>
    <row r="13" spans="1:24" ht="16.5" customHeight="1" x14ac:dyDescent="0.25">
      <c r="A13" s="78" t="s">
        <v>86</v>
      </c>
      <c r="B13" s="78" t="s">
        <v>116</v>
      </c>
      <c r="C13" s="72" t="s">
        <v>98</v>
      </c>
      <c r="D13" s="108" t="s">
        <v>166</v>
      </c>
      <c r="E13" s="96" t="s">
        <v>235</v>
      </c>
      <c r="F13" s="78" t="s">
        <v>4</v>
      </c>
      <c r="G13" s="79" t="s">
        <v>70</v>
      </c>
      <c r="H13" s="88" t="s">
        <v>1182</v>
      </c>
      <c r="I13" s="33">
        <v>266934</v>
      </c>
      <c r="J13" s="68">
        <v>267284</v>
      </c>
      <c r="K13" s="68">
        <f t="shared" si="2"/>
        <v>350</v>
      </c>
      <c r="L13" s="68">
        <v>267678</v>
      </c>
      <c r="M13" s="68">
        <f t="shared" si="3"/>
        <v>394</v>
      </c>
      <c r="N13" s="33">
        <f>VLOOKUP(G13,'[30]01-09 al 30-09'!$G:$AJ,30,FALSE)</f>
        <v>267966</v>
      </c>
      <c r="O13" s="33">
        <f t="shared" si="6"/>
        <v>288</v>
      </c>
      <c r="P13" s="33">
        <f>VLOOKUP(G13,'[30]01-09 al 30-09'!$G:$AT,40,FALSE)</f>
        <v>268173</v>
      </c>
      <c r="Q13" s="33">
        <f t="shared" si="4"/>
        <v>207</v>
      </c>
      <c r="R13" s="33"/>
      <c r="S13" s="33"/>
      <c r="T13" s="33">
        <f t="shared" si="5"/>
        <v>1239</v>
      </c>
      <c r="U13" s="34">
        <f t="shared" si="1"/>
        <v>0</v>
      </c>
      <c r="V13" s="118">
        <v>46146</v>
      </c>
      <c r="W13" s="90" t="s">
        <v>1183</v>
      </c>
      <c r="X13" s="80" t="s">
        <v>1164</v>
      </c>
    </row>
    <row r="14" spans="1:24" ht="16.5" customHeight="1" x14ac:dyDescent="0.25">
      <c r="A14" s="78" t="s">
        <v>86</v>
      </c>
      <c r="B14" s="78" t="s">
        <v>116</v>
      </c>
      <c r="C14" s="73" t="s">
        <v>97</v>
      </c>
      <c r="D14" s="7" t="s">
        <v>169</v>
      </c>
      <c r="E14" s="30" t="s">
        <v>1035</v>
      </c>
      <c r="F14" s="78" t="s">
        <v>3</v>
      </c>
      <c r="G14" s="79" t="s">
        <v>61</v>
      </c>
      <c r="H14" s="88" t="s">
        <v>77</v>
      </c>
      <c r="I14" s="33">
        <v>838081</v>
      </c>
      <c r="J14" s="68">
        <v>839153</v>
      </c>
      <c r="K14" s="68">
        <f t="shared" si="2"/>
        <v>1072</v>
      </c>
      <c r="L14" s="68">
        <v>839790</v>
      </c>
      <c r="M14" s="68">
        <f t="shared" si="3"/>
        <v>637</v>
      </c>
      <c r="N14" s="33">
        <f>VLOOKUP(G14,'[30]01-09 al 30-09'!$G:$AJ,30,FALSE)</f>
        <v>840556</v>
      </c>
      <c r="O14" s="33">
        <f t="shared" si="6"/>
        <v>766</v>
      </c>
      <c r="P14" s="33">
        <f>VLOOKUP(G14,'[30]01-09 al 30-09'!$G:$AT,40,FALSE)</f>
        <v>841478</v>
      </c>
      <c r="Q14" s="33">
        <f t="shared" si="4"/>
        <v>922</v>
      </c>
      <c r="R14" s="33"/>
      <c r="S14" s="33"/>
      <c r="T14" s="33">
        <f t="shared" si="5"/>
        <v>3397</v>
      </c>
      <c r="U14" s="34">
        <f t="shared" si="1"/>
        <v>0</v>
      </c>
      <c r="V14" s="118">
        <v>46146</v>
      </c>
      <c r="W14" s="146"/>
      <c r="X14" s="15" t="s">
        <v>1164</v>
      </c>
    </row>
    <row r="15" spans="1:24" ht="16.5" customHeight="1" x14ac:dyDescent="0.25">
      <c r="A15" s="14" t="s">
        <v>86</v>
      </c>
      <c r="B15" s="78" t="s">
        <v>116</v>
      </c>
      <c r="C15" s="72" t="s">
        <v>110</v>
      </c>
      <c r="D15" s="7" t="s">
        <v>171</v>
      </c>
      <c r="E15" s="93" t="s">
        <v>241</v>
      </c>
      <c r="F15" s="78" t="s">
        <v>3</v>
      </c>
      <c r="G15" s="27" t="s">
        <v>51</v>
      </c>
      <c r="H15" s="6" t="s">
        <v>52</v>
      </c>
      <c r="I15" s="33">
        <v>1098140</v>
      </c>
      <c r="J15" s="68">
        <v>1101111</v>
      </c>
      <c r="K15" s="68">
        <f t="shared" si="2"/>
        <v>2971</v>
      </c>
      <c r="L15" s="68">
        <v>1104414</v>
      </c>
      <c r="M15" s="68">
        <f t="shared" si="3"/>
        <v>3303</v>
      </c>
      <c r="N15" s="33">
        <f>VLOOKUP(G15,'[30]01-09 al 30-09'!$G:$AJ,30,FALSE)</f>
        <v>1106950</v>
      </c>
      <c r="O15" s="33">
        <f t="shared" si="6"/>
        <v>2536</v>
      </c>
      <c r="P15" s="33">
        <f>VLOOKUP(G15,'[30]01-09 al 30-09'!$G:$AT,40,FALSE)</f>
        <v>1109858</v>
      </c>
      <c r="Q15" s="33">
        <f t="shared" si="4"/>
        <v>2908</v>
      </c>
      <c r="R15" s="33"/>
      <c r="S15" s="33"/>
      <c r="T15" s="33">
        <f t="shared" si="5"/>
        <v>11718</v>
      </c>
      <c r="U15" s="34">
        <f t="shared" si="1"/>
        <v>0</v>
      </c>
      <c r="V15" s="118">
        <v>46146</v>
      </c>
      <c r="W15" s="146"/>
      <c r="X15" s="15" t="s">
        <v>1164</v>
      </c>
    </row>
    <row r="16" spans="1:24" ht="16.5" customHeight="1" x14ac:dyDescent="0.25">
      <c r="A16" s="14" t="s">
        <v>86</v>
      </c>
      <c r="B16" s="78" t="s">
        <v>116</v>
      </c>
      <c r="C16" s="72" t="s">
        <v>109</v>
      </c>
      <c r="D16" s="7" t="s">
        <v>172</v>
      </c>
      <c r="E16" s="106" t="s">
        <v>1119</v>
      </c>
      <c r="F16" s="88" t="s">
        <v>118</v>
      </c>
      <c r="G16" s="6" t="s">
        <v>47</v>
      </c>
      <c r="H16" s="142" t="s">
        <v>69</v>
      </c>
      <c r="I16" s="33">
        <v>1437142</v>
      </c>
      <c r="J16" s="68">
        <v>1437635</v>
      </c>
      <c r="K16" s="68">
        <f t="shared" si="2"/>
        <v>493</v>
      </c>
      <c r="L16" s="68">
        <v>1438037</v>
      </c>
      <c r="M16" s="68">
        <f t="shared" si="3"/>
        <v>402</v>
      </c>
      <c r="N16" s="33">
        <f>VLOOKUP(G16,'[30]01-09 al 30-09'!$G:$AJ,30,FALSE)</f>
        <v>1438308</v>
      </c>
      <c r="O16" s="33">
        <f t="shared" si="6"/>
        <v>271</v>
      </c>
      <c r="P16" s="33">
        <f>VLOOKUP(G16,'[30]01-09 al 30-09'!$G:$AT,40,FALSE)</f>
        <v>1438883</v>
      </c>
      <c r="Q16" s="33">
        <f t="shared" si="4"/>
        <v>575</v>
      </c>
      <c r="R16" s="33"/>
      <c r="S16" s="33"/>
      <c r="T16" s="33">
        <f t="shared" si="5"/>
        <v>1741</v>
      </c>
      <c r="U16" s="34">
        <f t="shared" si="1"/>
        <v>0</v>
      </c>
      <c r="V16" s="118">
        <v>46146</v>
      </c>
      <c r="W16" s="146"/>
      <c r="X16" s="15" t="s">
        <v>1164</v>
      </c>
    </row>
    <row r="17" spans="1:24" ht="16.5" customHeight="1" x14ac:dyDescent="0.25">
      <c r="A17" s="14" t="s">
        <v>86</v>
      </c>
      <c r="B17" s="78" t="s">
        <v>116</v>
      </c>
      <c r="C17" s="72" t="s">
        <v>101</v>
      </c>
      <c r="D17" s="7" t="s">
        <v>1177</v>
      </c>
      <c r="E17" s="106" t="s">
        <v>1178</v>
      </c>
      <c r="F17" s="78" t="s">
        <v>3</v>
      </c>
      <c r="G17" s="6" t="s">
        <v>57</v>
      </c>
      <c r="H17" s="142" t="s">
        <v>1110</v>
      </c>
      <c r="I17" s="33">
        <v>433846</v>
      </c>
      <c r="J17" s="68">
        <v>434615</v>
      </c>
      <c r="K17" s="68">
        <f t="shared" si="2"/>
        <v>769</v>
      </c>
      <c r="L17" s="68">
        <v>435339</v>
      </c>
      <c r="M17" s="68">
        <f t="shared" si="3"/>
        <v>724</v>
      </c>
      <c r="N17" s="33">
        <f>VLOOKUP(G17,'[30]01-09 al 30-09'!$G:$AJ,30,FALSE)</f>
        <v>435880</v>
      </c>
      <c r="O17" s="33">
        <f t="shared" si="6"/>
        <v>541</v>
      </c>
      <c r="P17" s="33">
        <f>VLOOKUP(G17,'[30]01-09 al 30-09'!$G:$AT,40,FALSE)</f>
        <v>436751</v>
      </c>
      <c r="Q17" s="33">
        <f t="shared" si="4"/>
        <v>871</v>
      </c>
      <c r="R17" s="33"/>
      <c r="S17" s="33"/>
      <c r="T17" s="33">
        <f t="shared" si="5"/>
        <v>2905</v>
      </c>
      <c r="U17" s="34">
        <f t="shared" si="1"/>
        <v>0</v>
      </c>
      <c r="V17" s="118">
        <v>46146</v>
      </c>
      <c r="W17" s="146"/>
      <c r="X17" s="15" t="s">
        <v>1164</v>
      </c>
    </row>
    <row r="18" spans="1:24" ht="16.5" customHeight="1" x14ac:dyDescent="0.25">
      <c r="A18" s="14" t="s">
        <v>86</v>
      </c>
      <c r="B18" s="78" t="s">
        <v>116</v>
      </c>
      <c r="C18" s="73" t="s">
        <v>92</v>
      </c>
      <c r="D18" s="7" t="s">
        <v>1125</v>
      </c>
      <c r="E18" s="97" t="s">
        <v>249</v>
      </c>
      <c r="F18" s="78" t="s">
        <v>3</v>
      </c>
      <c r="G18" s="27" t="s">
        <v>1186</v>
      </c>
      <c r="H18" s="6" t="s">
        <v>12</v>
      </c>
      <c r="I18" s="33">
        <v>997610</v>
      </c>
      <c r="J18" s="68">
        <v>998791</v>
      </c>
      <c r="K18" s="68">
        <f t="shared" si="2"/>
        <v>1181</v>
      </c>
      <c r="L18" s="68">
        <v>999892</v>
      </c>
      <c r="M18" s="68">
        <f t="shared" si="3"/>
        <v>1101</v>
      </c>
      <c r="N18" s="33">
        <f>VLOOKUP(G18,'[30]01-09 al 30-09'!$G:$AJ,30,FALSE)</f>
        <v>1000818</v>
      </c>
      <c r="O18" s="33">
        <f t="shared" si="6"/>
        <v>926</v>
      </c>
      <c r="P18" s="33">
        <f>VLOOKUP(G18,'[30]01-09 al 30-09'!$G:$AT,40,FALSE)</f>
        <v>1001712</v>
      </c>
      <c r="Q18" s="33">
        <f t="shared" si="4"/>
        <v>894</v>
      </c>
      <c r="R18" s="33"/>
      <c r="S18" s="33"/>
      <c r="T18" s="33">
        <f t="shared" si="5"/>
        <v>4102</v>
      </c>
      <c r="U18" s="34">
        <f t="shared" si="1"/>
        <v>0</v>
      </c>
      <c r="V18" s="118">
        <v>46146</v>
      </c>
      <c r="W18" s="146" t="s">
        <v>1204</v>
      </c>
      <c r="X18" s="15" t="s">
        <v>1164</v>
      </c>
    </row>
    <row r="19" spans="1:24" ht="16.5" customHeight="1" x14ac:dyDescent="0.25">
      <c r="A19" s="14" t="s">
        <v>86</v>
      </c>
      <c r="B19" s="78" t="s">
        <v>116</v>
      </c>
      <c r="C19" s="73" t="s">
        <v>92</v>
      </c>
      <c r="D19" s="7" t="s">
        <v>1184</v>
      </c>
      <c r="E19" s="93" t="s">
        <v>1185</v>
      </c>
      <c r="F19" s="78" t="s">
        <v>4</v>
      </c>
      <c r="G19" s="27" t="s">
        <v>1189</v>
      </c>
      <c r="H19" s="6" t="s">
        <v>1187</v>
      </c>
      <c r="I19" s="33">
        <v>28692</v>
      </c>
      <c r="J19" s="68">
        <v>28692</v>
      </c>
      <c r="K19" s="68">
        <f t="shared" si="2"/>
        <v>0</v>
      </c>
      <c r="L19" s="68">
        <v>28693</v>
      </c>
      <c r="M19" s="68">
        <f t="shared" si="3"/>
        <v>1</v>
      </c>
      <c r="N19" s="33">
        <f>VLOOKUP(G19,'[30]01-09 al 30-09'!$G:$AJ,30,FALSE)</f>
        <v>28693</v>
      </c>
      <c r="O19" s="33">
        <f t="shared" si="6"/>
        <v>0</v>
      </c>
      <c r="P19" s="33">
        <f>VLOOKUP(G19,'[30]01-09 al 30-09'!$G:$AT,40,FALSE)</f>
        <v>28693</v>
      </c>
      <c r="Q19" s="33">
        <f t="shared" si="4"/>
        <v>0</v>
      </c>
      <c r="R19" s="33"/>
      <c r="S19" s="33"/>
      <c r="T19" s="33">
        <f t="shared" si="5"/>
        <v>1</v>
      </c>
      <c r="U19" s="34">
        <f t="shared" si="1"/>
        <v>1</v>
      </c>
      <c r="V19" s="118">
        <v>46146</v>
      </c>
      <c r="W19" s="146" t="s">
        <v>1188</v>
      </c>
      <c r="X19" s="15" t="s">
        <v>1164</v>
      </c>
    </row>
    <row r="20" spans="1:24" ht="16.5" customHeight="1" x14ac:dyDescent="0.25">
      <c r="A20" s="14" t="s">
        <v>86</v>
      </c>
      <c r="B20" s="78" t="s">
        <v>116</v>
      </c>
      <c r="C20" s="72" t="s">
        <v>104</v>
      </c>
      <c r="D20" s="7" t="s">
        <v>1062</v>
      </c>
      <c r="E20" s="93" t="s">
        <v>1063</v>
      </c>
      <c r="F20" s="78" t="s">
        <v>3</v>
      </c>
      <c r="G20" s="27" t="s">
        <v>1064</v>
      </c>
      <c r="H20" s="6" t="s">
        <v>66</v>
      </c>
      <c r="I20" s="33">
        <v>211332</v>
      </c>
      <c r="J20" s="68">
        <v>211596</v>
      </c>
      <c r="K20" s="68">
        <f t="shared" si="2"/>
        <v>264</v>
      </c>
      <c r="L20" s="68">
        <v>211835</v>
      </c>
      <c r="M20" s="68">
        <f t="shared" si="3"/>
        <v>239</v>
      </c>
      <c r="N20" s="33">
        <f>VLOOKUP(G20,'[30]01-09 al 30-09'!$G:$AJ,30,FALSE)</f>
        <v>212083</v>
      </c>
      <c r="O20" s="33">
        <f t="shared" si="6"/>
        <v>248</v>
      </c>
      <c r="P20" s="33">
        <f>VLOOKUP(G20,'[30]01-09 al 30-09'!$G:$AT,40,FALSE)</f>
        <v>212376</v>
      </c>
      <c r="Q20" s="33">
        <f t="shared" si="4"/>
        <v>293</v>
      </c>
      <c r="R20" s="33"/>
      <c r="S20" s="33"/>
      <c r="T20" s="33">
        <f t="shared" si="5"/>
        <v>1044</v>
      </c>
      <c r="U20" s="34">
        <f t="shared" si="1"/>
        <v>0</v>
      </c>
      <c r="V20" s="118">
        <v>46146</v>
      </c>
      <c r="W20" s="146"/>
      <c r="X20" s="15" t="s">
        <v>1164</v>
      </c>
    </row>
    <row r="21" spans="1:24" s="81" customFormat="1" ht="16.5" customHeight="1" x14ac:dyDescent="0.25">
      <c r="A21" s="14" t="s">
        <v>86</v>
      </c>
      <c r="B21" s="78" t="s">
        <v>116</v>
      </c>
      <c r="C21" s="72" t="s">
        <v>103</v>
      </c>
      <c r="D21" s="7" t="s">
        <v>178</v>
      </c>
      <c r="E21" s="93" t="s">
        <v>250</v>
      </c>
      <c r="F21" s="78" t="s">
        <v>3</v>
      </c>
      <c r="G21" s="27" t="s">
        <v>24</v>
      </c>
      <c r="H21" s="6" t="s">
        <v>25</v>
      </c>
      <c r="I21" s="33">
        <v>649324</v>
      </c>
      <c r="J21" s="68">
        <v>649656</v>
      </c>
      <c r="K21" s="68">
        <f t="shared" si="2"/>
        <v>332</v>
      </c>
      <c r="L21" s="68">
        <v>649998</v>
      </c>
      <c r="M21" s="68">
        <f t="shared" si="3"/>
        <v>342</v>
      </c>
      <c r="N21" s="33">
        <f>VLOOKUP(G21,'[30]01-09 al 30-09'!$G:$AJ,30,FALSE)</f>
        <v>650337</v>
      </c>
      <c r="O21" s="33">
        <f t="shared" si="6"/>
        <v>339</v>
      </c>
      <c r="P21" s="33">
        <f>VLOOKUP(G21,'[30]01-09 al 30-09'!$G:$AT,40,FALSE)</f>
        <v>650860</v>
      </c>
      <c r="Q21" s="33">
        <f t="shared" si="4"/>
        <v>523</v>
      </c>
      <c r="R21" s="33"/>
      <c r="S21" s="33"/>
      <c r="T21" s="33">
        <f t="shared" si="5"/>
        <v>1536</v>
      </c>
      <c r="U21" s="34">
        <f t="shared" si="1"/>
        <v>0</v>
      </c>
      <c r="V21" s="118">
        <v>46146</v>
      </c>
      <c r="W21" s="146"/>
      <c r="X21" s="15" t="s">
        <v>1164</v>
      </c>
    </row>
    <row r="22" spans="1:24" ht="16.5" customHeight="1" x14ac:dyDescent="0.25">
      <c r="A22" s="14" t="s">
        <v>86</v>
      </c>
      <c r="B22" s="78" t="s">
        <v>116</v>
      </c>
      <c r="C22" s="72" t="s">
        <v>88</v>
      </c>
      <c r="D22" s="11" t="s">
        <v>1126</v>
      </c>
      <c r="E22" s="97" t="s">
        <v>251</v>
      </c>
      <c r="F22" s="78" t="s">
        <v>3</v>
      </c>
      <c r="G22" s="27" t="s">
        <v>34</v>
      </c>
      <c r="H22" s="6" t="s">
        <v>35</v>
      </c>
      <c r="I22" s="33">
        <v>298790</v>
      </c>
      <c r="J22" s="68">
        <v>298869</v>
      </c>
      <c r="K22" s="68">
        <f t="shared" si="2"/>
        <v>79</v>
      </c>
      <c r="L22" s="68">
        <v>298952</v>
      </c>
      <c r="M22" s="68">
        <f t="shared" si="3"/>
        <v>83</v>
      </c>
      <c r="N22" s="33">
        <f>VLOOKUP(G22,'[30]01-09 al 30-09'!$G:$AJ,30,FALSE)</f>
        <v>298999</v>
      </c>
      <c r="O22" s="33">
        <f t="shared" si="6"/>
        <v>47</v>
      </c>
      <c r="P22" s="33">
        <f>VLOOKUP(G22,'[30]01-09 al 30-09'!$G:$AT,40,FALSE)</f>
        <v>299093</v>
      </c>
      <c r="Q22" s="33">
        <f t="shared" si="4"/>
        <v>94</v>
      </c>
      <c r="R22" s="33"/>
      <c r="S22" s="33"/>
      <c r="T22" s="33">
        <f t="shared" si="5"/>
        <v>303</v>
      </c>
      <c r="U22" s="34">
        <f t="shared" si="1"/>
        <v>0</v>
      </c>
      <c r="V22" s="118">
        <v>46146</v>
      </c>
      <c r="W22" s="146"/>
      <c r="X22" s="15" t="s">
        <v>1164</v>
      </c>
    </row>
    <row r="23" spans="1:24" ht="16.5" customHeight="1" x14ac:dyDescent="0.25">
      <c r="A23" s="14" t="s">
        <v>86</v>
      </c>
      <c r="B23" s="78" t="s">
        <v>116</v>
      </c>
      <c r="C23" s="73" t="s">
        <v>88</v>
      </c>
      <c r="D23" s="7" t="s">
        <v>1127</v>
      </c>
      <c r="E23" s="97" t="s">
        <v>1025</v>
      </c>
      <c r="F23" s="78" t="s">
        <v>3</v>
      </c>
      <c r="G23" s="27" t="s">
        <v>30</v>
      </c>
      <c r="H23" s="131" t="s">
        <v>31</v>
      </c>
      <c r="I23" s="33">
        <v>416503</v>
      </c>
      <c r="J23" s="68">
        <v>416591</v>
      </c>
      <c r="K23" s="68">
        <f t="shared" si="2"/>
        <v>88</v>
      </c>
      <c r="L23" s="68">
        <v>416653</v>
      </c>
      <c r="M23" s="68">
        <f t="shared" si="3"/>
        <v>62</v>
      </c>
      <c r="N23" s="33">
        <f>VLOOKUP(G23,'[30]01-09 al 30-09'!$G:$AJ,30,FALSE)</f>
        <v>416830</v>
      </c>
      <c r="O23" s="33">
        <f t="shared" si="6"/>
        <v>177</v>
      </c>
      <c r="P23" s="33">
        <f>VLOOKUP(G23,'[30]01-09 al 30-09'!$G:$AT,40,FALSE)</f>
        <v>416932</v>
      </c>
      <c r="Q23" s="33">
        <f t="shared" si="4"/>
        <v>102</v>
      </c>
      <c r="R23" s="33"/>
      <c r="S23" s="33"/>
      <c r="T23" s="33">
        <f t="shared" si="5"/>
        <v>429</v>
      </c>
      <c r="U23" s="34">
        <f t="shared" si="1"/>
        <v>0</v>
      </c>
      <c r="V23" s="118">
        <v>46146</v>
      </c>
      <c r="W23" s="112"/>
      <c r="X23" s="18" t="s">
        <v>1164</v>
      </c>
    </row>
    <row r="24" spans="1:24" ht="16.5" customHeight="1" x14ac:dyDescent="0.25">
      <c r="A24" s="14" t="s">
        <v>86</v>
      </c>
      <c r="B24" s="78" t="s">
        <v>116</v>
      </c>
      <c r="C24" s="73" t="s">
        <v>88</v>
      </c>
      <c r="D24" s="127" t="s">
        <v>1092</v>
      </c>
      <c r="E24" s="85" t="s">
        <v>267</v>
      </c>
      <c r="F24" s="78" t="s">
        <v>3</v>
      </c>
      <c r="G24" s="27" t="s">
        <v>1205</v>
      </c>
      <c r="H24" s="130" t="s">
        <v>281</v>
      </c>
      <c r="I24" s="33">
        <v>444132</v>
      </c>
      <c r="J24" s="68">
        <v>444618</v>
      </c>
      <c r="K24" s="68">
        <f t="shared" si="2"/>
        <v>486</v>
      </c>
      <c r="L24" s="68">
        <v>444909</v>
      </c>
      <c r="M24" s="68">
        <f t="shared" si="3"/>
        <v>291</v>
      </c>
      <c r="N24" s="33">
        <f>VLOOKUP(G24,'[30]01-09 al 30-09'!$G:$AJ,30,FALSE)</f>
        <v>445341</v>
      </c>
      <c r="O24" s="33">
        <f t="shared" si="6"/>
        <v>432</v>
      </c>
      <c r="P24" s="33">
        <f>VLOOKUP(G24,'[30]01-09 al 30-09'!$G:$AT,40,FALSE)</f>
        <v>445692</v>
      </c>
      <c r="Q24" s="33">
        <f t="shared" si="4"/>
        <v>351</v>
      </c>
      <c r="R24" s="33"/>
      <c r="S24" s="33"/>
      <c r="T24" s="33">
        <f t="shared" si="5"/>
        <v>1560</v>
      </c>
      <c r="U24" s="34">
        <f>COUNTIFS(P24:Q24,"=0")</f>
        <v>0</v>
      </c>
      <c r="V24" s="118">
        <v>46146</v>
      </c>
      <c r="W24" s="146" t="s">
        <v>1206</v>
      </c>
      <c r="X24" s="15" t="s">
        <v>1164</v>
      </c>
    </row>
    <row r="25" spans="1:24" ht="16.5" customHeight="1" x14ac:dyDescent="0.25">
      <c r="A25" s="78" t="s">
        <v>86</v>
      </c>
      <c r="B25" s="78" t="s">
        <v>116</v>
      </c>
      <c r="C25" s="73" t="s">
        <v>105</v>
      </c>
      <c r="D25" s="11" t="s">
        <v>1128</v>
      </c>
      <c r="E25" s="30" t="s">
        <v>253</v>
      </c>
      <c r="F25" s="78" t="s">
        <v>4</v>
      </c>
      <c r="G25" s="79" t="s">
        <v>211</v>
      </c>
      <c r="H25" s="88" t="s">
        <v>122</v>
      </c>
      <c r="I25" s="33">
        <v>109887</v>
      </c>
      <c r="J25" s="68">
        <v>109963</v>
      </c>
      <c r="K25" s="68">
        <f t="shared" si="2"/>
        <v>76</v>
      </c>
      <c r="L25" s="68">
        <v>110308</v>
      </c>
      <c r="M25" s="68">
        <f t="shared" si="3"/>
        <v>345</v>
      </c>
      <c r="N25" s="33">
        <f>VLOOKUP(G25,'[30]01-09 al 30-09'!$G:$AJ,30,FALSE)</f>
        <v>110311</v>
      </c>
      <c r="O25" s="33">
        <f t="shared" si="6"/>
        <v>3</v>
      </c>
      <c r="P25" s="33">
        <f>VLOOKUP(G25,'[30]01-09 al 30-09'!$G:$AT,40,FALSE)</f>
        <v>110331</v>
      </c>
      <c r="Q25" s="33">
        <f t="shared" si="4"/>
        <v>20</v>
      </c>
      <c r="R25" s="33"/>
      <c r="S25" s="33"/>
      <c r="T25" s="33">
        <f t="shared" si="5"/>
        <v>444</v>
      </c>
      <c r="U25" s="34">
        <f t="shared" si="1"/>
        <v>0</v>
      </c>
      <c r="V25" s="118">
        <v>46146</v>
      </c>
      <c r="W25" s="78" t="s">
        <v>218</v>
      </c>
      <c r="X25" s="132" t="s">
        <v>1164</v>
      </c>
    </row>
    <row r="26" spans="1:24" ht="16.5" customHeight="1" x14ac:dyDescent="0.25">
      <c r="A26" s="79" t="s">
        <v>86</v>
      </c>
      <c r="B26" s="79" t="s">
        <v>116</v>
      </c>
      <c r="C26" s="74" t="s">
        <v>105</v>
      </c>
      <c r="D26" s="7" t="s">
        <v>1093</v>
      </c>
      <c r="E26" s="124" t="s">
        <v>254</v>
      </c>
      <c r="F26" s="79" t="s">
        <v>4</v>
      </c>
      <c r="G26" s="79" t="s">
        <v>222</v>
      </c>
      <c r="H26" s="88" t="s">
        <v>127</v>
      </c>
      <c r="I26" s="33">
        <v>133578</v>
      </c>
      <c r="J26" s="68">
        <v>133578</v>
      </c>
      <c r="K26" s="68">
        <f t="shared" si="2"/>
        <v>0</v>
      </c>
      <c r="L26" s="68">
        <v>133578</v>
      </c>
      <c r="M26" s="68">
        <f t="shared" si="3"/>
        <v>0</v>
      </c>
      <c r="N26" s="33">
        <f>VLOOKUP(G26,'[30]01-09 al 30-09'!$G:$AJ,30,FALSE)</f>
        <v>133578</v>
      </c>
      <c r="O26" s="33">
        <f t="shared" si="6"/>
        <v>0</v>
      </c>
      <c r="P26" s="33">
        <f>VLOOKUP(G26,'[30]01-09 al 30-09'!$G:$AT,40,FALSE)</f>
        <v>133578</v>
      </c>
      <c r="Q26" s="33">
        <f t="shared" si="4"/>
        <v>0</v>
      </c>
      <c r="R26" s="33"/>
      <c r="S26" s="33"/>
      <c r="T26" s="33">
        <f t="shared" si="5"/>
        <v>0</v>
      </c>
      <c r="U26" s="34">
        <f t="shared" si="1"/>
        <v>1</v>
      </c>
      <c r="V26" s="118">
        <v>46146</v>
      </c>
      <c r="W26" s="149" t="s">
        <v>276</v>
      </c>
      <c r="X26" s="104" t="s">
        <v>1164</v>
      </c>
    </row>
    <row r="27" spans="1:24" ht="16.5" customHeight="1" x14ac:dyDescent="0.25">
      <c r="A27" s="1" t="s">
        <v>86</v>
      </c>
      <c r="B27" s="78" t="s">
        <v>116</v>
      </c>
      <c r="C27" s="72" t="s">
        <v>105</v>
      </c>
      <c r="D27" s="7" t="s">
        <v>180</v>
      </c>
      <c r="E27" s="97" t="s">
        <v>252</v>
      </c>
      <c r="F27" s="78" t="s">
        <v>118</v>
      </c>
      <c r="G27" s="21" t="s">
        <v>32</v>
      </c>
      <c r="H27" s="6" t="s">
        <v>1085</v>
      </c>
      <c r="I27" s="33">
        <v>1140516</v>
      </c>
      <c r="J27" s="68">
        <v>1141740</v>
      </c>
      <c r="K27" s="68">
        <f t="shared" si="2"/>
        <v>1224</v>
      </c>
      <c r="L27" s="68">
        <v>1142977</v>
      </c>
      <c r="M27" s="68">
        <f t="shared" si="3"/>
        <v>1237</v>
      </c>
      <c r="N27" s="33">
        <f>VLOOKUP(G27,'[30]01-09 al 30-09'!$G:$AJ,30,FALSE)</f>
        <v>1143711</v>
      </c>
      <c r="O27" s="33">
        <f t="shared" si="6"/>
        <v>734</v>
      </c>
      <c r="P27" s="33">
        <f>VLOOKUP(G27,'[30]01-09 al 30-09'!$G:$AT,40,FALSE)</f>
        <v>1144416</v>
      </c>
      <c r="Q27" s="33">
        <f t="shared" si="4"/>
        <v>705</v>
      </c>
      <c r="R27" s="33"/>
      <c r="S27" s="33"/>
      <c r="T27" s="33">
        <f t="shared" si="5"/>
        <v>3900</v>
      </c>
      <c r="U27" s="34">
        <f t="shared" si="1"/>
        <v>0</v>
      </c>
      <c r="V27" s="118">
        <v>46146</v>
      </c>
      <c r="W27" s="146"/>
      <c r="X27" s="15" t="s">
        <v>1164</v>
      </c>
    </row>
    <row r="28" spans="1:24" ht="16.5" customHeight="1" x14ac:dyDescent="0.25">
      <c r="A28" s="79" t="s">
        <v>86</v>
      </c>
      <c r="B28" s="79" t="s">
        <v>116</v>
      </c>
      <c r="C28" s="74" t="s">
        <v>107</v>
      </c>
      <c r="D28" s="7" t="s">
        <v>1161</v>
      </c>
      <c r="E28" s="122" t="s">
        <v>1162</v>
      </c>
      <c r="F28" s="78" t="s">
        <v>3</v>
      </c>
      <c r="G28" s="79" t="s">
        <v>67</v>
      </c>
      <c r="H28" s="88" t="s">
        <v>18</v>
      </c>
      <c r="I28" s="33">
        <v>919837</v>
      </c>
      <c r="J28" s="68">
        <v>922147</v>
      </c>
      <c r="K28" s="68">
        <f t="shared" si="2"/>
        <v>2310</v>
      </c>
      <c r="L28" s="68">
        <v>924590</v>
      </c>
      <c r="M28" s="68">
        <f t="shared" si="3"/>
        <v>2443</v>
      </c>
      <c r="N28" s="33">
        <f>VLOOKUP(G28,'[30]01-09 al 30-09'!$G:$AJ,30,FALSE)</f>
        <v>926210</v>
      </c>
      <c r="O28" s="33">
        <f t="shared" si="6"/>
        <v>1620</v>
      </c>
      <c r="P28" s="33">
        <f>VLOOKUP(G28,'[30]01-09 al 30-09'!$G:$AT,40,FALSE)</f>
        <v>928480</v>
      </c>
      <c r="Q28" s="33">
        <f t="shared" si="4"/>
        <v>2270</v>
      </c>
      <c r="R28" s="33"/>
      <c r="S28" s="33"/>
      <c r="T28" s="33">
        <f t="shared" si="5"/>
        <v>8643</v>
      </c>
      <c r="U28" s="34">
        <f t="shared" si="1"/>
        <v>0</v>
      </c>
      <c r="V28" s="118">
        <v>46146</v>
      </c>
      <c r="W28" s="149"/>
      <c r="X28" s="104" t="s">
        <v>1164</v>
      </c>
    </row>
    <row r="29" spans="1:24" ht="16.5" customHeight="1" x14ac:dyDescent="0.25">
      <c r="A29" s="14" t="s">
        <v>86</v>
      </c>
      <c r="B29" s="78" t="s">
        <v>116</v>
      </c>
      <c r="C29" s="72" t="s">
        <v>108</v>
      </c>
      <c r="D29" s="7" t="s">
        <v>181</v>
      </c>
      <c r="E29" s="106" t="s">
        <v>1116</v>
      </c>
      <c r="F29" s="78" t="s">
        <v>118</v>
      </c>
      <c r="G29" s="27" t="s">
        <v>43</v>
      </c>
      <c r="H29" s="6" t="s">
        <v>80</v>
      </c>
      <c r="I29" s="33">
        <v>966882</v>
      </c>
      <c r="J29" s="68">
        <v>972393</v>
      </c>
      <c r="K29" s="68">
        <f t="shared" si="2"/>
        <v>5511</v>
      </c>
      <c r="L29" s="68">
        <v>978103</v>
      </c>
      <c r="M29" s="68">
        <f t="shared" si="3"/>
        <v>5710</v>
      </c>
      <c r="N29" s="33">
        <f>VLOOKUP(G29,'[30]01-09 al 30-09'!$G:$AJ,30,FALSE)</f>
        <v>983407</v>
      </c>
      <c r="O29" s="33">
        <f t="shared" si="6"/>
        <v>5304</v>
      </c>
      <c r="P29" s="33">
        <f>VLOOKUP(G29,'[30]01-09 al 30-09'!$G:$AT,40,FALSE)</f>
        <v>989942</v>
      </c>
      <c r="Q29" s="33">
        <f t="shared" si="4"/>
        <v>6535</v>
      </c>
      <c r="R29" s="33"/>
      <c r="S29" s="33"/>
      <c r="T29" s="33">
        <f t="shared" si="5"/>
        <v>23060</v>
      </c>
      <c r="U29" s="34">
        <v>0</v>
      </c>
      <c r="V29" s="118">
        <v>46146</v>
      </c>
      <c r="W29" s="146"/>
      <c r="X29" s="15" t="s">
        <v>1164</v>
      </c>
    </row>
    <row r="30" spans="1:24" ht="16.5" customHeight="1" x14ac:dyDescent="0.25">
      <c r="A30" s="14" t="s">
        <v>86</v>
      </c>
      <c r="B30" s="78" t="s">
        <v>116</v>
      </c>
      <c r="C30" s="72" t="s">
        <v>108</v>
      </c>
      <c r="D30" s="7" t="s">
        <v>182</v>
      </c>
      <c r="E30" s="106" t="s">
        <v>1174</v>
      </c>
      <c r="F30" s="78" t="s">
        <v>3</v>
      </c>
      <c r="G30" s="27" t="s">
        <v>1175</v>
      </c>
      <c r="H30" s="142" t="s">
        <v>46</v>
      </c>
      <c r="I30" s="33">
        <v>1149002</v>
      </c>
      <c r="J30" s="68">
        <v>1149573</v>
      </c>
      <c r="K30" s="68">
        <f t="shared" si="2"/>
        <v>571</v>
      </c>
      <c r="L30" s="68">
        <v>1150059</v>
      </c>
      <c r="M30" s="68">
        <f t="shared" si="3"/>
        <v>486</v>
      </c>
      <c r="N30" s="33">
        <f>VLOOKUP(G30,'[30]01-09 al 30-09'!$G:$AJ,30,FALSE)</f>
        <v>1150333</v>
      </c>
      <c r="O30" s="33">
        <f t="shared" si="6"/>
        <v>274</v>
      </c>
      <c r="P30" s="33">
        <f>VLOOKUP(G30,'[30]01-09 al 30-09'!$G:$AT,40,FALSE)</f>
        <v>1150672</v>
      </c>
      <c r="Q30" s="33">
        <f t="shared" si="4"/>
        <v>339</v>
      </c>
      <c r="R30" s="33"/>
      <c r="S30" s="33"/>
      <c r="T30" s="33">
        <f t="shared" si="5"/>
        <v>1670</v>
      </c>
      <c r="U30" s="34">
        <v>0</v>
      </c>
      <c r="V30" s="118">
        <v>46146</v>
      </c>
      <c r="W30" s="146"/>
      <c r="X30" s="15" t="s">
        <v>1164</v>
      </c>
    </row>
    <row r="31" spans="1:24" ht="16.5" customHeight="1" x14ac:dyDescent="0.25">
      <c r="A31" s="14" t="s">
        <v>86</v>
      </c>
      <c r="B31" s="78" t="s">
        <v>116</v>
      </c>
      <c r="C31" s="72" t="s">
        <v>96</v>
      </c>
      <c r="D31" s="7" t="s">
        <v>183</v>
      </c>
      <c r="E31" s="95" t="s">
        <v>1076</v>
      </c>
      <c r="F31" s="78" t="s">
        <v>3</v>
      </c>
      <c r="G31" s="27" t="s">
        <v>1153</v>
      </c>
      <c r="H31" s="6" t="s">
        <v>1077</v>
      </c>
      <c r="I31" s="33">
        <v>197202</v>
      </c>
      <c r="J31" s="68">
        <v>197354</v>
      </c>
      <c r="K31" s="68">
        <f t="shared" si="2"/>
        <v>152</v>
      </c>
      <c r="L31" s="68">
        <v>197954</v>
      </c>
      <c r="M31" s="68">
        <f t="shared" si="3"/>
        <v>600</v>
      </c>
      <c r="N31" s="33">
        <f>VLOOKUP(G31,'[30]01-09 al 30-09'!$G:$AJ,30,FALSE)</f>
        <v>198577</v>
      </c>
      <c r="O31" s="33">
        <f t="shared" si="6"/>
        <v>623</v>
      </c>
      <c r="P31" s="33">
        <f>VLOOKUP(G31,'[30]01-09 al 30-09'!$G:$AT,40,FALSE)</f>
        <v>199152</v>
      </c>
      <c r="Q31" s="33">
        <f t="shared" si="4"/>
        <v>575</v>
      </c>
      <c r="R31" s="33"/>
      <c r="S31" s="33"/>
      <c r="T31" s="33">
        <f t="shared" si="5"/>
        <v>1950</v>
      </c>
      <c r="U31" s="34">
        <f t="shared" ref="U31:U41" si="7">COUNTIFS(P31:Q31,"=0")</f>
        <v>0</v>
      </c>
      <c r="V31" s="118">
        <v>46146</v>
      </c>
      <c r="W31" s="146"/>
      <c r="X31" s="15" t="s">
        <v>1164</v>
      </c>
    </row>
    <row r="32" spans="1:24" ht="16.5" customHeight="1" x14ac:dyDescent="0.25">
      <c r="A32" s="14" t="s">
        <v>86</v>
      </c>
      <c r="B32" s="78" t="s">
        <v>116</v>
      </c>
      <c r="C32" s="72" t="s">
        <v>96</v>
      </c>
      <c r="D32" s="11" t="s">
        <v>184</v>
      </c>
      <c r="E32" s="95" t="s">
        <v>242</v>
      </c>
      <c r="F32" s="78" t="s">
        <v>3</v>
      </c>
      <c r="G32" s="27" t="s">
        <v>1152</v>
      </c>
      <c r="H32" s="88" t="s">
        <v>1151</v>
      </c>
      <c r="I32" s="33">
        <v>1100568</v>
      </c>
      <c r="J32" s="68">
        <v>1102949</v>
      </c>
      <c r="K32" s="68">
        <f t="shared" si="2"/>
        <v>2381</v>
      </c>
      <c r="L32" s="68">
        <v>1104605</v>
      </c>
      <c r="M32" s="68">
        <f t="shared" si="3"/>
        <v>1656</v>
      </c>
      <c r="N32" s="33">
        <f>VLOOKUP(G32,'[30]01-09 al 30-09'!$G:$AJ,30,FALSE)</f>
        <v>1106973</v>
      </c>
      <c r="O32" s="33">
        <f t="shared" si="6"/>
        <v>2368</v>
      </c>
      <c r="P32" s="33">
        <f>VLOOKUP(G32,'[30]01-09 al 30-09'!$G:$AT,40,FALSE)</f>
        <v>1109190</v>
      </c>
      <c r="Q32" s="33">
        <f t="shared" si="4"/>
        <v>2217</v>
      </c>
      <c r="R32" s="33"/>
      <c r="S32" s="33"/>
      <c r="T32" s="33">
        <f t="shared" si="5"/>
        <v>8622</v>
      </c>
      <c r="U32" s="34">
        <f t="shared" si="7"/>
        <v>0</v>
      </c>
      <c r="V32" s="118">
        <v>46146</v>
      </c>
      <c r="W32" s="146"/>
      <c r="X32" s="15" t="s">
        <v>1164</v>
      </c>
    </row>
    <row r="33" spans="1:24" s="81" customFormat="1" ht="16.5" customHeight="1" x14ac:dyDescent="0.25">
      <c r="A33" s="14" t="s">
        <v>86</v>
      </c>
      <c r="B33" s="78" t="s">
        <v>116</v>
      </c>
      <c r="C33" s="72" t="s">
        <v>96</v>
      </c>
      <c r="D33" s="11" t="s">
        <v>1158</v>
      </c>
      <c r="E33" s="95" t="s">
        <v>245</v>
      </c>
      <c r="F33" s="78" t="s">
        <v>3</v>
      </c>
      <c r="G33" s="27" t="s">
        <v>17</v>
      </c>
      <c r="H33" s="6" t="s">
        <v>38</v>
      </c>
      <c r="I33" s="33">
        <v>439730</v>
      </c>
      <c r="J33" s="68">
        <v>440126</v>
      </c>
      <c r="K33" s="68">
        <f t="shared" si="2"/>
        <v>396</v>
      </c>
      <c r="L33" s="68">
        <v>440242</v>
      </c>
      <c r="M33" s="68">
        <f t="shared" si="3"/>
        <v>116</v>
      </c>
      <c r="N33" s="33">
        <f>VLOOKUP(G33,'[30]01-09 al 30-09'!$G:$AJ,30,FALSE)</f>
        <v>440345</v>
      </c>
      <c r="O33" s="33">
        <f t="shared" si="6"/>
        <v>103</v>
      </c>
      <c r="P33" s="33">
        <f>VLOOKUP(G33,'[30]01-09 al 30-09'!$G:$AT,40,FALSE)</f>
        <v>440578</v>
      </c>
      <c r="Q33" s="33">
        <f t="shared" si="4"/>
        <v>233</v>
      </c>
      <c r="R33" s="33"/>
      <c r="S33" s="33"/>
      <c r="T33" s="33">
        <f t="shared" si="5"/>
        <v>848</v>
      </c>
      <c r="U33" s="34">
        <f t="shared" si="7"/>
        <v>0</v>
      </c>
      <c r="V33" s="118">
        <v>46146</v>
      </c>
      <c r="W33" s="146"/>
      <c r="X33" s="15" t="s">
        <v>1164</v>
      </c>
    </row>
    <row r="34" spans="1:24" s="81" customFormat="1" ht="16.5" customHeight="1" x14ac:dyDescent="0.25">
      <c r="A34" s="14" t="s">
        <v>86</v>
      </c>
      <c r="B34" s="78" t="s">
        <v>116</v>
      </c>
      <c r="C34" s="72" t="s">
        <v>96</v>
      </c>
      <c r="D34" s="7" t="s">
        <v>1154</v>
      </c>
      <c r="E34" s="94" t="s">
        <v>244</v>
      </c>
      <c r="F34" s="78" t="s">
        <v>3</v>
      </c>
      <c r="G34" s="27" t="s">
        <v>1155</v>
      </c>
      <c r="H34" s="6" t="s">
        <v>207</v>
      </c>
      <c r="I34" s="33">
        <v>753817</v>
      </c>
      <c r="J34" s="68">
        <v>754538</v>
      </c>
      <c r="K34" s="68">
        <f t="shared" si="2"/>
        <v>721</v>
      </c>
      <c r="L34" s="68">
        <v>755285</v>
      </c>
      <c r="M34" s="68">
        <f t="shared" si="3"/>
        <v>747</v>
      </c>
      <c r="N34" s="33">
        <f>VLOOKUP(G34,'[30]01-09 al 30-09'!$G:$AJ,30,FALSE)</f>
        <v>756001</v>
      </c>
      <c r="O34" s="33">
        <f t="shared" si="6"/>
        <v>716</v>
      </c>
      <c r="P34" s="33">
        <f>VLOOKUP(G34,'[30]01-09 al 30-09'!$G:$AT,40,FALSE)</f>
        <v>756544</v>
      </c>
      <c r="Q34" s="33">
        <f t="shared" si="4"/>
        <v>543</v>
      </c>
      <c r="R34" s="33"/>
      <c r="S34" s="33"/>
      <c r="T34" s="33">
        <f t="shared" si="5"/>
        <v>2727</v>
      </c>
      <c r="U34" s="34">
        <f t="shared" si="7"/>
        <v>0</v>
      </c>
      <c r="V34" s="118">
        <v>46146</v>
      </c>
      <c r="W34" s="150"/>
      <c r="X34" s="120" t="s">
        <v>1164</v>
      </c>
    </row>
    <row r="35" spans="1:24" s="81" customFormat="1" ht="16.5" customHeight="1" x14ac:dyDescent="0.25">
      <c r="A35" s="14" t="s">
        <v>86</v>
      </c>
      <c r="B35" s="78" t="s">
        <v>116</v>
      </c>
      <c r="C35" s="72" t="s">
        <v>96</v>
      </c>
      <c r="D35" s="11" t="s">
        <v>1156</v>
      </c>
      <c r="E35" s="137" t="s">
        <v>244</v>
      </c>
      <c r="F35" s="78" t="s">
        <v>118</v>
      </c>
      <c r="G35" s="27" t="s">
        <v>1157</v>
      </c>
      <c r="H35" s="6" t="s">
        <v>62</v>
      </c>
      <c r="I35" s="33">
        <v>1700502</v>
      </c>
      <c r="J35" s="68">
        <v>1700502</v>
      </c>
      <c r="K35" s="68">
        <f t="shared" si="2"/>
        <v>0</v>
      </c>
      <c r="L35" s="68">
        <v>1700502</v>
      </c>
      <c r="M35" s="68">
        <f t="shared" si="3"/>
        <v>0</v>
      </c>
      <c r="N35" s="33">
        <f>VLOOKUP(G35,'[30]01-09 al 30-09'!$G:$AJ,30,FALSE)</f>
        <v>1700502</v>
      </c>
      <c r="O35" s="33">
        <f t="shared" si="6"/>
        <v>0</v>
      </c>
      <c r="P35" s="33">
        <f>VLOOKUP(G35,'[30]01-09 al 30-09'!$G:$AT,40,FALSE)</f>
        <v>1700502</v>
      </c>
      <c r="Q35" s="33">
        <f t="shared" si="4"/>
        <v>0</v>
      </c>
      <c r="R35" s="33"/>
      <c r="S35" s="33"/>
      <c r="T35" s="33">
        <f t="shared" si="5"/>
        <v>0</v>
      </c>
      <c r="U35" s="34">
        <f t="shared" si="7"/>
        <v>1</v>
      </c>
      <c r="V35" s="118">
        <v>46146</v>
      </c>
      <c r="W35" s="146"/>
      <c r="X35" s="15" t="s">
        <v>1164</v>
      </c>
    </row>
    <row r="36" spans="1:24" s="81" customFormat="1" ht="16.5" customHeight="1" x14ac:dyDescent="0.25">
      <c r="A36" s="14" t="s">
        <v>86</v>
      </c>
      <c r="B36" s="78" t="s">
        <v>116</v>
      </c>
      <c r="C36" s="72" t="s">
        <v>112</v>
      </c>
      <c r="D36" s="11" t="s">
        <v>185</v>
      </c>
      <c r="E36" s="85" t="s">
        <v>1027</v>
      </c>
      <c r="F36" s="78" t="s">
        <v>3</v>
      </c>
      <c r="G36" s="27" t="s">
        <v>72</v>
      </c>
      <c r="H36" s="6" t="s">
        <v>73</v>
      </c>
      <c r="I36" s="33">
        <v>623384</v>
      </c>
      <c r="J36" s="68">
        <v>623680</v>
      </c>
      <c r="K36" s="68">
        <f t="shared" si="2"/>
        <v>296</v>
      </c>
      <c r="L36" s="68">
        <v>623871</v>
      </c>
      <c r="M36" s="68">
        <f t="shared" si="3"/>
        <v>191</v>
      </c>
      <c r="N36" s="33">
        <f>VLOOKUP(G36,'[30]01-09 al 30-09'!$G:$AJ,30,FALSE)</f>
        <v>624048</v>
      </c>
      <c r="O36" s="33">
        <f t="shared" si="6"/>
        <v>177</v>
      </c>
      <c r="P36" s="33">
        <f>VLOOKUP(G36,'[30]01-09 al 30-09'!$G:$AT,40,FALSE)</f>
        <v>624332</v>
      </c>
      <c r="Q36" s="33">
        <f t="shared" si="4"/>
        <v>284</v>
      </c>
      <c r="R36" s="33"/>
      <c r="S36" s="33"/>
      <c r="T36" s="33">
        <f t="shared" si="5"/>
        <v>948</v>
      </c>
      <c r="U36" s="34">
        <f t="shared" si="7"/>
        <v>0</v>
      </c>
      <c r="V36" s="118">
        <v>46146</v>
      </c>
      <c r="W36" s="146"/>
      <c r="X36" s="15" t="s">
        <v>1164</v>
      </c>
    </row>
    <row r="37" spans="1:24" ht="16.5" customHeight="1" x14ac:dyDescent="0.25">
      <c r="A37" s="78" t="s">
        <v>86</v>
      </c>
      <c r="B37" s="78" t="s">
        <v>116</v>
      </c>
      <c r="C37" s="72" t="s">
        <v>91</v>
      </c>
      <c r="D37" s="11" t="s">
        <v>186</v>
      </c>
      <c r="E37" s="30" t="s">
        <v>1074</v>
      </c>
      <c r="F37" s="90" t="s">
        <v>3</v>
      </c>
      <c r="G37" s="79" t="s">
        <v>10</v>
      </c>
      <c r="H37" s="129" t="s">
        <v>41</v>
      </c>
      <c r="I37" s="33">
        <v>366630</v>
      </c>
      <c r="J37" s="68">
        <v>366630</v>
      </c>
      <c r="K37" s="68">
        <f t="shared" si="2"/>
        <v>0</v>
      </c>
      <c r="L37" s="68">
        <v>366630</v>
      </c>
      <c r="M37" s="68">
        <f t="shared" si="3"/>
        <v>0</v>
      </c>
      <c r="N37" s="33">
        <f>VLOOKUP(G37,'[30]01-09 al 30-09'!$G:$AJ,30,FALSE)</f>
        <v>366630</v>
      </c>
      <c r="O37" s="33">
        <f t="shared" si="6"/>
        <v>0</v>
      </c>
      <c r="P37" s="33">
        <f>VLOOKUP(G37,'[30]01-09 al 30-09'!$G:$AT,40,FALSE)</f>
        <v>366630</v>
      </c>
      <c r="Q37" s="33">
        <f t="shared" si="4"/>
        <v>0</v>
      </c>
      <c r="R37" s="33"/>
      <c r="S37" s="33"/>
      <c r="T37" s="33">
        <f t="shared" si="5"/>
        <v>0</v>
      </c>
      <c r="U37" s="34">
        <f t="shared" si="7"/>
        <v>1</v>
      </c>
      <c r="V37" s="118">
        <v>46146</v>
      </c>
      <c r="W37" s="90" t="s">
        <v>1208</v>
      </c>
      <c r="X37" s="80" t="s">
        <v>1207</v>
      </c>
    </row>
    <row r="38" spans="1:24" ht="16.5" customHeight="1" x14ac:dyDescent="0.25">
      <c r="A38" s="14" t="s">
        <v>86</v>
      </c>
      <c r="B38" s="78" t="s">
        <v>116</v>
      </c>
      <c r="C38" s="72" t="s">
        <v>106</v>
      </c>
      <c r="D38" s="10" t="s">
        <v>188</v>
      </c>
      <c r="E38" s="84" t="s">
        <v>264</v>
      </c>
      <c r="F38" s="78" t="s">
        <v>3</v>
      </c>
      <c r="G38" s="27" t="s">
        <v>71</v>
      </c>
      <c r="H38" s="6" t="s">
        <v>28</v>
      </c>
      <c r="I38" s="33">
        <v>569105</v>
      </c>
      <c r="J38" s="68">
        <v>569449</v>
      </c>
      <c r="K38" s="68">
        <f t="shared" si="2"/>
        <v>344</v>
      </c>
      <c r="L38" s="68">
        <v>569669</v>
      </c>
      <c r="M38" s="68">
        <f t="shared" si="3"/>
        <v>220</v>
      </c>
      <c r="N38" s="33">
        <f>VLOOKUP(G38,'[30]01-09 al 30-09'!$G:$AJ,30,FALSE)</f>
        <v>569903</v>
      </c>
      <c r="O38" s="33">
        <f t="shared" si="6"/>
        <v>234</v>
      </c>
      <c r="P38" s="33">
        <f>VLOOKUP(G38,'[30]01-09 al 30-09'!$G:$AT,40,FALSE)</f>
        <v>570285</v>
      </c>
      <c r="Q38" s="33">
        <f t="shared" si="4"/>
        <v>382</v>
      </c>
      <c r="R38" s="33"/>
      <c r="S38" s="33"/>
      <c r="T38" s="33">
        <f t="shared" si="5"/>
        <v>1180</v>
      </c>
      <c r="U38" s="34">
        <f t="shared" si="7"/>
        <v>0</v>
      </c>
      <c r="V38" s="118">
        <v>46146</v>
      </c>
      <c r="W38" s="151"/>
      <c r="X38" s="25" t="s">
        <v>1164</v>
      </c>
    </row>
    <row r="39" spans="1:24" ht="16.5" customHeight="1" x14ac:dyDescent="0.25">
      <c r="A39" s="14" t="s">
        <v>86</v>
      </c>
      <c r="B39" s="78" t="s">
        <v>116</v>
      </c>
      <c r="C39" s="73" t="s">
        <v>106</v>
      </c>
      <c r="D39" s="7" t="s">
        <v>187</v>
      </c>
      <c r="E39" s="31" t="s">
        <v>263</v>
      </c>
      <c r="F39" s="78" t="s">
        <v>3</v>
      </c>
      <c r="G39" s="27" t="s">
        <v>36</v>
      </c>
      <c r="H39" s="6" t="s">
        <v>37</v>
      </c>
      <c r="I39" s="33">
        <v>1024460</v>
      </c>
      <c r="J39" s="68">
        <v>1025226</v>
      </c>
      <c r="K39" s="68">
        <f t="shared" si="2"/>
        <v>766</v>
      </c>
      <c r="L39" s="68">
        <v>1025808</v>
      </c>
      <c r="M39" s="68">
        <f t="shared" si="3"/>
        <v>582</v>
      </c>
      <c r="N39" s="33">
        <f>VLOOKUP(G39,'[30]01-09 al 30-09'!$G:$AJ,30,FALSE)</f>
        <v>1026431</v>
      </c>
      <c r="O39" s="33">
        <f t="shared" si="6"/>
        <v>623</v>
      </c>
      <c r="P39" s="33">
        <f>VLOOKUP(G39,'[30]01-09 al 30-09'!$G:$AT,40,FALSE)</f>
        <v>1027534</v>
      </c>
      <c r="Q39" s="33">
        <f t="shared" si="4"/>
        <v>1103</v>
      </c>
      <c r="R39" s="33"/>
      <c r="S39" s="33"/>
      <c r="T39" s="33">
        <f t="shared" si="5"/>
        <v>3074</v>
      </c>
      <c r="U39" s="34">
        <f t="shared" si="7"/>
        <v>0</v>
      </c>
      <c r="V39" s="118">
        <v>46146</v>
      </c>
      <c r="W39" s="112"/>
      <c r="X39" s="18" t="s">
        <v>1164</v>
      </c>
    </row>
    <row r="40" spans="1:24" ht="16.5" customHeight="1" x14ac:dyDescent="0.25">
      <c r="A40" s="6" t="s">
        <v>86</v>
      </c>
      <c r="B40" s="88" t="s">
        <v>116</v>
      </c>
      <c r="C40" s="76" t="s">
        <v>87</v>
      </c>
      <c r="D40" s="11" t="s">
        <v>190</v>
      </c>
      <c r="E40" s="140" t="s">
        <v>214</v>
      </c>
      <c r="F40" s="88" t="s">
        <v>220</v>
      </c>
      <c r="G40" s="27" t="s">
        <v>83</v>
      </c>
      <c r="H40" s="6" t="s">
        <v>221</v>
      </c>
      <c r="I40" s="33">
        <v>118852</v>
      </c>
      <c r="J40" s="68">
        <v>119062</v>
      </c>
      <c r="K40" s="68">
        <f t="shared" si="2"/>
        <v>210</v>
      </c>
      <c r="L40" s="68">
        <v>119255</v>
      </c>
      <c r="M40" s="68">
        <f t="shared" si="3"/>
        <v>193</v>
      </c>
      <c r="N40" s="33">
        <f>VLOOKUP(G40,'[30]01-09 al 30-09'!$G:$AJ,30,FALSE)</f>
        <v>119517</v>
      </c>
      <c r="O40" s="33">
        <f t="shared" si="6"/>
        <v>262</v>
      </c>
      <c r="P40" s="33">
        <f>VLOOKUP(G40,'[30]01-09 al 30-09'!$G:$AT,40,FALSE)</f>
        <v>119742</v>
      </c>
      <c r="Q40" s="33">
        <f t="shared" si="4"/>
        <v>225</v>
      </c>
      <c r="R40" s="33"/>
      <c r="S40" s="33"/>
      <c r="T40" s="33">
        <f t="shared" si="5"/>
        <v>890</v>
      </c>
      <c r="U40" s="34">
        <f t="shared" si="7"/>
        <v>0</v>
      </c>
      <c r="V40" s="118">
        <v>46146</v>
      </c>
      <c r="W40" s="146" t="s">
        <v>1080</v>
      </c>
      <c r="X40" s="15" t="s">
        <v>1164</v>
      </c>
    </row>
    <row r="41" spans="1:24" ht="16.5" customHeight="1" x14ac:dyDescent="0.25">
      <c r="A41" s="14" t="s">
        <v>86</v>
      </c>
      <c r="B41" s="78" t="s">
        <v>116</v>
      </c>
      <c r="C41" s="72" t="s">
        <v>87</v>
      </c>
      <c r="D41" s="7" t="s">
        <v>161</v>
      </c>
      <c r="E41" s="28" t="s">
        <v>214</v>
      </c>
      <c r="F41" s="78" t="s">
        <v>3</v>
      </c>
      <c r="G41" s="22" t="s">
        <v>5</v>
      </c>
      <c r="H41" s="131" t="s">
        <v>6</v>
      </c>
      <c r="I41" s="33">
        <v>454121</v>
      </c>
      <c r="J41" s="68">
        <v>454478</v>
      </c>
      <c r="K41" s="68">
        <f t="shared" si="2"/>
        <v>357</v>
      </c>
      <c r="L41" s="68">
        <v>454823</v>
      </c>
      <c r="M41" s="68">
        <f t="shared" si="3"/>
        <v>345</v>
      </c>
      <c r="N41" s="33">
        <f>VLOOKUP(G41,'[30]01-09 al 30-09'!$G:$AJ,30,FALSE)</f>
        <v>455068</v>
      </c>
      <c r="O41" s="33">
        <f t="shared" si="6"/>
        <v>245</v>
      </c>
      <c r="P41" s="33">
        <f>VLOOKUP(G41,'[30]01-09 al 30-09'!$G:$AT,40,FALSE)</f>
        <v>455389</v>
      </c>
      <c r="Q41" s="33">
        <f t="shared" si="4"/>
        <v>321</v>
      </c>
      <c r="R41" s="33"/>
      <c r="S41" s="33"/>
      <c r="T41" s="33">
        <f t="shared" si="5"/>
        <v>1268</v>
      </c>
      <c r="U41" s="34">
        <f t="shared" si="7"/>
        <v>0</v>
      </c>
      <c r="V41" s="118">
        <v>46146</v>
      </c>
      <c r="W41" s="112" t="s">
        <v>1080</v>
      </c>
      <c r="X41" s="18" t="s">
        <v>1164</v>
      </c>
    </row>
    <row r="42" spans="1:24" ht="16.5" customHeight="1" x14ac:dyDescent="0.25">
      <c r="A42" s="2" t="s">
        <v>86</v>
      </c>
      <c r="B42" s="89" t="s">
        <v>116</v>
      </c>
      <c r="C42" s="71" t="s">
        <v>87</v>
      </c>
      <c r="D42" s="7" t="s">
        <v>1190</v>
      </c>
      <c r="E42" s="29" t="s">
        <v>1191</v>
      </c>
      <c r="F42" s="78" t="s">
        <v>42</v>
      </c>
      <c r="G42" s="24" t="s">
        <v>1084</v>
      </c>
      <c r="H42" s="110" t="s">
        <v>154</v>
      </c>
      <c r="I42" s="33">
        <v>44052</v>
      </c>
      <c r="J42" s="68">
        <v>44052</v>
      </c>
      <c r="K42" s="68">
        <f t="shared" si="2"/>
        <v>0</v>
      </c>
      <c r="L42" s="68">
        <v>44052</v>
      </c>
      <c r="M42" s="68">
        <f t="shared" si="3"/>
        <v>0</v>
      </c>
      <c r="N42" s="33">
        <f>VLOOKUP(G42,'[30]01-09 al 30-09'!$G:$AJ,30,FALSE)</f>
        <v>44052</v>
      </c>
      <c r="O42" s="33">
        <f t="shared" si="6"/>
        <v>0</v>
      </c>
      <c r="P42" s="33">
        <f>VLOOKUP(G42,'[30]01-09 al 30-09'!$G:$AT,40,FALSE)</f>
        <v>44055</v>
      </c>
      <c r="Q42" s="33">
        <f t="shared" si="4"/>
        <v>3</v>
      </c>
      <c r="R42" s="33"/>
      <c r="S42" s="33"/>
      <c r="T42" s="33">
        <f t="shared" si="5"/>
        <v>3</v>
      </c>
      <c r="U42" s="34">
        <v>0</v>
      </c>
      <c r="V42" s="118">
        <v>46146</v>
      </c>
      <c r="W42" s="146" t="s">
        <v>1192</v>
      </c>
      <c r="X42" s="15" t="s">
        <v>1164</v>
      </c>
    </row>
    <row r="43" spans="1:24" ht="16.5" customHeight="1" x14ac:dyDescent="0.25">
      <c r="A43" s="2" t="s">
        <v>86</v>
      </c>
      <c r="B43" s="89" t="s">
        <v>116</v>
      </c>
      <c r="C43" s="71" t="s">
        <v>87</v>
      </c>
      <c r="D43" s="7" t="s">
        <v>1198</v>
      </c>
      <c r="E43" s="29" t="s">
        <v>1199</v>
      </c>
      <c r="F43" s="78" t="s">
        <v>1200</v>
      </c>
      <c r="G43" s="24" t="s">
        <v>1201</v>
      </c>
      <c r="H43" s="110" t="s">
        <v>1202</v>
      </c>
      <c r="I43" s="33">
        <v>3783</v>
      </c>
      <c r="J43" s="68">
        <v>3783</v>
      </c>
      <c r="K43" s="68">
        <f t="shared" si="2"/>
        <v>0</v>
      </c>
      <c r="L43" s="68">
        <v>3783</v>
      </c>
      <c r="M43" s="68">
        <f t="shared" si="3"/>
        <v>0</v>
      </c>
      <c r="N43" s="33">
        <f>VLOOKUP(G43,'[30]01-09 al 30-09'!$G:$AJ,30,FALSE)</f>
        <v>3783</v>
      </c>
      <c r="O43" s="33">
        <f t="shared" si="6"/>
        <v>0</v>
      </c>
      <c r="P43" s="33">
        <f>VLOOKUP(G43,'[30]01-09 al 30-09'!$G:$AT,40,FALSE)</f>
        <v>3783</v>
      </c>
      <c r="Q43" s="33">
        <f t="shared" si="4"/>
        <v>0</v>
      </c>
      <c r="R43" s="33"/>
      <c r="S43" s="33"/>
      <c r="T43" s="33">
        <f t="shared" si="5"/>
        <v>0</v>
      </c>
      <c r="U43" s="34">
        <v>0</v>
      </c>
      <c r="V43" s="118">
        <v>46146</v>
      </c>
      <c r="W43" s="146" t="s">
        <v>1203</v>
      </c>
      <c r="X43" s="15" t="s">
        <v>1164</v>
      </c>
    </row>
    <row r="44" spans="1:24" ht="16.5" customHeight="1" x14ac:dyDescent="0.25">
      <c r="A44" s="78" t="s">
        <v>86</v>
      </c>
      <c r="B44" s="78" t="s">
        <v>116</v>
      </c>
      <c r="C44" s="72" t="s">
        <v>99</v>
      </c>
      <c r="D44" s="7" t="s">
        <v>193</v>
      </c>
      <c r="E44" s="141" t="s">
        <v>266</v>
      </c>
      <c r="F44" s="78" t="s">
        <v>4</v>
      </c>
      <c r="G44" s="79" t="s">
        <v>23</v>
      </c>
      <c r="H44" s="88" t="s">
        <v>124</v>
      </c>
      <c r="I44" s="33">
        <v>286299</v>
      </c>
      <c r="J44" s="68">
        <v>286330</v>
      </c>
      <c r="K44" s="68">
        <f t="shared" si="2"/>
        <v>31</v>
      </c>
      <c r="L44" s="68">
        <v>286359</v>
      </c>
      <c r="M44" s="68">
        <f t="shared" si="3"/>
        <v>29</v>
      </c>
      <c r="N44" s="33">
        <f>VLOOKUP(G44,'[30]01-09 al 30-09'!$G:$AJ,30,FALSE)</f>
        <v>286596</v>
      </c>
      <c r="O44" s="33">
        <f t="shared" si="6"/>
        <v>237</v>
      </c>
      <c r="P44" s="33">
        <f>VLOOKUP(G44,'[30]01-09 al 30-09'!$G:$AT,40,FALSE)</f>
        <v>286820</v>
      </c>
      <c r="Q44" s="33">
        <f t="shared" si="4"/>
        <v>224</v>
      </c>
      <c r="R44" s="33"/>
      <c r="S44" s="33"/>
      <c r="T44" s="33">
        <f t="shared" si="5"/>
        <v>521</v>
      </c>
      <c r="U44" s="34">
        <f t="shared" ref="U44:U49" si="8">COUNTIFS(P44:Q44,"=0")</f>
        <v>0</v>
      </c>
      <c r="V44" s="118">
        <v>46146</v>
      </c>
      <c r="W44" s="90"/>
      <c r="X44" s="80" t="s">
        <v>1164</v>
      </c>
    </row>
    <row r="45" spans="1:24" s="81" customFormat="1" ht="16.5" customHeight="1" x14ac:dyDescent="0.25">
      <c r="A45" s="14" t="s">
        <v>86</v>
      </c>
      <c r="B45" s="78" t="s">
        <v>116</v>
      </c>
      <c r="C45" s="72" t="s">
        <v>99</v>
      </c>
      <c r="D45" s="7" t="s">
        <v>194</v>
      </c>
      <c r="E45" s="31" t="s">
        <v>266</v>
      </c>
      <c r="F45" s="78" t="s">
        <v>3</v>
      </c>
      <c r="G45" s="27" t="s">
        <v>78</v>
      </c>
      <c r="H45" s="6" t="s">
        <v>79</v>
      </c>
      <c r="I45" s="33">
        <v>1235956</v>
      </c>
      <c r="J45" s="68">
        <v>1236408</v>
      </c>
      <c r="K45" s="68">
        <f t="shared" si="2"/>
        <v>452</v>
      </c>
      <c r="L45" s="68">
        <v>1237728</v>
      </c>
      <c r="M45" s="68">
        <f t="shared" si="3"/>
        <v>1320</v>
      </c>
      <c r="N45" s="33">
        <f>VLOOKUP(G45,'[30]01-09 al 30-09'!$G:$AJ,30,FALSE)</f>
        <v>1239181</v>
      </c>
      <c r="O45" s="33">
        <f t="shared" si="6"/>
        <v>1453</v>
      </c>
      <c r="P45" s="33">
        <f>VLOOKUP(G45,'[30]01-09 al 30-09'!$G:$AT,40,FALSE)</f>
        <v>1240457</v>
      </c>
      <c r="Q45" s="33">
        <f t="shared" si="4"/>
        <v>1276</v>
      </c>
      <c r="R45" s="33"/>
      <c r="S45" s="33"/>
      <c r="T45" s="33">
        <f t="shared" si="5"/>
        <v>4501</v>
      </c>
      <c r="U45" s="34">
        <f t="shared" si="8"/>
        <v>0</v>
      </c>
      <c r="V45" s="118">
        <v>46146</v>
      </c>
      <c r="W45" s="146"/>
      <c r="X45" s="15" t="s">
        <v>1164</v>
      </c>
    </row>
    <row r="46" spans="1:24" ht="16.5" customHeight="1" x14ac:dyDescent="0.25">
      <c r="A46" s="14" t="s">
        <v>86</v>
      </c>
      <c r="B46" s="78" t="s">
        <v>116</v>
      </c>
      <c r="C46" s="72" t="s">
        <v>100</v>
      </c>
      <c r="D46" s="7" t="s">
        <v>1033</v>
      </c>
      <c r="E46" s="31" t="s">
        <v>223</v>
      </c>
      <c r="F46" s="78" t="s">
        <v>289</v>
      </c>
      <c r="G46" s="14" t="s">
        <v>84</v>
      </c>
      <c r="H46" s="6" t="s">
        <v>290</v>
      </c>
      <c r="I46" s="33">
        <v>39872</v>
      </c>
      <c r="J46" s="68">
        <v>40021</v>
      </c>
      <c r="K46" s="68">
        <f t="shared" si="2"/>
        <v>149</v>
      </c>
      <c r="L46" s="68">
        <v>40102</v>
      </c>
      <c r="M46" s="68">
        <f t="shared" si="3"/>
        <v>81</v>
      </c>
      <c r="N46" s="33">
        <f>VLOOKUP(G46,'[30]01-09 al 30-09'!$G:$AJ,30,FALSE)</f>
        <v>40276</v>
      </c>
      <c r="O46" s="33">
        <f t="shared" si="6"/>
        <v>174</v>
      </c>
      <c r="P46" s="33">
        <f>VLOOKUP(G46,'[30]01-09 al 30-09'!$G:$AT,40,FALSE)</f>
        <v>40425</v>
      </c>
      <c r="Q46" s="33">
        <f t="shared" si="4"/>
        <v>149</v>
      </c>
      <c r="R46" s="33"/>
      <c r="S46" s="33"/>
      <c r="T46" s="33">
        <f t="shared" si="5"/>
        <v>553</v>
      </c>
      <c r="U46" s="34">
        <f t="shared" si="8"/>
        <v>0</v>
      </c>
      <c r="V46" s="118">
        <v>46146</v>
      </c>
      <c r="W46" s="146"/>
      <c r="X46" s="15" t="s">
        <v>1164</v>
      </c>
    </row>
    <row r="47" spans="1:24" ht="16.5" customHeight="1" x14ac:dyDescent="0.25">
      <c r="A47" s="14" t="s">
        <v>86</v>
      </c>
      <c r="B47" s="78" t="s">
        <v>116</v>
      </c>
      <c r="C47" s="72" t="s">
        <v>100</v>
      </c>
      <c r="D47" s="7" t="s">
        <v>196</v>
      </c>
      <c r="E47" s="31" t="s">
        <v>223</v>
      </c>
      <c r="F47" s="78" t="s">
        <v>3</v>
      </c>
      <c r="G47" s="27" t="s">
        <v>21</v>
      </c>
      <c r="H47" s="6" t="s">
        <v>22</v>
      </c>
      <c r="I47" s="33">
        <v>161663</v>
      </c>
      <c r="J47" s="68">
        <v>161684</v>
      </c>
      <c r="K47" s="68">
        <f t="shared" si="2"/>
        <v>21</v>
      </c>
      <c r="L47" s="68">
        <v>161728</v>
      </c>
      <c r="M47" s="68">
        <f t="shared" si="3"/>
        <v>44</v>
      </c>
      <c r="N47" s="33">
        <f>VLOOKUP(G47,'[30]01-09 al 30-09'!$G:$AJ,30,FALSE)</f>
        <v>161741</v>
      </c>
      <c r="O47" s="33">
        <f t="shared" si="6"/>
        <v>13</v>
      </c>
      <c r="P47" s="33">
        <f>VLOOKUP(G47,'[30]01-09 al 30-09'!$G:$AT,40,FALSE)</f>
        <v>161797</v>
      </c>
      <c r="Q47" s="33">
        <f t="shared" si="4"/>
        <v>56</v>
      </c>
      <c r="R47" s="33"/>
      <c r="S47" s="33"/>
      <c r="T47" s="33">
        <f t="shared" si="5"/>
        <v>134</v>
      </c>
      <c r="U47" s="34">
        <f t="shared" si="8"/>
        <v>0</v>
      </c>
      <c r="V47" s="118">
        <v>46146</v>
      </c>
      <c r="W47" s="146"/>
      <c r="X47" s="15" t="s">
        <v>1164</v>
      </c>
    </row>
    <row r="48" spans="1:24" ht="16.5" customHeight="1" x14ac:dyDescent="0.25">
      <c r="A48" s="14" t="s">
        <v>86</v>
      </c>
      <c r="B48" s="78" t="s">
        <v>116</v>
      </c>
      <c r="C48" s="72" t="s">
        <v>100</v>
      </c>
      <c r="D48" s="110" t="s">
        <v>197</v>
      </c>
      <c r="E48" s="99" t="s">
        <v>268</v>
      </c>
      <c r="F48" s="78" t="s">
        <v>42</v>
      </c>
      <c r="G48" s="27" t="s">
        <v>75</v>
      </c>
      <c r="H48" s="6" t="s">
        <v>147</v>
      </c>
      <c r="I48" s="33">
        <v>24083</v>
      </c>
      <c r="J48" s="68">
        <v>24136</v>
      </c>
      <c r="K48" s="68">
        <f t="shared" si="2"/>
        <v>53</v>
      </c>
      <c r="L48" s="68">
        <v>24168</v>
      </c>
      <c r="M48" s="68">
        <f t="shared" si="3"/>
        <v>32</v>
      </c>
      <c r="N48" s="33">
        <f>VLOOKUP(G48,'[30]01-09 al 30-09'!$G:$AJ,30,FALSE)</f>
        <v>24227</v>
      </c>
      <c r="O48" s="33">
        <f t="shared" si="6"/>
        <v>59</v>
      </c>
      <c r="P48" s="33">
        <f>VLOOKUP(G48,'[30]01-09 al 30-09'!$G:$AT,40,FALSE)</f>
        <v>24244</v>
      </c>
      <c r="Q48" s="33">
        <f t="shared" si="4"/>
        <v>17</v>
      </c>
      <c r="R48" s="33"/>
      <c r="S48" s="33"/>
      <c r="T48" s="33">
        <f t="shared" si="5"/>
        <v>161</v>
      </c>
      <c r="U48" s="34">
        <f t="shared" si="8"/>
        <v>0</v>
      </c>
      <c r="V48" s="118">
        <v>46146</v>
      </c>
      <c r="W48" s="146"/>
      <c r="X48" s="15" t="s">
        <v>1164</v>
      </c>
    </row>
    <row r="49" spans="1:24" ht="16.5" customHeight="1" x14ac:dyDescent="0.25">
      <c r="A49" s="2" t="s">
        <v>86</v>
      </c>
      <c r="B49" s="89" t="s">
        <v>116</v>
      </c>
      <c r="C49" s="71" t="s">
        <v>100</v>
      </c>
      <c r="D49" s="7" t="s">
        <v>1032</v>
      </c>
      <c r="E49" s="31" t="s">
        <v>223</v>
      </c>
      <c r="F49" s="78" t="s">
        <v>42</v>
      </c>
      <c r="G49" s="24" t="s">
        <v>158</v>
      </c>
      <c r="H49" s="102" t="s">
        <v>159</v>
      </c>
      <c r="I49" s="33">
        <v>11601</v>
      </c>
      <c r="J49" s="68">
        <v>11601</v>
      </c>
      <c r="K49" s="68">
        <f t="shared" si="2"/>
        <v>0</v>
      </c>
      <c r="L49" s="68">
        <v>11602</v>
      </c>
      <c r="M49" s="68">
        <f t="shared" si="3"/>
        <v>1</v>
      </c>
      <c r="N49" s="33">
        <f>VLOOKUP(G49,'[30]01-09 al 30-09'!$G:$AJ,30,FALSE)</f>
        <v>11602</v>
      </c>
      <c r="O49" s="33">
        <f t="shared" si="6"/>
        <v>0</v>
      </c>
      <c r="P49" s="33">
        <f>VLOOKUP(G49,'[30]01-09 al 30-09'!$G:$AT,40,FALSE)</f>
        <v>11607</v>
      </c>
      <c r="Q49" s="33">
        <f t="shared" si="4"/>
        <v>5</v>
      </c>
      <c r="R49" s="33"/>
      <c r="S49" s="33"/>
      <c r="T49" s="33">
        <f t="shared" si="5"/>
        <v>6</v>
      </c>
      <c r="U49" s="34">
        <f t="shared" si="8"/>
        <v>0</v>
      </c>
      <c r="V49" s="118">
        <v>46146</v>
      </c>
      <c r="W49" s="146"/>
      <c r="X49" s="15" t="s">
        <v>1164</v>
      </c>
    </row>
    <row r="50" spans="1:24" ht="16.5" customHeight="1" x14ac:dyDescent="0.25">
      <c r="A50" s="2" t="s">
        <v>86</v>
      </c>
      <c r="B50" s="89" t="s">
        <v>116</v>
      </c>
      <c r="C50" s="71" t="s">
        <v>1193</v>
      </c>
      <c r="D50" s="9" t="s">
        <v>1130</v>
      </c>
      <c r="E50" s="31" t="s">
        <v>1194</v>
      </c>
      <c r="F50" s="89" t="s">
        <v>4</v>
      </c>
      <c r="G50" s="24" t="s">
        <v>1195</v>
      </c>
      <c r="H50" s="102" t="s">
        <v>141</v>
      </c>
      <c r="I50" s="33">
        <v>154567</v>
      </c>
      <c r="J50" s="68">
        <v>154567</v>
      </c>
      <c r="K50" s="68">
        <f t="shared" si="2"/>
        <v>0</v>
      </c>
      <c r="L50" s="68">
        <v>154567</v>
      </c>
      <c r="M50" s="68">
        <f t="shared" si="3"/>
        <v>0</v>
      </c>
      <c r="N50" s="33">
        <f>VLOOKUP(G50,'[30]01-09 al 30-09'!$G:$AJ,30,FALSE)</f>
        <v>154567</v>
      </c>
      <c r="O50" s="33">
        <f t="shared" si="6"/>
        <v>0</v>
      </c>
      <c r="P50" s="33">
        <f>VLOOKUP(G50,'[30]01-09 al 30-09'!$G:$AT,40,FALSE)</f>
        <v>154567</v>
      </c>
      <c r="Q50" s="33">
        <f t="shared" si="4"/>
        <v>0</v>
      </c>
      <c r="R50" s="33"/>
      <c r="S50" s="33"/>
      <c r="T50" s="33">
        <f t="shared" si="5"/>
        <v>0</v>
      </c>
      <c r="U50" s="34">
        <v>0</v>
      </c>
      <c r="V50" s="118">
        <v>46146</v>
      </c>
      <c r="W50" s="146" t="s">
        <v>1196</v>
      </c>
      <c r="X50" s="15" t="s">
        <v>1164</v>
      </c>
    </row>
    <row r="51" spans="1:24" s="81" customFormat="1" ht="16.5" customHeight="1" x14ac:dyDescent="0.25">
      <c r="A51" s="89" t="s">
        <v>86</v>
      </c>
      <c r="B51" s="87" t="s">
        <v>116</v>
      </c>
      <c r="C51" s="17" t="s">
        <v>274</v>
      </c>
      <c r="D51" s="9" t="s">
        <v>1024</v>
      </c>
      <c r="E51" s="29" t="s">
        <v>224</v>
      </c>
      <c r="F51" s="89" t="s">
        <v>4</v>
      </c>
      <c r="G51" s="103" t="s">
        <v>135</v>
      </c>
      <c r="H51" s="145" t="s">
        <v>136</v>
      </c>
      <c r="I51" s="33">
        <v>206914</v>
      </c>
      <c r="J51" s="68">
        <v>207240</v>
      </c>
      <c r="K51" s="68">
        <f t="shared" si="2"/>
        <v>326</v>
      </c>
      <c r="L51" s="68">
        <v>207462</v>
      </c>
      <c r="M51" s="68">
        <f t="shared" si="3"/>
        <v>222</v>
      </c>
      <c r="N51" s="33">
        <f>VLOOKUP(G51,'[30]01-09 al 30-09'!$G:$AJ,30,FALSE)</f>
        <v>207678</v>
      </c>
      <c r="O51" s="33">
        <f t="shared" si="6"/>
        <v>216</v>
      </c>
      <c r="P51" s="33">
        <f>VLOOKUP(G51,'[30]01-09 al 30-09'!$G:$AT,40,FALSE)</f>
        <v>208051</v>
      </c>
      <c r="Q51" s="33">
        <f t="shared" si="4"/>
        <v>373</v>
      </c>
      <c r="R51" s="33"/>
      <c r="S51" s="33"/>
      <c r="T51" s="33">
        <f t="shared" si="5"/>
        <v>1137</v>
      </c>
      <c r="U51" s="34">
        <f>COUNTIFS(P51:Q51,"=0")</f>
        <v>0</v>
      </c>
      <c r="V51" s="118">
        <v>46146</v>
      </c>
      <c r="W51" s="90"/>
      <c r="X51" s="80" t="s">
        <v>1164</v>
      </c>
    </row>
    <row r="52" spans="1:24" ht="16.5" customHeight="1" x14ac:dyDescent="0.25">
      <c r="A52" s="78" t="s">
        <v>86</v>
      </c>
      <c r="B52" s="78" t="s">
        <v>116</v>
      </c>
      <c r="C52" s="17" t="s">
        <v>275</v>
      </c>
      <c r="D52" s="111" t="s">
        <v>228</v>
      </c>
      <c r="E52" s="123" t="s">
        <v>227</v>
      </c>
      <c r="F52" s="89" t="s">
        <v>4</v>
      </c>
      <c r="G52" s="79" t="s">
        <v>203</v>
      </c>
      <c r="H52" s="88" t="s">
        <v>204</v>
      </c>
      <c r="I52" s="33">
        <v>352851</v>
      </c>
      <c r="J52" s="68">
        <v>353512</v>
      </c>
      <c r="K52" s="68">
        <f t="shared" si="2"/>
        <v>661</v>
      </c>
      <c r="L52" s="68">
        <v>354336</v>
      </c>
      <c r="M52" s="68">
        <f t="shared" si="3"/>
        <v>824</v>
      </c>
      <c r="N52" s="33">
        <f>VLOOKUP(G52,'[30]01-09 al 30-09'!$G:$AJ,30,FALSE)</f>
        <v>355117</v>
      </c>
      <c r="O52" s="33">
        <f t="shared" si="6"/>
        <v>781</v>
      </c>
      <c r="P52" s="33">
        <f>VLOOKUP(G52,'[30]01-09 al 30-09'!$G:$AT,40,FALSE)</f>
        <v>355972</v>
      </c>
      <c r="Q52" s="33">
        <f t="shared" si="4"/>
        <v>855</v>
      </c>
      <c r="R52" s="33"/>
      <c r="S52" s="33"/>
      <c r="T52" s="33">
        <f t="shared" si="5"/>
        <v>3121</v>
      </c>
      <c r="U52" s="34">
        <f>COUNTIFS(P52:Q52,"=0")</f>
        <v>0</v>
      </c>
      <c r="V52" s="118">
        <v>46146</v>
      </c>
      <c r="W52" s="90"/>
      <c r="X52" s="80" t="s">
        <v>1164</v>
      </c>
    </row>
  </sheetData>
  <autoFilter ref="A1:X52"/>
  <conditionalFormatting sqref="I2:T52">
    <cfRule type="cellIs" dxfId="298" priority="117" operator="equal">
      <formula>0</formula>
    </cfRule>
  </conditionalFormatting>
  <conditionalFormatting sqref="U2:U7 U38:U52 U9:U36">
    <cfRule type="cellIs" dxfId="297" priority="114" operator="greaterThan">
      <formula>6</formula>
    </cfRule>
    <cfRule type="cellIs" dxfId="296" priority="115" operator="between">
      <formula>3</formula>
      <formula>5</formula>
    </cfRule>
    <cfRule type="cellIs" dxfId="295" priority="116" operator="between">
      <formula>0</formula>
      <formula>2</formula>
    </cfRule>
  </conditionalFormatting>
  <conditionalFormatting sqref="G38:G1048576 G36 G2:G7 G9:G11 G21:G24 G26:G34 G13:G19">
    <cfRule type="duplicateValues" dxfId="294" priority="98"/>
  </conditionalFormatting>
  <conditionalFormatting sqref="G20">
    <cfRule type="duplicateValues" dxfId="293" priority="83"/>
  </conditionalFormatting>
  <conditionalFormatting sqref="G35">
    <cfRule type="duplicateValues" dxfId="292" priority="66"/>
  </conditionalFormatting>
  <conditionalFormatting sqref="U8">
    <cfRule type="cellIs" dxfId="291" priority="57" operator="greaterThan">
      <formula>6</formula>
    </cfRule>
    <cfRule type="cellIs" dxfId="290" priority="58" operator="between">
      <formula>3</formula>
      <formula>5</formula>
    </cfRule>
    <cfRule type="cellIs" dxfId="289" priority="59" operator="between">
      <formula>0</formula>
      <formula>2</formula>
    </cfRule>
  </conditionalFormatting>
  <conditionalFormatting sqref="U37">
    <cfRule type="cellIs" dxfId="288" priority="50" operator="greaterThan">
      <formula>6</formula>
    </cfRule>
    <cfRule type="cellIs" dxfId="287" priority="51" operator="between">
      <formula>3</formula>
      <formula>5</formula>
    </cfRule>
    <cfRule type="cellIs" dxfId="286" priority="52" operator="between">
      <formula>0</formula>
      <formula>2</formula>
    </cfRule>
  </conditionalFormatting>
  <conditionalFormatting sqref="G37">
    <cfRule type="duplicateValues" dxfId="285" priority="48"/>
  </conditionalFormatting>
  <conditionalFormatting sqref="G1">
    <cfRule type="duplicateValues" dxfId="284" priority="47"/>
  </conditionalFormatting>
  <conditionalFormatting sqref="H25">
    <cfRule type="duplicateValues" dxfId="283" priority="36"/>
  </conditionalFormatting>
  <conditionalFormatting sqref="H25">
    <cfRule type="duplicateValues" dxfId="282" priority="37"/>
    <cfRule type="duplicateValues" dxfId="281" priority="38"/>
  </conditionalFormatting>
  <conditionalFormatting sqref="H25">
    <cfRule type="duplicateValues" dxfId="280" priority="39"/>
  </conditionalFormatting>
  <conditionalFormatting sqref="H12">
    <cfRule type="duplicateValues" dxfId="279" priority="6"/>
  </conditionalFormatting>
  <conditionalFormatting sqref="G12">
    <cfRule type="duplicateValues" dxfId="278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85</v>
      </c>
      <c r="B1" s="35" t="s">
        <v>119</v>
      </c>
      <c r="C1" s="35" t="s">
        <v>292</v>
      </c>
      <c r="D1" s="35" t="s">
        <v>293</v>
      </c>
      <c r="E1" s="35" t="s">
        <v>0</v>
      </c>
      <c r="F1" s="35" t="s">
        <v>294</v>
      </c>
      <c r="G1" s="35" t="s">
        <v>1</v>
      </c>
      <c r="H1" s="35">
        <v>42643</v>
      </c>
      <c r="I1" s="35" t="s">
        <v>295</v>
      </c>
      <c r="J1" s="35" t="s">
        <v>296</v>
      </c>
      <c r="K1" s="35" t="s">
        <v>297</v>
      </c>
      <c r="L1" s="35" t="s">
        <v>298</v>
      </c>
      <c r="M1" s="35" t="s">
        <v>299</v>
      </c>
      <c r="N1" s="35" t="s">
        <v>300</v>
      </c>
      <c r="O1" s="35" t="s">
        <v>301</v>
      </c>
      <c r="P1" s="35" t="s">
        <v>302</v>
      </c>
      <c r="Q1" s="35">
        <v>42674</v>
      </c>
      <c r="R1" s="35" t="s">
        <v>303</v>
      </c>
      <c r="S1" s="35" t="s">
        <v>208</v>
      </c>
      <c r="T1" s="35" t="s">
        <v>205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304</v>
      </c>
      <c r="B2" s="38" t="s">
        <v>305</v>
      </c>
      <c r="C2" s="39">
        <v>9262</v>
      </c>
      <c r="D2" s="38" t="s">
        <v>306</v>
      </c>
      <c r="E2" s="38" t="s">
        <v>4</v>
      </c>
      <c r="F2" s="38" t="s">
        <v>307</v>
      </c>
      <c r="G2" s="38" t="s">
        <v>308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309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310</v>
      </c>
      <c r="B3" s="38" t="s">
        <v>311</v>
      </c>
      <c r="C3" s="39">
        <v>9296</v>
      </c>
      <c r="D3" s="38" t="s">
        <v>312</v>
      </c>
      <c r="E3" s="38" t="s">
        <v>3</v>
      </c>
      <c r="F3" s="38" t="s">
        <v>313</v>
      </c>
      <c r="G3" s="38" t="s">
        <v>314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315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310</v>
      </c>
      <c r="B4" s="38" t="s">
        <v>311</v>
      </c>
      <c r="C4" s="39">
        <v>9296</v>
      </c>
      <c r="D4" s="38" t="s">
        <v>316</v>
      </c>
      <c r="E4" s="38" t="s">
        <v>4</v>
      </c>
      <c r="F4" s="38" t="s">
        <v>317</v>
      </c>
      <c r="G4" s="38" t="s">
        <v>318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319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320</v>
      </c>
      <c r="B5" s="43" t="s">
        <v>321</v>
      </c>
      <c r="C5" s="44">
        <v>9611</v>
      </c>
      <c r="D5" s="38" t="s">
        <v>322</v>
      </c>
      <c r="E5" s="13" t="s">
        <v>4</v>
      </c>
      <c r="F5" s="38" t="s">
        <v>323</v>
      </c>
      <c r="G5" s="13" t="s">
        <v>324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325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310</v>
      </c>
      <c r="B6" s="38" t="s">
        <v>326</v>
      </c>
      <c r="C6" s="39">
        <v>9439</v>
      </c>
      <c r="D6" s="38" t="s">
        <v>327</v>
      </c>
      <c r="E6" s="38" t="s">
        <v>4</v>
      </c>
      <c r="F6" s="38" t="s">
        <v>328</v>
      </c>
      <c r="G6" s="38" t="s">
        <v>329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330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331</v>
      </c>
      <c r="B7" s="38" t="s">
        <v>332</v>
      </c>
      <c r="C7" s="39">
        <v>9942</v>
      </c>
      <c r="D7" s="38" t="s">
        <v>333</v>
      </c>
      <c r="E7" s="38" t="s">
        <v>3</v>
      </c>
      <c r="F7" s="38" t="s">
        <v>334</v>
      </c>
      <c r="G7" s="38" t="s">
        <v>335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336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310</v>
      </c>
      <c r="B8" s="38" t="s">
        <v>337</v>
      </c>
      <c r="C8" s="39">
        <v>9945</v>
      </c>
      <c r="D8" s="38" t="s">
        <v>338</v>
      </c>
      <c r="E8" s="38" t="s">
        <v>4</v>
      </c>
      <c r="F8" s="38" t="s">
        <v>339</v>
      </c>
      <c r="G8" s="38" t="s">
        <v>340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341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331</v>
      </c>
      <c r="B9" s="38" t="s">
        <v>342</v>
      </c>
      <c r="C9" s="39">
        <v>9215</v>
      </c>
      <c r="D9" s="38" t="s">
        <v>343</v>
      </c>
      <c r="E9" s="38" t="s">
        <v>3</v>
      </c>
      <c r="F9" s="38" t="s">
        <v>344</v>
      </c>
      <c r="G9" s="38" t="s">
        <v>345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346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331</v>
      </c>
      <c r="B10" s="38" t="s">
        <v>342</v>
      </c>
      <c r="C10" s="39">
        <v>9215</v>
      </c>
      <c r="D10" s="38" t="s">
        <v>347</v>
      </c>
      <c r="E10" s="38" t="s">
        <v>4</v>
      </c>
      <c r="F10" s="38" t="s">
        <v>348</v>
      </c>
      <c r="G10" s="38" t="s">
        <v>349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350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304</v>
      </c>
      <c r="B11" s="38" t="s">
        <v>351</v>
      </c>
      <c r="C11" s="39">
        <v>9251</v>
      </c>
      <c r="D11" s="38" t="s">
        <v>352</v>
      </c>
      <c r="E11" s="38" t="s">
        <v>3</v>
      </c>
      <c r="F11" s="38" t="s">
        <v>353</v>
      </c>
      <c r="G11" s="38" t="s">
        <v>354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355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304</v>
      </c>
      <c r="B12" s="38" t="s">
        <v>351</v>
      </c>
      <c r="C12" s="39">
        <v>9251</v>
      </c>
      <c r="D12" s="38" t="s">
        <v>356</v>
      </c>
      <c r="E12" s="38" t="s">
        <v>4</v>
      </c>
      <c r="F12" s="38" t="s">
        <v>357</v>
      </c>
      <c r="G12" s="38" t="s">
        <v>358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359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331</v>
      </c>
      <c r="B13" s="43" t="s">
        <v>360</v>
      </c>
      <c r="C13" s="44">
        <v>9254</v>
      </c>
      <c r="D13" s="38" t="s">
        <v>361</v>
      </c>
      <c r="E13" s="13" t="s">
        <v>4</v>
      </c>
      <c r="F13" s="38" t="s">
        <v>362</v>
      </c>
      <c r="G13" s="13" t="s">
        <v>363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364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310</v>
      </c>
      <c r="B14" s="38" t="s">
        <v>365</v>
      </c>
      <c r="C14" s="39">
        <v>9364</v>
      </c>
      <c r="D14" s="38" t="s">
        <v>366</v>
      </c>
      <c r="E14" s="38" t="s">
        <v>3</v>
      </c>
      <c r="F14" s="38" t="s">
        <v>367</v>
      </c>
      <c r="G14" s="38" t="s">
        <v>368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369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331</v>
      </c>
      <c r="B15" s="38" t="s">
        <v>370</v>
      </c>
      <c r="C15" s="45">
        <v>9223</v>
      </c>
      <c r="D15" s="38" t="s">
        <v>371</v>
      </c>
      <c r="E15" s="38" t="s">
        <v>3</v>
      </c>
      <c r="F15" s="38" t="s">
        <v>372</v>
      </c>
      <c r="G15" s="38" t="s">
        <v>373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374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331</v>
      </c>
      <c r="B16" s="38" t="s">
        <v>370</v>
      </c>
      <c r="C16" s="45">
        <v>9223</v>
      </c>
      <c r="D16" s="38" t="s">
        <v>375</v>
      </c>
      <c r="E16" s="38" t="s">
        <v>4</v>
      </c>
      <c r="F16" s="38" t="s">
        <v>376</v>
      </c>
      <c r="G16" s="38" t="s">
        <v>377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378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331</v>
      </c>
      <c r="B17" s="38" t="s">
        <v>379</v>
      </c>
      <c r="C17" s="39">
        <v>9237</v>
      </c>
      <c r="D17" s="38" t="s">
        <v>380</v>
      </c>
      <c r="E17" s="38" t="s">
        <v>4</v>
      </c>
      <c r="F17" s="38" t="s">
        <v>381</v>
      </c>
      <c r="G17" s="38" t="s">
        <v>382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383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310</v>
      </c>
      <c r="B18" s="43" t="s">
        <v>384</v>
      </c>
      <c r="C18" s="39">
        <v>9938</v>
      </c>
      <c r="D18" s="38" t="s">
        <v>385</v>
      </c>
      <c r="E18" s="38" t="s">
        <v>4</v>
      </c>
      <c r="F18" s="38" t="s">
        <v>386</v>
      </c>
      <c r="G18" s="38" t="s">
        <v>387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388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304</v>
      </c>
      <c r="B19" s="38" t="s">
        <v>389</v>
      </c>
      <c r="C19" s="39" t="s">
        <v>390</v>
      </c>
      <c r="D19" s="38" t="s">
        <v>391</v>
      </c>
      <c r="E19" s="38" t="s">
        <v>3</v>
      </c>
      <c r="F19" s="38" t="s">
        <v>392</v>
      </c>
      <c r="G19" s="38" t="s">
        <v>393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394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304</v>
      </c>
      <c r="B20" s="38" t="s">
        <v>389</v>
      </c>
      <c r="C20" s="39" t="s">
        <v>390</v>
      </c>
      <c r="D20" s="38" t="s">
        <v>395</v>
      </c>
      <c r="E20" s="38" t="s">
        <v>4</v>
      </c>
      <c r="F20" s="38" t="s">
        <v>396</v>
      </c>
      <c r="G20" s="38" t="s">
        <v>397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398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304</v>
      </c>
      <c r="B21" s="38" t="s">
        <v>399</v>
      </c>
      <c r="C21" s="39">
        <v>9949</v>
      </c>
      <c r="D21" s="38" t="s">
        <v>400</v>
      </c>
      <c r="E21" s="38" t="s">
        <v>3</v>
      </c>
      <c r="F21" s="38" t="s">
        <v>401</v>
      </c>
      <c r="G21" s="38" t="s">
        <v>402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403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304</v>
      </c>
      <c r="B22" s="38" t="s">
        <v>399</v>
      </c>
      <c r="C22" s="39">
        <v>9949</v>
      </c>
      <c r="D22" s="38" t="s">
        <v>404</v>
      </c>
      <c r="E22" s="38" t="s">
        <v>4</v>
      </c>
      <c r="F22" s="38" t="s">
        <v>405</v>
      </c>
      <c r="G22" s="38" t="s">
        <v>406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407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310</v>
      </c>
      <c r="B23" s="43" t="s">
        <v>408</v>
      </c>
      <c r="C23" s="45">
        <v>9944</v>
      </c>
      <c r="D23" s="38" t="s">
        <v>409</v>
      </c>
      <c r="E23" s="13" t="s">
        <v>3</v>
      </c>
      <c r="F23" s="38" t="s">
        <v>410</v>
      </c>
      <c r="G23" s="13" t="s">
        <v>411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412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310</v>
      </c>
      <c r="B24" s="38" t="s">
        <v>413</v>
      </c>
      <c r="C24" s="39" t="s">
        <v>414</v>
      </c>
      <c r="D24" s="38" t="s">
        <v>415</v>
      </c>
      <c r="E24" s="38" t="s">
        <v>3</v>
      </c>
      <c r="F24" s="38" t="s">
        <v>416</v>
      </c>
      <c r="G24" s="38" t="s">
        <v>417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418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310</v>
      </c>
      <c r="B25" s="38" t="s">
        <v>413</v>
      </c>
      <c r="C25" s="39" t="s">
        <v>414</v>
      </c>
      <c r="D25" s="38" t="s">
        <v>419</v>
      </c>
      <c r="E25" s="38" t="s">
        <v>4</v>
      </c>
      <c r="F25" s="38" t="s">
        <v>420</v>
      </c>
      <c r="G25" s="38" t="s">
        <v>421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422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304</v>
      </c>
      <c r="B26" s="38" t="s">
        <v>423</v>
      </c>
      <c r="C26" s="39">
        <v>9946</v>
      </c>
      <c r="D26" s="38" t="s">
        <v>424</v>
      </c>
      <c r="E26" s="38" t="s">
        <v>4</v>
      </c>
      <c r="F26" s="38" t="s">
        <v>425</v>
      </c>
      <c r="G26" s="38" t="s">
        <v>426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427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331</v>
      </c>
      <c r="B27" s="38" t="s">
        <v>370</v>
      </c>
      <c r="C27" s="45">
        <v>9223</v>
      </c>
      <c r="D27" s="38" t="s">
        <v>428</v>
      </c>
      <c r="E27" s="38" t="s">
        <v>4</v>
      </c>
      <c r="F27" s="38" t="s">
        <v>429</v>
      </c>
      <c r="G27" s="38" t="s">
        <v>430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431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432</v>
      </c>
      <c r="B28" s="38" t="s">
        <v>433</v>
      </c>
      <c r="C28" s="39">
        <v>9537</v>
      </c>
      <c r="D28" s="38" t="s">
        <v>434</v>
      </c>
      <c r="E28" s="38" t="s">
        <v>3</v>
      </c>
      <c r="F28" s="38" t="s">
        <v>435</v>
      </c>
      <c r="G28" s="38" t="s">
        <v>436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437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432</v>
      </c>
      <c r="B29" s="43" t="s">
        <v>433</v>
      </c>
      <c r="C29" s="44">
        <v>9537</v>
      </c>
      <c r="D29" s="38" t="s">
        <v>438</v>
      </c>
      <c r="E29" s="13" t="s">
        <v>4</v>
      </c>
      <c r="F29" s="38" t="s">
        <v>439</v>
      </c>
      <c r="G29" s="13" t="s">
        <v>440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441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432</v>
      </c>
      <c r="B30" s="38" t="s">
        <v>442</v>
      </c>
      <c r="C30" s="45">
        <v>9560</v>
      </c>
      <c r="D30" s="38" t="s">
        <v>443</v>
      </c>
      <c r="E30" s="38" t="s">
        <v>4</v>
      </c>
      <c r="F30" s="38" t="s">
        <v>444</v>
      </c>
      <c r="G30" s="38" t="s">
        <v>445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446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447</v>
      </c>
      <c r="B31" s="38" t="s">
        <v>448</v>
      </c>
      <c r="C31" s="39">
        <v>9424</v>
      </c>
      <c r="D31" s="38" t="s">
        <v>449</v>
      </c>
      <c r="E31" s="38" t="s">
        <v>3</v>
      </c>
      <c r="F31" s="38" t="s">
        <v>450</v>
      </c>
      <c r="G31" s="38" t="s">
        <v>451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452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447</v>
      </c>
      <c r="B32" s="38" t="s">
        <v>448</v>
      </c>
      <c r="C32" s="39">
        <v>9424</v>
      </c>
      <c r="D32" s="38" t="s">
        <v>453</v>
      </c>
      <c r="E32" s="38" t="s">
        <v>4</v>
      </c>
      <c r="F32" s="38" t="s">
        <v>454</v>
      </c>
      <c r="G32" s="38" t="s">
        <v>455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456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457</v>
      </c>
      <c r="B33" s="38" t="s">
        <v>458</v>
      </c>
      <c r="C33" s="39">
        <v>9812</v>
      </c>
      <c r="D33" s="38" t="s">
        <v>459</v>
      </c>
      <c r="E33" s="38" t="s">
        <v>3</v>
      </c>
      <c r="F33" s="38" t="s">
        <v>460</v>
      </c>
      <c r="G33" s="38" t="s">
        <v>461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462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457</v>
      </c>
      <c r="B34" s="38" t="s">
        <v>458</v>
      </c>
      <c r="C34" s="39">
        <v>9812</v>
      </c>
      <c r="D34" s="38" t="s">
        <v>459</v>
      </c>
      <c r="E34" s="38" t="s">
        <v>4</v>
      </c>
      <c r="F34" s="38" t="s">
        <v>463</v>
      </c>
      <c r="G34" s="38" t="s">
        <v>464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465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466</v>
      </c>
      <c r="B35" s="38" t="s">
        <v>467</v>
      </c>
      <c r="C35" s="39">
        <v>9958</v>
      </c>
      <c r="D35" s="38" t="s">
        <v>468</v>
      </c>
      <c r="E35" s="38" t="s">
        <v>3</v>
      </c>
      <c r="F35" s="38" t="s">
        <v>469</v>
      </c>
      <c r="G35" s="38" t="s">
        <v>470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471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466</v>
      </c>
      <c r="B36" s="38" t="s">
        <v>467</v>
      </c>
      <c r="C36" s="39">
        <v>9958</v>
      </c>
      <c r="D36" s="46" t="s">
        <v>472</v>
      </c>
      <c r="E36" s="38" t="s">
        <v>4</v>
      </c>
      <c r="F36" s="38" t="s">
        <v>473</v>
      </c>
      <c r="G36" s="38" t="s">
        <v>474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475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476</v>
      </c>
      <c r="B37" s="38" t="s">
        <v>477</v>
      </c>
      <c r="C37" s="39">
        <v>9380</v>
      </c>
      <c r="D37" s="38" t="s">
        <v>478</v>
      </c>
      <c r="E37" s="38" t="s">
        <v>3</v>
      </c>
      <c r="F37" s="38" t="s">
        <v>479</v>
      </c>
      <c r="G37" s="38" t="s">
        <v>480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481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476</v>
      </c>
      <c r="B38" s="38" t="s">
        <v>477</v>
      </c>
      <c r="C38" s="39">
        <v>9380</v>
      </c>
      <c r="D38" s="38" t="s">
        <v>482</v>
      </c>
      <c r="E38" s="38" t="s">
        <v>4</v>
      </c>
      <c r="F38" s="38" t="s">
        <v>483</v>
      </c>
      <c r="G38" s="38" t="s">
        <v>484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485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457</v>
      </c>
      <c r="B39" s="43" t="s">
        <v>486</v>
      </c>
      <c r="C39" s="44">
        <v>9882</v>
      </c>
      <c r="D39" s="38" t="s">
        <v>487</v>
      </c>
      <c r="E39" s="13" t="s">
        <v>4</v>
      </c>
      <c r="F39" s="38" t="s">
        <v>488</v>
      </c>
      <c r="G39" s="13" t="s">
        <v>489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490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85</v>
      </c>
      <c r="B40" s="35" t="s">
        <v>119</v>
      </c>
      <c r="C40" s="35" t="s">
        <v>292</v>
      </c>
      <c r="D40" s="35" t="s">
        <v>293</v>
      </c>
      <c r="E40" s="35" t="s">
        <v>0</v>
      </c>
      <c r="F40" s="35" t="s">
        <v>294</v>
      </c>
      <c r="G40" s="35" t="s">
        <v>1</v>
      </c>
      <c r="H40" s="35">
        <v>42674</v>
      </c>
      <c r="I40" s="35" t="s">
        <v>491</v>
      </c>
      <c r="J40" s="35" t="s">
        <v>492</v>
      </c>
      <c r="K40" s="35" t="s">
        <v>493</v>
      </c>
      <c r="L40" s="35" t="s">
        <v>494</v>
      </c>
      <c r="M40" s="35" t="s">
        <v>495</v>
      </c>
      <c r="N40" s="35" t="s">
        <v>496</v>
      </c>
      <c r="O40" s="35" t="s">
        <v>497</v>
      </c>
      <c r="P40" s="35" t="s">
        <v>498</v>
      </c>
      <c r="Q40" s="35" t="s">
        <v>499</v>
      </c>
      <c r="R40" s="35" t="s">
        <v>500</v>
      </c>
      <c r="S40" s="35" t="s">
        <v>208</v>
      </c>
      <c r="T40" s="35" t="s">
        <v>205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432</v>
      </c>
      <c r="B41" s="38" t="s">
        <v>501</v>
      </c>
      <c r="C41" s="45">
        <v>9561</v>
      </c>
      <c r="D41" s="38" t="s">
        <v>502</v>
      </c>
      <c r="E41" s="38" t="s">
        <v>4</v>
      </c>
      <c r="F41" s="38" t="s">
        <v>503</v>
      </c>
      <c r="G41" s="38" t="s">
        <v>504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505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310</v>
      </c>
      <c r="B42" s="38" t="s">
        <v>506</v>
      </c>
      <c r="C42" s="45">
        <v>9441</v>
      </c>
      <c r="D42" s="38" t="s">
        <v>507</v>
      </c>
      <c r="E42" s="38" t="s">
        <v>4</v>
      </c>
      <c r="F42" s="38" t="s">
        <v>508</v>
      </c>
      <c r="G42" s="38" t="s">
        <v>509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510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447</v>
      </c>
      <c r="B43" s="38" t="s">
        <v>511</v>
      </c>
      <c r="C43" s="39">
        <v>9420</v>
      </c>
      <c r="D43" s="38" t="s">
        <v>512</v>
      </c>
      <c r="E43" s="38" t="s">
        <v>3</v>
      </c>
      <c r="F43" s="38" t="s">
        <v>513</v>
      </c>
      <c r="G43" s="38" t="s">
        <v>514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515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85</v>
      </c>
      <c r="B44" s="35" t="s">
        <v>119</v>
      </c>
      <c r="C44" s="35" t="s">
        <v>292</v>
      </c>
      <c r="D44" s="35" t="s">
        <v>293</v>
      </c>
      <c r="E44" s="35" t="s">
        <v>0</v>
      </c>
      <c r="F44" s="35" t="s">
        <v>294</v>
      </c>
      <c r="G44" s="35" t="s">
        <v>1</v>
      </c>
      <c r="H44" s="48" t="s">
        <v>516</v>
      </c>
      <c r="I44" s="48" t="s">
        <v>517</v>
      </c>
      <c r="J44" s="35" t="s">
        <v>518</v>
      </c>
      <c r="K44" s="48" t="s">
        <v>519</v>
      </c>
      <c r="L44" s="35" t="s">
        <v>520</v>
      </c>
      <c r="M44" s="48" t="s">
        <v>521</v>
      </c>
      <c r="N44" s="35" t="s">
        <v>522</v>
      </c>
      <c r="O44" s="48" t="s">
        <v>523</v>
      </c>
      <c r="P44" s="35" t="s">
        <v>524</v>
      </c>
      <c r="Q44" s="48" t="s">
        <v>525</v>
      </c>
      <c r="R44" s="35" t="s">
        <v>526</v>
      </c>
      <c r="S44" s="35" t="s">
        <v>208</v>
      </c>
      <c r="T44" s="35" t="s">
        <v>205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310</v>
      </c>
      <c r="B45" s="38" t="s">
        <v>527</v>
      </c>
      <c r="C45" s="39">
        <v>9394</v>
      </c>
      <c r="D45" s="38" t="s">
        <v>528</v>
      </c>
      <c r="E45" s="38" t="s">
        <v>4</v>
      </c>
      <c r="F45" s="38" t="s">
        <v>529</v>
      </c>
      <c r="G45" s="38" t="s">
        <v>530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531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532</v>
      </c>
      <c r="B46" s="38" t="s">
        <v>533</v>
      </c>
      <c r="C46" s="45">
        <v>9445</v>
      </c>
      <c r="D46" s="38" t="s">
        <v>534</v>
      </c>
      <c r="E46" s="38" t="s">
        <v>4</v>
      </c>
      <c r="F46" s="38" t="s">
        <v>535</v>
      </c>
      <c r="G46" s="38" t="s">
        <v>536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537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310</v>
      </c>
      <c r="B47" s="38" t="s">
        <v>538</v>
      </c>
      <c r="C47" s="39">
        <v>9284</v>
      </c>
      <c r="D47" s="38" t="s">
        <v>539</v>
      </c>
      <c r="E47" s="38" t="s">
        <v>3</v>
      </c>
      <c r="F47" s="38" t="s">
        <v>540</v>
      </c>
      <c r="G47" s="38" t="s">
        <v>541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542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85</v>
      </c>
      <c r="B48" s="35" t="s">
        <v>119</v>
      </c>
      <c r="C48" s="35" t="s">
        <v>292</v>
      </c>
      <c r="D48" s="35" t="s">
        <v>293</v>
      </c>
      <c r="E48" s="35" t="s">
        <v>0</v>
      </c>
      <c r="F48" s="35" t="s">
        <v>294</v>
      </c>
      <c r="G48" s="35" t="s">
        <v>1</v>
      </c>
      <c r="H48" s="48" t="s">
        <v>543</v>
      </c>
      <c r="I48" s="48" t="s">
        <v>544</v>
      </c>
      <c r="J48" s="35" t="s">
        <v>545</v>
      </c>
      <c r="K48" s="48" t="s">
        <v>546</v>
      </c>
      <c r="L48" s="35" t="s">
        <v>547</v>
      </c>
      <c r="M48" s="48" t="s">
        <v>548</v>
      </c>
      <c r="N48" s="35" t="s">
        <v>549</v>
      </c>
      <c r="O48" s="48" t="s">
        <v>550</v>
      </c>
      <c r="P48" s="35" t="s">
        <v>551</v>
      </c>
      <c r="Q48" s="48" t="s">
        <v>552</v>
      </c>
      <c r="R48" s="35" t="s">
        <v>553</v>
      </c>
      <c r="S48" s="35" t="s">
        <v>208</v>
      </c>
      <c r="T48" s="35" t="s">
        <v>205</v>
      </c>
    </row>
    <row r="49" spans="1:83" s="42" customFormat="1" ht="16.5" hidden="1" customHeight="1" x14ac:dyDescent="0.25">
      <c r="A49" s="38" t="s">
        <v>466</v>
      </c>
      <c r="B49" s="38" t="s">
        <v>554</v>
      </c>
      <c r="C49" s="45">
        <v>9874</v>
      </c>
      <c r="D49" s="49" t="s">
        <v>555</v>
      </c>
      <c r="E49" s="38" t="s">
        <v>4</v>
      </c>
      <c r="F49" s="38" t="s">
        <v>503</v>
      </c>
      <c r="G49" s="38" t="s">
        <v>556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557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457</v>
      </c>
      <c r="B50" s="38" t="s">
        <v>558</v>
      </c>
      <c r="C50" s="45">
        <v>9811</v>
      </c>
      <c r="D50" s="38" t="s">
        <v>559</v>
      </c>
      <c r="E50" s="38" t="s">
        <v>4</v>
      </c>
      <c r="F50" s="38" t="s">
        <v>560</v>
      </c>
      <c r="G50" s="38" t="s">
        <v>561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562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476</v>
      </c>
      <c r="B51" s="38" t="s">
        <v>563</v>
      </c>
      <c r="C51" s="32">
        <v>9396</v>
      </c>
      <c r="D51" s="49" t="s">
        <v>564</v>
      </c>
      <c r="E51" s="49" t="s">
        <v>4</v>
      </c>
      <c r="F51" s="49" t="s">
        <v>565</v>
      </c>
      <c r="G51" s="49" t="s">
        <v>566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567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532</v>
      </c>
      <c r="B52" s="43" t="s">
        <v>568</v>
      </c>
      <c r="C52" s="44">
        <v>9446</v>
      </c>
      <c r="D52" s="38" t="s">
        <v>569</v>
      </c>
      <c r="E52" s="13" t="s">
        <v>4</v>
      </c>
      <c r="F52" s="38" t="s">
        <v>570</v>
      </c>
      <c r="G52" s="13" t="s">
        <v>571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572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432</v>
      </c>
      <c r="B53" s="38" t="s">
        <v>573</v>
      </c>
      <c r="C53" s="39" t="s">
        <v>574</v>
      </c>
      <c r="D53" s="38" t="s">
        <v>575</v>
      </c>
      <c r="E53" s="38" t="s">
        <v>4</v>
      </c>
      <c r="F53" s="38" t="s">
        <v>576</v>
      </c>
      <c r="G53" s="38" t="s">
        <v>577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578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447</v>
      </c>
      <c r="B55" s="43" t="s">
        <v>580</v>
      </c>
      <c r="C55" s="44">
        <v>9405</v>
      </c>
      <c r="D55" s="38" t="s">
        <v>581</v>
      </c>
      <c r="E55" s="13" t="s">
        <v>4</v>
      </c>
      <c r="F55" s="38" t="s">
        <v>582</v>
      </c>
      <c r="G55" s="50" t="s">
        <v>583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584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476</v>
      </c>
      <c r="B56" s="38" t="s">
        <v>585</v>
      </c>
      <c r="C56" s="32">
        <v>9388</v>
      </c>
      <c r="D56" s="49" t="s">
        <v>586</v>
      </c>
      <c r="E56" s="49" t="s">
        <v>4</v>
      </c>
      <c r="F56" s="49" t="s">
        <v>587</v>
      </c>
      <c r="G56" s="49" t="s">
        <v>588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589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320</v>
      </c>
      <c r="B57" s="38" t="s">
        <v>590</v>
      </c>
      <c r="C57" s="45">
        <v>9658</v>
      </c>
      <c r="D57" s="38" t="s">
        <v>591</v>
      </c>
      <c r="E57" s="38" t="s">
        <v>4</v>
      </c>
      <c r="F57" s="38" t="s">
        <v>592</v>
      </c>
      <c r="G57" s="38" t="s">
        <v>593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594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320</v>
      </c>
      <c r="B58" s="38" t="s">
        <v>595</v>
      </c>
      <c r="C58" s="39">
        <v>9530</v>
      </c>
      <c r="D58" s="38" t="s">
        <v>596</v>
      </c>
      <c r="E58" s="38" t="s">
        <v>4</v>
      </c>
      <c r="F58" s="38" t="s">
        <v>597</v>
      </c>
      <c r="G58" s="38" t="s">
        <v>598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599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532</v>
      </c>
      <c r="B59" s="43" t="s">
        <v>600</v>
      </c>
      <c r="C59" s="44">
        <v>9442</v>
      </c>
      <c r="D59" s="38" t="s">
        <v>601</v>
      </c>
      <c r="E59" s="13" t="s">
        <v>602</v>
      </c>
      <c r="F59" s="38" t="s">
        <v>603</v>
      </c>
      <c r="G59" s="50" t="s">
        <v>604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605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304</v>
      </c>
      <c r="B60" s="38" t="s">
        <v>606</v>
      </c>
      <c r="C60" s="39">
        <v>9345</v>
      </c>
      <c r="D60" s="38" t="s">
        <v>607</v>
      </c>
      <c r="E60" s="38" t="s">
        <v>4</v>
      </c>
      <c r="F60" s="38" t="s">
        <v>608</v>
      </c>
      <c r="G60" s="38" t="s">
        <v>609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610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304</v>
      </c>
      <c r="B61" s="43" t="s">
        <v>611</v>
      </c>
      <c r="C61" s="39">
        <v>9276</v>
      </c>
      <c r="D61" s="38" t="s">
        <v>612</v>
      </c>
      <c r="E61" s="38" t="s">
        <v>4</v>
      </c>
      <c r="F61" s="38" t="s">
        <v>613</v>
      </c>
      <c r="G61" s="38" t="s">
        <v>614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615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432</v>
      </c>
      <c r="B62" s="38" t="s">
        <v>616</v>
      </c>
      <c r="C62" s="45">
        <v>9666</v>
      </c>
      <c r="D62" s="38" t="s">
        <v>617</v>
      </c>
      <c r="E62" s="38" t="s">
        <v>4</v>
      </c>
      <c r="F62" s="38" t="s">
        <v>618</v>
      </c>
      <c r="G62" s="38" t="s">
        <v>619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620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331</v>
      </c>
      <c r="B63" s="38" t="s">
        <v>621</v>
      </c>
      <c r="C63" s="39">
        <v>9259</v>
      </c>
      <c r="D63" s="38" t="s">
        <v>622</v>
      </c>
      <c r="E63" s="38" t="s">
        <v>4</v>
      </c>
      <c r="F63" s="38" t="s">
        <v>623</v>
      </c>
      <c r="G63" s="38" t="s">
        <v>624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625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310</v>
      </c>
      <c r="B64" s="38" t="s">
        <v>626</v>
      </c>
      <c r="C64" s="45">
        <v>9221</v>
      </c>
      <c r="D64" s="38" t="s">
        <v>627</v>
      </c>
      <c r="E64" s="38" t="s">
        <v>4</v>
      </c>
      <c r="F64" s="38" t="s">
        <v>628</v>
      </c>
      <c r="G64" s="38" t="s">
        <v>629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630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631</v>
      </c>
      <c r="B65" s="43" t="s">
        <v>632</v>
      </c>
      <c r="C65" s="44">
        <v>9360</v>
      </c>
      <c r="D65" s="38" t="s">
        <v>633</v>
      </c>
      <c r="E65" s="13" t="s">
        <v>4</v>
      </c>
      <c r="F65" s="38" t="s">
        <v>634</v>
      </c>
      <c r="G65" s="13" t="s">
        <v>635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636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476</v>
      </c>
      <c r="B66" s="38" t="s">
        <v>637</v>
      </c>
      <c r="C66" s="51">
        <v>9336</v>
      </c>
      <c r="D66" s="49" t="s">
        <v>638</v>
      </c>
      <c r="E66" s="49" t="s">
        <v>3</v>
      </c>
      <c r="F66" s="49" t="s">
        <v>639</v>
      </c>
      <c r="G66" s="49" t="s">
        <v>640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641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320</v>
      </c>
      <c r="B67" s="38" t="s">
        <v>642</v>
      </c>
      <c r="C67" s="45">
        <v>9653</v>
      </c>
      <c r="D67" s="38" t="s">
        <v>643</v>
      </c>
      <c r="E67" s="38" t="s">
        <v>4</v>
      </c>
      <c r="F67" s="38" t="s">
        <v>644</v>
      </c>
      <c r="G67" s="38" t="s">
        <v>645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646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447</v>
      </c>
      <c r="B68" s="43" t="s">
        <v>647</v>
      </c>
      <c r="C68" s="44">
        <v>9430</v>
      </c>
      <c r="D68" s="38" t="s">
        <v>648</v>
      </c>
      <c r="E68" s="13" t="s">
        <v>4</v>
      </c>
      <c r="F68" s="38" t="s">
        <v>649</v>
      </c>
      <c r="G68" s="13" t="s">
        <v>650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651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432</v>
      </c>
      <c r="B69" s="38" t="s">
        <v>652</v>
      </c>
      <c r="C69" s="45">
        <v>9665</v>
      </c>
      <c r="D69" s="38" t="s">
        <v>653</v>
      </c>
      <c r="E69" s="38" t="s">
        <v>4</v>
      </c>
      <c r="F69" s="38" t="s">
        <v>654</v>
      </c>
      <c r="G69" s="38" t="s">
        <v>655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656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310</v>
      </c>
      <c r="B70" s="38" t="s">
        <v>527</v>
      </c>
      <c r="C70" s="39">
        <v>9394</v>
      </c>
      <c r="D70" s="38" t="s">
        <v>657</v>
      </c>
      <c r="E70" s="38" t="s">
        <v>3</v>
      </c>
      <c r="F70" s="38" t="s">
        <v>658</v>
      </c>
      <c r="G70" s="38" t="s">
        <v>659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660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457</v>
      </c>
      <c r="B71" s="38" t="s">
        <v>661</v>
      </c>
      <c r="C71" s="39">
        <v>9883</v>
      </c>
      <c r="D71" s="38" t="s">
        <v>662</v>
      </c>
      <c r="E71" s="38" t="s">
        <v>4</v>
      </c>
      <c r="F71" s="38" t="s">
        <v>663</v>
      </c>
      <c r="G71" s="38" t="s">
        <v>664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665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432</v>
      </c>
      <c r="B72" s="43" t="s">
        <v>666</v>
      </c>
      <c r="C72" s="45">
        <v>9570</v>
      </c>
      <c r="D72" s="38" t="s">
        <v>667</v>
      </c>
      <c r="E72" s="13" t="s">
        <v>4</v>
      </c>
      <c r="F72" s="38" t="s">
        <v>668</v>
      </c>
      <c r="G72" s="50" t="s">
        <v>669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670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331</v>
      </c>
      <c r="B73" s="38" t="s">
        <v>671</v>
      </c>
      <c r="C73" s="45">
        <v>9970</v>
      </c>
      <c r="D73" s="38" t="s">
        <v>672</v>
      </c>
      <c r="E73" s="38" t="s">
        <v>4</v>
      </c>
      <c r="F73" s="38" t="s">
        <v>673</v>
      </c>
      <c r="G73" s="38" t="s">
        <v>674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675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457</v>
      </c>
      <c r="B74" s="49" t="s">
        <v>676</v>
      </c>
      <c r="C74" s="51">
        <v>9816</v>
      </c>
      <c r="D74" s="49" t="s">
        <v>677</v>
      </c>
      <c r="E74" s="49" t="s">
        <v>4</v>
      </c>
      <c r="F74" s="49" t="s">
        <v>678</v>
      </c>
      <c r="G74" s="49" t="s">
        <v>679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680</v>
      </c>
    </row>
    <row r="75" spans="1:83" s="41" customFormat="1" ht="16.5" customHeight="1" x14ac:dyDescent="0.25">
      <c r="A75" s="49" t="s">
        <v>432</v>
      </c>
      <c r="B75" s="49" t="s">
        <v>681</v>
      </c>
      <c r="C75" s="32">
        <v>9640</v>
      </c>
      <c r="D75" s="49" t="s">
        <v>682</v>
      </c>
      <c r="E75" s="49" t="s">
        <v>4</v>
      </c>
      <c r="F75" s="49" t="s">
        <v>683</v>
      </c>
      <c r="G75" s="49" t="s">
        <v>684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685</v>
      </c>
    </row>
    <row r="76" spans="1:83" s="41" customFormat="1" ht="16.5" customHeight="1" x14ac:dyDescent="0.25">
      <c r="A76" s="49" t="s">
        <v>320</v>
      </c>
      <c r="B76" s="49" t="s">
        <v>686</v>
      </c>
      <c r="C76" s="32">
        <v>9550</v>
      </c>
      <c r="D76" s="49" t="s">
        <v>687</v>
      </c>
      <c r="E76" s="49" t="s">
        <v>4</v>
      </c>
      <c r="F76" s="49" t="s">
        <v>688</v>
      </c>
      <c r="G76" s="49" t="s">
        <v>689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690</v>
      </c>
    </row>
    <row r="77" spans="1:83" s="41" customFormat="1" ht="16.5" customHeight="1" x14ac:dyDescent="0.25">
      <c r="A77" s="49" t="s">
        <v>457</v>
      </c>
      <c r="B77" s="49" t="s">
        <v>691</v>
      </c>
      <c r="C77" s="51">
        <v>9843</v>
      </c>
      <c r="D77" s="49" t="s">
        <v>692</v>
      </c>
      <c r="E77" s="49" t="s">
        <v>4</v>
      </c>
      <c r="F77" s="49" t="s">
        <v>282</v>
      </c>
      <c r="G77" s="49" t="s">
        <v>693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694</v>
      </c>
    </row>
    <row r="78" spans="1:83" s="42" customFormat="1" ht="16.5" customHeight="1" x14ac:dyDescent="0.25">
      <c r="A78" s="38" t="s">
        <v>310</v>
      </c>
      <c r="B78" s="38" t="s">
        <v>695</v>
      </c>
      <c r="C78" s="45">
        <v>9282</v>
      </c>
      <c r="D78" s="38" t="s">
        <v>696</v>
      </c>
      <c r="E78" s="38" t="s">
        <v>4</v>
      </c>
      <c r="F78" s="38" t="s">
        <v>697</v>
      </c>
      <c r="G78" s="38" t="s">
        <v>698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699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310</v>
      </c>
      <c r="B79" s="38" t="s">
        <v>700</v>
      </c>
      <c r="C79" s="45">
        <v>9911</v>
      </c>
      <c r="D79" s="38" t="s">
        <v>701</v>
      </c>
      <c r="E79" s="38" t="s">
        <v>4</v>
      </c>
      <c r="F79" s="38" t="s">
        <v>702</v>
      </c>
      <c r="G79" s="38" t="s">
        <v>703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704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331</v>
      </c>
      <c r="B80" s="38" t="s">
        <v>705</v>
      </c>
      <c r="C80" s="45">
        <v>9214</v>
      </c>
      <c r="D80" s="38" t="s">
        <v>706</v>
      </c>
      <c r="E80" s="38" t="s">
        <v>4</v>
      </c>
      <c r="F80" s="38" t="s">
        <v>707</v>
      </c>
      <c r="G80" s="38" t="s">
        <v>708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709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331</v>
      </c>
      <c r="B81" s="38" t="s">
        <v>710</v>
      </c>
      <c r="C81" s="39">
        <v>9235</v>
      </c>
      <c r="D81" s="38" t="s">
        <v>711</v>
      </c>
      <c r="E81" s="38" t="s">
        <v>4</v>
      </c>
      <c r="F81" s="38" t="s">
        <v>712</v>
      </c>
      <c r="G81" s="38" t="s">
        <v>713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714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310</v>
      </c>
      <c r="B82" s="38" t="s">
        <v>715</v>
      </c>
      <c r="C82" s="45">
        <v>9271</v>
      </c>
      <c r="D82" s="38" t="s">
        <v>716</v>
      </c>
      <c r="E82" s="38" t="s">
        <v>4</v>
      </c>
      <c r="F82" s="38" t="s">
        <v>717</v>
      </c>
      <c r="G82" s="38" t="s">
        <v>718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719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310</v>
      </c>
      <c r="B83" s="38" t="s">
        <v>720</v>
      </c>
      <c r="C83" s="39">
        <v>9225</v>
      </c>
      <c r="D83" s="38" t="s">
        <v>721</v>
      </c>
      <c r="E83" s="38" t="s">
        <v>4</v>
      </c>
      <c r="F83" s="38" t="s">
        <v>722</v>
      </c>
      <c r="G83" s="38" t="s">
        <v>723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724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331</v>
      </c>
      <c r="B84" s="38" t="s">
        <v>725</v>
      </c>
      <c r="C84" s="45">
        <v>9203</v>
      </c>
      <c r="D84" s="38" t="s">
        <v>726</v>
      </c>
      <c r="E84" s="38" t="s">
        <v>4</v>
      </c>
      <c r="F84" s="38" t="s">
        <v>727</v>
      </c>
      <c r="G84" s="38" t="s">
        <v>728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729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304</v>
      </c>
      <c r="B85" s="38" t="s">
        <v>730</v>
      </c>
      <c r="C85" s="39">
        <v>9253</v>
      </c>
      <c r="D85" s="38" t="s">
        <v>731</v>
      </c>
      <c r="E85" s="38" t="s">
        <v>4</v>
      </c>
      <c r="F85" s="38" t="s">
        <v>732</v>
      </c>
      <c r="G85" s="38" t="s">
        <v>733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734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331</v>
      </c>
      <c r="B86" s="38" t="s">
        <v>735</v>
      </c>
      <c r="C86" s="45">
        <v>9234</v>
      </c>
      <c r="D86" s="49" t="s">
        <v>736</v>
      </c>
      <c r="E86" s="38" t="s">
        <v>4</v>
      </c>
      <c r="F86" s="38" t="s">
        <v>737</v>
      </c>
      <c r="G86" s="38" t="s">
        <v>738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739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331</v>
      </c>
      <c r="B87" s="38" t="s">
        <v>740</v>
      </c>
      <c r="C87" s="45">
        <v>9955</v>
      </c>
      <c r="D87" s="38" t="s">
        <v>741</v>
      </c>
      <c r="E87" s="38" t="s">
        <v>4</v>
      </c>
      <c r="F87" s="38" t="s">
        <v>219</v>
      </c>
      <c r="G87" s="38" t="s">
        <v>742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743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331</v>
      </c>
      <c r="B88" s="43" t="s">
        <v>744</v>
      </c>
      <c r="C88" s="45">
        <v>9924</v>
      </c>
      <c r="D88" s="38" t="s">
        <v>745</v>
      </c>
      <c r="E88" s="13" t="s">
        <v>4</v>
      </c>
      <c r="F88" s="38" t="s">
        <v>746</v>
      </c>
      <c r="G88" s="13" t="s">
        <v>747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748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331</v>
      </c>
      <c r="B89" s="38" t="s">
        <v>749</v>
      </c>
      <c r="C89" s="39">
        <v>9216</v>
      </c>
      <c r="D89" s="38" t="s">
        <v>750</v>
      </c>
      <c r="E89" s="38" t="s">
        <v>3</v>
      </c>
      <c r="F89" s="38" t="s">
        <v>751</v>
      </c>
      <c r="G89" s="38" t="s">
        <v>752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753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476</v>
      </c>
      <c r="B90" s="38" t="s">
        <v>754</v>
      </c>
      <c r="C90" s="39">
        <v>9310</v>
      </c>
      <c r="D90" s="38" t="s">
        <v>755</v>
      </c>
      <c r="E90" s="38" t="s">
        <v>4</v>
      </c>
      <c r="F90" s="38" t="s">
        <v>756</v>
      </c>
      <c r="G90" s="38" t="s">
        <v>757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758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476</v>
      </c>
      <c r="B91" s="38" t="s">
        <v>759</v>
      </c>
      <c r="C91" s="32">
        <v>9391</v>
      </c>
      <c r="D91" s="49" t="s">
        <v>760</v>
      </c>
      <c r="E91" s="49" t="s">
        <v>4</v>
      </c>
      <c r="F91" s="49" t="s">
        <v>761</v>
      </c>
      <c r="G91" s="49" t="s">
        <v>762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763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85</v>
      </c>
      <c r="B92" s="35" t="s">
        <v>119</v>
      </c>
      <c r="C92" s="35" t="s">
        <v>292</v>
      </c>
      <c r="D92" s="35" t="s">
        <v>293</v>
      </c>
      <c r="E92" s="35" t="s">
        <v>0</v>
      </c>
      <c r="F92" s="35" t="s">
        <v>294</v>
      </c>
      <c r="G92" s="35" t="s">
        <v>1</v>
      </c>
      <c r="H92" s="48" t="s">
        <v>764</v>
      </c>
      <c r="I92" s="48" t="s">
        <v>765</v>
      </c>
      <c r="J92" s="35" t="s">
        <v>766</v>
      </c>
      <c r="K92" s="48" t="s">
        <v>767</v>
      </c>
      <c r="L92" s="35" t="s">
        <v>768</v>
      </c>
      <c r="M92" s="48" t="s">
        <v>769</v>
      </c>
      <c r="N92" s="35" t="s">
        <v>770</v>
      </c>
      <c r="O92" s="48" t="s">
        <v>771</v>
      </c>
      <c r="P92" s="35" t="s">
        <v>772</v>
      </c>
      <c r="Q92" s="35" t="s">
        <v>208</v>
      </c>
      <c r="R92" s="159" t="s">
        <v>205</v>
      </c>
      <c r="S92" s="159"/>
      <c r="T92" s="159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331</v>
      </c>
      <c r="B93" s="38" t="s">
        <v>773</v>
      </c>
      <c r="C93" s="39">
        <v>9217</v>
      </c>
      <c r="D93" s="49" t="s">
        <v>774</v>
      </c>
      <c r="E93" s="38" t="s">
        <v>4</v>
      </c>
      <c r="F93" s="38" t="s">
        <v>775</v>
      </c>
      <c r="G93" s="38" t="s">
        <v>776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0" t="s">
        <v>777</v>
      </c>
      <c r="S93" s="160"/>
      <c r="T93" s="160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331</v>
      </c>
      <c r="B94" s="38" t="s">
        <v>773</v>
      </c>
      <c r="C94" s="39">
        <v>9217</v>
      </c>
      <c r="D94" s="38" t="s">
        <v>778</v>
      </c>
      <c r="E94" s="38" t="s">
        <v>4</v>
      </c>
      <c r="F94" s="38" t="s">
        <v>779</v>
      </c>
      <c r="G94" s="38" t="s">
        <v>780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0" t="s">
        <v>781</v>
      </c>
      <c r="S94" s="160"/>
      <c r="T94" s="160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432</v>
      </c>
      <c r="B95" s="38" t="s">
        <v>782</v>
      </c>
      <c r="C95" s="45">
        <v>9678</v>
      </c>
      <c r="D95" s="38" t="s">
        <v>783</v>
      </c>
      <c r="E95" s="38" t="s">
        <v>4</v>
      </c>
      <c r="F95" s="38" t="s">
        <v>784</v>
      </c>
      <c r="G95" s="38" t="s">
        <v>785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0" t="s">
        <v>786</v>
      </c>
      <c r="S95" s="160"/>
      <c r="T95" s="160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432</v>
      </c>
      <c r="B96" s="38" t="s">
        <v>782</v>
      </c>
      <c r="C96" s="45">
        <v>9678</v>
      </c>
      <c r="D96" s="38" t="s">
        <v>787</v>
      </c>
      <c r="E96" s="38" t="s">
        <v>3</v>
      </c>
      <c r="F96" s="38" t="s">
        <v>788</v>
      </c>
      <c r="G96" s="38" t="s">
        <v>789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0" t="s">
        <v>790</v>
      </c>
      <c r="S96" s="160"/>
      <c r="T96" s="160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85</v>
      </c>
      <c r="B97" s="35" t="s">
        <v>119</v>
      </c>
      <c r="C97" s="35" t="s">
        <v>292</v>
      </c>
      <c r="D97" s="35" t="s">
        <v>293</v>
      </c>
      <c r="E97" s="35" t="s">
        <v>0</v>
      </c>
      <c r="F97" s="35" t="s">
        <v>294</v>
      </c>
      <c r="G97" s="35" t="s">
        <v>1</v>
      </c>
      <c r="H97" s="48" t="s">
        <v>791</v>
      </c>
      <c r="I97" s="48" t="s">
        <v>792</v>
      </c>
      <c r="J97" s="35" t="s">
        <v>793</v>
      </c>
      <c r="K97" s="48" t="s">
        <v>794</v>
      </c>
      <c r="L97" s="35" t="s">
        <v>795</v>
      </c>
      <c r="M97" s="48" t="s">
        <v>796</v>
      </c>
      <c r="N97" s="35" t="s">
        <v>797</v>
      </c>
      <c r="O97" s="48" t="s">
        <v>798</v>
      </c>
      <c r="P97" s="35" t="s">
        <v>799</v>
      </c>
      <c r="Q97" s="48" t="s">
        <v>800</v>
      </c>
      <c r="R97" s="35" t="s">
        <v>801</v>
      </c>
      <c r="S97" s="35" t="s">
        <v>208</v>
      </c>
      <c r="T97" s="35" t="s">
        <v>205</v>
      </c>
    </row>
    <row r="98" spans="1:85" s="42" customFormat="1" ht="16.5" customHeight="1" x14ac:dyDescent="0.25">
      <c r="A98" s="38" t="s">
        <v>320</v>
      </c>
      <c r="B98" s="43" t="s">
        <v>802</v>
      </c>
      <c r="C98" s="39">
        <v>9503</v>
      </c>
      <c r="D98" s="38" t="s">
        <v>803</v>
      </c>
      <c r="E98" s="38" t="s">
        <v>4</v>
      </c>
      <c r="F98" s="38" t="s">
        <v>804</v>
      </c>
      <c r="G98" s="38" t="s">
        <v>805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806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85</v>
      </c>
      <c r="B99" s="35" t="s">
        <v>119</v>
      </c>
      <c r="C99" s="35" t="s">
        <v>292</v>
      </c>
      <c r="D99" s="35" t="s">
        <v>293</v>
      </c>
      <c r="E99" s="35" t="s">
        <v>0</v>
      </c>
      <c r="F99" s="35" t="s">
        <v>294</v>
      </c>
      <c r="G99" s="35" t="s">
        <v>1</v>
      </c>
      <c r="H99" s="57">
        <v>42886</v>
      </c>
      <c r="I99" s="48" t="s">
        <v>807</v>
      </c>
      <c r="J99" s="35" t="s">
        <v>808</v>
      </c>
      <c r="K99" s="48" t="s">
        <v>809</v>
      </c>
      <c r="L99" s="35" t="s">
        <v>810</v>
      </c>
      <c r="M99" s="48" t="s">
        <v>811</v>
      </c>
      <c r="N99" s="35" t="s">
        <v>812</v>
      </c>
      <c r="O99" s="48" t="s">
        <v>813</v>
      </c>
      <c r="P99" s="35" t="s">
        <v>814</v>
      </c>
      <c r="Q99" s="48" t="s">
        <v>815</v>
      </c>
      <c r="R99" s="35" t="s">
        <v>816</v>
      </c>
      <c r="S99" s="35" t="s">
        <v>208</v>
      </c>
      <c r="T99" s="35" t="s">
        <v>205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310</v>
      </c>
      <c r="B100" s="38" t="s">
        <v>817</v>
      </c>
      <c r="C100" s="39">
        <v>9288</v>
      </c>
      <c r="D100" s="38" t="s">
        <v>818</v>
      </c>
      <c r="E100" s="38" t="s">
        <v>4</v>
      </c>
      <c r="F100" s="38" t="s">
        <v>819</v>
      </c>
      <c r="G100" s="38" t="s">
        <v>820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85</v>
      </c>
      <c r="B101" s="35" t="s">
        <v>119</v>
      </c>
      <c r="C101" s="35" t="s">
        <v>292</v>
      </c>
      <c r="D101" s="35" t="s">
        <v>293</v>
      </c>
      <c r="E101" s="35" t="s">
        <v>0</v>
      </c>
      <c r="F101" s="35" t="s">
        <v>294</v>
      </c>
      <c r="G101" s="35" t="s">
        <v>1</v>
      </c>
      <c r="H101" s="57" t="s">
        <v>821</v>
      </c>
      <c r="I101" s="48" t="s">
        <v>822</v>
      </c>
      <c r="J101" s="48" t="s">
        <v>823</v>
      </c>
      <c r="K101" s="48" t="s">
        <v>824</v>
      </c>
      <c r="L101" s="48" t="s">
        <v>825</v>
      </c>
      <c r="M101" s="48" t="s">
        <v>826</v>
      </c>
      <c r="N101" s="48" t="s">
        <v>827</v>
      </c>
      <c r="O101" s="48" t="s">
        <v>828</v>
      </c>
      <c r="P101" s="48" t="s">
        <v>829</v>
      </c>
      <c r="Q101" s="48" t="s">
        <v>830</v>
      </c>
      <c r="R101" s="48" t="s">
        <v>831</v>
      </c>
      <c r="S101" s="35" t="s">
        <v>208</v>
      </c>
      <c r="T101" s="35" t="s">
        <v>205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310</v>
      </c>
      <c r="B102" s="38" t="s">
        <v>832</v>
      </c>
      <c r="C102" s="39">
        <v>9928</v>
      </c>
      <c r="D102" s="38" t="s">
        <v>833</v>
      </c>
      <c r="E102" s="38" t="s">
        <v>4</v>
      </c>
      <c r="F102" s="38" t="s">
        <v>834</v>
      </c>
      <c r="G102" s="38" t="s">
        <v>835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836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320</v>
      </c>
      <c r="B103" s="38" t="s">
        <v>321</v>
      </c>
      <c r="C103" s="39">
        <v>9611</v>
      </c>
      <c r="D103" s="38" t="s">
        <v>837</v>
      </c>
      <c r="E103" s="38" t="s">
        <v>3</v>
      </c>
      <c r="F103" s="38" t="s">
        <v>838</v>
      </c>
      <c r="G103" s="38" t="s">
        <v>839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840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85</v>
      </c>
      <c r="B104" s="35" t="s">
        <v>119</v>
      </c>
      <c r="C104" s="35" t="s">
        <v>292</v>
      </c>
      <c r="D104" s="35" t="s">
        <v>293</v>
      </c>
      <c r="E104" s="35" t="s">
        <v>0</v>
      </c>
      <c r="F104" s="35" t="s">
        <v>294</v>
      </c>
      <c r="G104" s="35" t="s">
        <v>1</v>
      </c>
      <c r="H104" s="57" t="s">
        <v>841</v>
      </c>
      <c r="I104" s="48" t="s">
        <v>842</v>
      </c>
      <c r="J104" s="48" t="s">
        <v>843</v>
      </c>
      <c r="K104" s="48" t="s">
        <v>844</v>
      </c>
      <c r="L104" s="48" t="s">
        <v>845</v>
      </c>
      <c r="M104" s="48" t="s">
        <v>846</v>
      </c>
      <c r="N104" s="48" t="s">
        <v>847</v>
      </c>
      <c r="O104" s="48" t="s">
        <v>848</v>
      </c>
      <c r="P104" s="48" t="s">
        <v>849</v>
      </c>
      <c r="Q104" s="48" t="s">
        <v>850</v>
      </c>
      <c r="R104" s="48" t="s">
        <v>851</v>
      </c>
      <c r="S104" s="35" t="s">
        <v>208</v>
      </c>
      <c r="T104" s="35" t="s">
        <v>205</v>
      </c>
    </row>
    <row r="105" spans="1:85" s="42" customFormat="1" ht="16.5" customHeight="1" x14ac:dyDescent="0.25">
      <c r="A105" s="38" t="s">
        <v>310</v>
      </c>
      <c r="B105" s="38" t="s">
        <v>852</v>
      </c>
      <c r="C105" s="39">
        <v>9289</v>
      </c>
      <c r="D105" s="38" t="s">
        <v>853</v>
      </c>
      <c r="E105" s="38" t="s">
        <v>4</v>
      </c>
      <c r="F105" s="38" t="s">
        <v>854</v>
      </c>
      <c r="G105" s="38" t="s">
        <v>855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856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310</v>
      </c>
      <c r="B106" s="38" t="s">
        <v>857</v>
      </c>
      <c r="C106" s="39">
        <v>9238</v>
      </c>
      <c r="D106" s="38" t="s">
        <v>858</v>
      </c>
      <c r="E106" s="38" t="s">
        <v>3</v>
      </c>
      <c r="F106" s="38" t="s">
        <v>859</v>
      </c>
      <c r="G106" s="38" t="s">
        <v>860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861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85</v>
      </c>
      <c r="B107" s="35" t="s">
        <v>119</v>
      </c>
      <c r="C107" s="35" t="s">
        <v>292</v>
      </c>
      <c r="D107" s="35" t="s">
        <v>293</v>
      </c>
      <c r="E107" s="35" t="s">
        <v>0</v>
      </c>
      <c r="F107" s="35" t="s">
        <v>294</v>
      </c>
      <c r="G107" s="35" t="s">
        <v>1</v>
      </c>
      <c r="H107" s="57" t="s">
        <v>862</v>
      </c>
      <c r="I107" s="48" t="s">
        <v>863</v>
      </c>
      <c r="J107" s="48" t="s">
        <v>864</v>
      </c>
      <c r="K107" s="48" t="s">
        <v>865</v>
      </c>
      <c r="L107" s="48" t="s">
        <v>866</v>
      </c>
      <c r="M107" s="48" t="s">
        <v>867</v>
      </c>
      <c r="N107" s="48" t="s">
        <v>868</v>
      </c>
      <c r="O107" s="48" t="s">
        <v>869</v>
      </c>
      <c r="P107" s="48" t="s">
        <v>870</v>
      </c>
      <c r="Q107" s="48" t="s">
        <v>871</v>
      </c>
      <c r="R107" s="48" t="s">
        <v>303</v>
      </c>
      <c r="S107" s="35" t="s">
        <v>208</v>
      </c>
      <c r="T107" s="35" t="s">
        <v>205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447</v>
      </c>
      <c r="B108" s="38" t="s">
        <v>872</v>
      </c>
      <c r="C108" s="45">
        <v>9425</v>
      </c>
      <c r="D108" s="49" t="s">
        <v>873</v>
      </c>
      <c r="E108" s="38" t="s">
        <v>4</v>
      </c>
      <c r="F108" s="38" t="s">
        <v>874</v>
      </c>
      <c r="G108" s="38" t="s">
        <v>875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876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532</v>
      </c>
      <c r="B110" s="38" t="s">
        <v>878</v>
      </c>
      <c r="C110" s="45">
        <v>9839</v>
      </c>
      <c r="D110" s="38" t="s">
        <v>879</v>
      </c>
      <c r="E110" s="38" t="s">
        <v>3</v>
      </c>
      <c r="F110" s="38" t="s">
        <v>880</v>
      </c>
      <c r="G110" s="38" t="s">
        <v>881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882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85</v>
      </c>
      <c r="B111" s="35" t="s">
        <v>119</v>
      </c>
      <c r="C111" s="35" t="s">
        <v>292</v>
      </c>
      <c r="D111" s="35" t="s">
        <v>293</v>
      </c>
      <c r="E111" s="35" t="s">
        <v>0</v>
      </c>
      <c r="F111" s="35" t="s">
        <v>294</v>
      </c>
      <c r="G111" s="35" t="s">
        <v>1</v>
      </c>
      <c r="H111" s="57">
        <v>43039</v>
      </c>
      <c r="I111" s="48" t="s">
        <v>883</v>
      </c>
      <c r="J111" s="48" t="s">
        <v>884</v>
      </c>
      <c r="K111" s="48" t="s">
        <v>885</v>
      </c>
      <c r="L111" s="48" t="s">
        <v>886</v>
      </c>
      <c r="M111" s="48" t="s">
        <v>887</v>
      </c>
      <c r="N111" s="48" t="s">
        <v>888</v>
      </c>
      <c r="O111" s="48" t="s">
        <v>889</v>
      </c>
      <c r="P111" s="48" t="s">
        <v>890</v>
      </c>
      <c r="Q111" s="48" t="s">
        <v>891</v>
      </c>
      <c r="R111" s="48" t="s">
        <v>500</v>
      </c>
      <c r="S111" s="35" t="s">
        <v>208</v>
      </c>
      <c r="T111" s="35" t="s">
        <v>205</v>
      </c>
    </row>
    <row r="112" spans="1:85" s="42" customFormat="1" ht="57.75" customHeight="1" x14ac:dyDescent="0.25">
      <c r="A112" s="38" t="s">
        <v>466</v>
      </c>
      <c r="B112" s="38" t="s">
        <v>892</v>
      </c>
      <c r="C112" s="45">
        <v>9875</v>
      </c>
      <c r="D112" s="38" t="s">
        <v>893</v>
      </c>
      <c r="E112" s="38" t="s">
        <v>4</v>
      </c>
      <c r="F112" s="38" t="s">
        <v>894</v>
      </c>
      <c r="G112" s="38" t="s">
        <v>895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896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532</v>
      </c>
      <c r="B113" s="38" t="s">
        <v>878</v>
      </c>
      <c r="C113" s="45">
        <v>9839</v>
      </c>
      <c r="D113" s="38" t="s">
        <v>897</v>
      </c>
      <c r="E113" s="38" t="s">
        <v>4</v>
      </c>
      <c r="F113" s="38" t="s">
        <v>898</v>
      </c>
      <c r="G113" s="38" t="s">
        <v>899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900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532</v>
      </c>
      <c r="B114" s="49" t="s">
        <v>901</v>
      </c>
      <c r="C114" s="32">
        <v>9402</v>
      </c>
      <c r="D114" s="49" t="s">
        <v>902</v>
      </c>
      <c r="E114" s="49" t="s">
        <v>3</v>
      </c>
      <c r="F114" s="49" t="s">
        <v>903</v>
      </c>
      <c r="G114" s="49" t="s">
        <v>904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905</v>
      </c>
    </row>
    <row r="115" spans="1:109" s="42" customFormat="1" ht="43.5" customHeight="1" x14ac:dyDescent="0.25">
      <c r="A115" s="38" t="s">
        <v>532</v>
      </c>
      <c r="B115" s="38" t="s">
        <v>906</v>
      </c>
      <c r="C115" s="45">
        <v>9831</v>
      </c>
      <c r="D115" s="38" t="s">
        <v>907</v>
      </c>
      <c r="E115" s="38" t="s">
        <v>3</v>
      </c>
      <c r="F115" s="38" t="s">
        <v>908</v>
      </c>
      <c r="G115" s="38" t="s">
        <v>909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910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532</v>
      </c>
      <c r="B116" s="38" t="s">
        <v>911</v>
      </c>
      <c r="C116" s="39">
        <v>9832</v>
      </c>
      <c r="D116" s="38" t="s">
        <v>912</v>
      </c>
      <c r="E116" s="38" t="s">
        <v>4</v>
      </c>
      <c r="F116" s="38" t="s">
        <v>913</v>
      </c>
      <c r="G116" s="38" t="s">
        <v>914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915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532</v>
      </c>
      <c r="B117" s="38" t="s">
        <v>916</v>
      </c>
      <c r="C117" s="45">
        <v>9448</v>
      </c>
      <c r="D117" s="38" t="s">
        <v>917</v>
      </c>
      <c r="E117" s="38" t="s">
        <v>3</v>
      </c>
      <c r="F117" s="38" t="s">
        <v>918</v>
      </c>
      <c r="G117" s="38" t="s">
        <v>919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920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532</v>
      </c>
      <c r="B118" s="38" t="s">
        <v>921</v>
      </c>
      <c r="C118" s="45">
        <v>9833</v>
      </c>
      <c r="D118" s="38" t="s">
        <v>922</v>
      </c>
      <c r="E118" s="38" t="s">
        <v>3</v>
      </c>
      <c r="F118" s="38" t="s">
        <v>923</v>
      </c>
      <c r="G118" s="38" t="s">
        <v>924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925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532</v>
      </c>
      <c r="B119" s="49" t="s">
        <v>901</v>
      </c>
      <c r="C119" s="32">
        <v>9402</v>
      </c>
      <c r="D119" s="49" t="s">
        <v>902</v>
      </c>
      <c r="E119" s="49" t="s">
        <v>4</v>
      </c>
      <c r="F119" s="49" t="s">
        <v>926</v>
      </c>
      <c r="G119" s="49" t="s">
        <v>904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927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476</v>
      </c>
      <c r="B120" s="38" t="s">
        <v>928</v>
      </c>
      <c r="C120" s="51">
        <v>9393</v>
      </c>
      <c r="D120" s="49" t="s">
        <v>929</v>
      </c>
      <c r="E120" s="49" t="s">
        <v>4</v>
      </c>
      <c r="F120" s="49" t="s">
        <v>930</v>
      </c>
      <c r="G120" s="49" t="s">
        <v>931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932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331</v>
      </c>
      <c r="B121" s="43" t="s">
        <v>933</v>
      </c>
      <c r="C121" s="45">
        <v>9905</v>
      </c>
      <c r="D121" s="38" t="s">
        <v>934</v>
      </c>
      <c r="E121" s="13" t="s">
        <v>4</v>
      </c>
      <c r="F121" s="38" t="s">
        <v>935</v>
      </c>
      <c r="G121" s="13" t="s">
        <v>936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937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938</v>
      </c>
      <c r="B122" s="43" t="s">
        <v>939</v>
      </c>
      <c r="C122" s="39">
        <v>9873</v>
      </c>
      <c r="D122" s="38" t="s">
        <v>940</v>
      </c>
      <c r="E122" s="38" t="s">
        <v>4</v>
      </c>
      <c r="F122" s="38" t="s">
        <v>941</v>
      </c>
      <c r="G122" s="38" t="s">
        <v>942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943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85</v>
      </c>
      <c r="B123" s="35" t="s">
        <v>119</v>
      </c>
      <c r="C123" s="35" t="s">
        <v>292</v>
      </c>
      <c r="D123" s="35" t="s">
        <v>293</v>
      </c>
      <c r="E123" s="35" t="s">
        <v>0</v>
      </c>
      <c r="F123" s="35" t="s">
        <v>294</v>
      </c>
      <c r="G123" s="35" t="s">
        <v>1</v>
      </c>
      <c r="H123" s="57" t="s">
        <v>944</v>
      </c>
      <c r="I123" s="60" t="s">
        <v>945</v>
      </c>
      <c r="J123" s="60" t="s">
        <v>946</v>
      </c>
      <c r="K123" s="61" t="s">
        <v>947</v>
      </c>
      <c r="L123" s="61" t="s">
        <v>948</v>
      </c>
      <c r="M123" s="62" t="s">
        <v>949</v>
      </c>
      <c r="N123" s="62" t="s">
        <v>950</v>
      </c>
      <c r="O123" s="63" t="s">
        <v>951</v>
      </c>
      <c r="P123" s="63" t="s">
        <v>952</v>
      </c>
      <c r="Q123" s="64" t="s">
        <v>953</v>
      </c>
      <c r="R123" s="64" t="s">
        <v>553</v>
      </c>
      <c r="S123" s="35" t="s">
        <v>208</v>
      </c>
      <c r="T123" s="48" t="s">
        <v>205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457</v>
      </c>
      <c r="B124" s="38" t="s">
        <v>954</v>
      </c>
      <c r="C124" s="39">
        <v>9854</v>
      </c>
      <c r="D124" s="38" t="s">
        <v>955</v>
      </c>
      <c r="E124" s="38" t="s">
        <v>4</v>
      </c>
      <c r="F124" s="38" t="s">
        <v>956</v>
      </c>
      <c r="G124" s="38" t="s">
        <v>957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958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85</v>
      </c>
      <c r="B125" s="35" t="s">
        <v>119</v>
      </c>
      <c r="C125" s="35" t="s">
        <v>292</v>
      </c>
      <c r="D125" s="35" t="s">
        <v>293</v>
      </c>
      <c r="E125" s="35" t="s">
        <v>0</v>
      </c>
      <c r="F125" s="35" t="s">
        <v>294</v>
      </c>
      <c r="G125" s="35" t="s">
        <v>1</v>
      </c>
      <c r="H125" s="159" t="s">
        <v>959</v>
      </c>
      <c r="I125" s="159"/>
      <c r="J125" s="159"/>
      <c r="K125" s="159"/>
      <c r="L125" s="159"/>
      <c r="M125" s="159"/>
    </row>
    <row r="126" spans="1:109" ht="16.5" customHeight="1" x14ac:dyDescent="0.25">
      <c r="A126" s="38" t="s">
        <v>447</v>
      </c>
      <c r="B126" s="38" t="s">
        <v>960</v>
      </c>
      <c r="C126" s="39">
        <v>9479</v>
      </c>
      <c r="D126" s="38" t="s">
        <v>961</v>
      </c>
      <c r="E126" s="38" t="s">
        <v>4</v>
      </c>
      <c r="F126" s="38" t="s">
        <v>962</v>
      </c>
      <c r="G126" s="38" t="s">
        <v>963</v>
      </c>
      <c r="H126" s="66">
        <v>63259</v>
      </c>
      <c r="I126" s="161" t="s">
        <v>964</v>
      </c>
      <c r="J126" s="161"/>
      <c r="K126" s="161"/>
      <c r="L126" s="161"/>
      <c r="M126" s="161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476</v>
      </c>
      <c r="B127" s="38" t="s">
        <v>965</v>
      </c>
      <c r="C127" s="32">
        <v>9382</v>
      </c>
      <c r="D127" s="49" t="s">
        <v>966</v>
      </c>
      <c r="E127" s="49" t="s">
        <v>4</v>
      </c>
      <c r="F127" s="49" t="s">
        <v>967</v>
      </c>
      <c r="G127" s="49" t="s">
        <v>968</v>
      </c>
      <c r="H127" s="33">
        <v>66678</v>
      </c>
      <c r="I127" s="161" t="s">
        <v>964</v>
      </c>
      <c r="J127" s="161"/>
      <c r="K127" s="161"/>
      <c r="L127" s="161"/>
      <c r="M127" s="16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476</v>
      </c>
      <c r="B128" s="38" t="s">
        <v>754</v>
      </c>
      <c r="C128" s="39">
        <v>9310</v>
      </c>
      <c r="D128" s="38" t="s">
        <v>969</v>
      </c>
      <c r="E128" s="38" t="s">
        <v>3</v>
      </c>
      <c r="F128" s="38" t="s">
        <v>970</v>
      </c>
      <c r="G128" s="38" t="s">
        <v>971</v>
      </c>
      <c r="H128" s="33">
        <v>193229</v>
      </c>
      <c r="I128" s="161" t="s">
        <v>972</v>
      </c>
      <c r="J128" s="161"/>
      <c r="K128" s="161"/>
      <c r="L128" s="161"/>
      <c r="M128" s="161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331</v>
      </c>
      <c r="B129" s="38" t="s">
        <v>710</v>
      </c>
      <c r="C129" s="39">
        <v>9235</v>
      </c>
      <c r="D129" s="49" t="s">
        <v>973</v>
      </c>
      <c r="E129" s="38" t="s">
        <v>3</v>
      </c>
      <c r="F129" s="38" t="s">
        <v>974</v>
      </c>
      <c r="G129" s="38" t="s">
        <v>975</v>
      </c>
      <c r="H129" s="33">
        <v>324067</v>
      </c>
      <c r="I129" s="161" t="s">
        <v>976</v>
      </c>
      <c r="J129" s="161"/>
      <c r="K129" s="161"/>
      <c r="L129" s="161"/>
      <c r="M129" s="16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331</v>
      </c>
      <c r="B130" s="38" t="s">
        <v>710</v>
      </c>
      <c r="C130" s="39">
        <v>9235</v>
      </c>
      <c r="D130" s="49" t="s">
        <v>977</v>
      </c>
      <c r="E130" s="38" t="s">
        <v>4</v>
      </c>
      <c r="F130" s="38" t="s">
        <v>978</v>
      </c>
      <c r="G130" s="38" t="s">
        <v>979</v>
      </c>
      <c r="H130" s="33">
        <v>160394</v>
      </c>
      <c r="I130" s="161" t="s">
        <v>976</v>
      </c>
      <c r="J130" s="161"/>
      <c r="K130" s="161"/>
      <c r="L130" s="161"/>
      <c r="M130" s="16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304</v>
      </c>
      <c r="B131" s="43" t="s">
        <v>980</v>
      </c>
      <c r="C131" s="45">
        <v>9342</v>
      </c>
      <c r="D131" s="38" t="s">
        <v>981</v>
      </c>
      <c r="E131" s="13" t="s">
        <v>4</v>
      </c>
      <c r="F131" s="38" t="s">
        <v>982</v>
      </c>
      <c r="G131" s="13" t="s">
        <v>983</v>
      </c>
      <c r="H131" s="33">
        <v>130424</v>
      </c>
      <c r="I131" s="161" t="s">
        <v>984</v>
      </c>
      <c r="J131" s="161"/>
      <c r="K131" s="161"/>
      <c r="L131" s="161"/>
      <c r="M131" s="161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304</v>
      </c>
      <c r="B132" s="38" t="s">
        <v>985</v>
      </c>
      <c r="C132" s="45">
        <v>9293</v>
      </c>
      <c r="D132" s="38" t="s">
        <v>986</v>
      </c>
      <c r="E132" s="38" t="s">
        <v>3</v>
      </c>
      <c r="F132" s="38" t="s">
        <v>987</v>
      </c>
      <c r="G132" s="38" t="s">
        <v>988</v>
      </c>
      <c r="H132" s="33">
        <v>263606</v>
      </c>
      <c r="I132" s="161" t="s">
        <v>989</v>
      </c>
      <c r="J132" s="161"/>
      <c r="K132" s="161"/>
      <c r="L132" s="161"/>
      <c r="M132" s="161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304</v>
      </c>
      <c r="B133" s="38" t="s">
        <v>985</v>
      </c>
      <c r="C133" s="45">
        <v>9293</v>
      </c>
      <c r="D133" s="38" t="s">
        <v>990</v>
      </c>
      <c r="E133" s="38" t="s">
        <v>4</v>
      </c>
      <c r="F133" s="38" t="s">
        <v>991</v>
      </c>
      <c r="G133" s="38" t="s">
        <v>992</v>
      </c>
      <c r="H133" s="33">
        <v>69822</v>
      </c>
      <c r="I133" s="161" t="s">
        <v>989</v>
      </c>
      <c r="J133" s="161"/>
      <c r="K133" s="161"/>
      <c r="L133" s="161"/>
      <c r="M133" s="161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457</v>
      </c>
      <c r="B134" s="38" t="s">
        <v>954</v>
      </c>
      <c r="C134" s="39">
        <v>9854</v>
      </c>
      <c r="D134" s="38" t="s">
        <v>955</v>
      </c>
      <c r="E134" s="38" t="s">
        <v>4</v>
      </c>
      <c r="F134" s="38" t="s">
        <v>956</v>
      </c>
      <c r="G134" s="38" t="s">
        <v>957</v>
      </c>
      <c r="H134" s="33">
        <v>15532</v>
      </c>
      <c r="I134" s="161" t="s">
        <v>993</v>
      </c>
      <c r="J134" s="161"/>
      <c r="K134" s="161"/>
      <c r="L134" s="161"/>
      <c r="M134" s="16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457</v>
      </c>
      <c r="B135" s="38" t="s">
        <v>994</v>
      </c>
      <c r="C135" s="39">
        <v>9819</v>
      </c>
      <c r="D135" s="38" t="s">
        <v>995</v>
      </c>
      <c r="E135" s="38" t="s">
        <v>4</v>
      </c>
      <c r="F135" s="38" t="s">
        <v>996</v>
      </c>
      <c r="G135" s="38" t="s">
        <v>997</v>
      </c>
      <c r="H135" s="33">
        <v>246453</v>
      </c>
      <c r="I135" s="161" t="s">
        <v>998</v>
      </c>
      <c r="J135" s="161"/>
      <c r="K135" s="161"/>
      <c r="L135" s="161"/>
      <c r="M135" s="161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457</v>
      </c>
      <c r="B136" s="38" t="s">
        <v>994</v>
      </c>
      <c r="C136" s="39">
        <v>9819</v>
      </c>
      <c r="D136" s="38" t="s">
        <v>999</v>
      </c>
      <c r="E136" s="38" t="s">
        <v>3</v>
      </c>
      <c r="F136" s="38" t="s">
        <v>1000</v>
      </c>
      <c r="G136" s="38" t="s">
        <v>1001</v>
      </c>
      <c r="H136" s="33">
        <v>329329</v>
      </c>
      <c r="I136" s="161" t="s">
        <v>998</v>
      </c>
      <c r="J136" s="161"/>
      <c r="K136" s="161"/>
      <c r="L136" s="161"/>
      <c r="M136" s="161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432</v>
      </c>
      <c r="B137" s="38" t="s">
        <v>1002</v>
      </c>
      <c r="C137" s="45">
        <v>9571</v>
      </c>
      <c r="D137" s="38" t="s">
        <v>1003</v>
      </c>
      <c r="E137" s="38" t="s">
        <v>4</v>
      </c>
      <c r="F137" s="38" t="s">
        <v>1004</v>
      </c>
      <c r="G137" s="38" t="s">
        <v>1005</v>
      </c>
      <c r="H137" s="33">
        <v>62495</v>
      </c>
      <c r="I137" s="161" t="s">
        <v>1006</v>
      </c>
      <c r="J137" s="161"/>
      <c r="K137" s="161"/>
      <c r="L137" s="161"/>
      <c r="M137" s="161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432</v>
      </c>
      <c r="B138" s="38" t="s">
        <v>1002</v>
      </c>
      <c r="C138" s="45">
        <v>9571</v>
      </c>
      <c r="D138" s="38" t="s">
        <v>1003</v>
      </c>
      <c r="E138" s="38" t="s">
        <v>3</v>
      </c>
      <c r="F138" s="38" t="s">
        <v>1007</v>
      </c>
      <c r="G138" s="38" t="s">
        <v>1008</v>
      </c>
      <c r="H138" s="33">
        <v>109315</v>
      </c>
      <c r="I138" s="161" t="s">
        <v>976</v>
      </c>
      <c r="J138" s="161"/>
      <c r="K138" s="161"/>
      <c r="L138" s="161"/>
      <c r="M138" s="161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320</v>
      </c>
      <c r="B139" s="43" t="s">
        <v>1009</v>
      </c>
      <c r="C139" s="45">
        <v>9651</v>
      </c>
      <c r="D139" s="38" t="s">
        <v>1010</v>
      </c>
      <c r="E139" s="13" t="s">
        <v>4</v>
      </c>
      <c r="F139" s="38" t="s">
        <v>1011</v>
      </c>
      <c r="G139" s="13" t="s">
        <v>1012</v>
      </c>
      <c r="H139" s="33">
        <v>31915</v>
      </c>
      <c r="I139" s="161" t="s">
        <v>964</v>
      </c>
      <c r="J139" s="161"/>
      <c r="K139" s="161"/>
      <c r="L139" s="161"/>
      <c r="M139" s="16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432</v>
      </c>
      <c r="B140" s="38" t="s">
        <v>1013</v>
      </c>
      <c r="C140" s="45">
        <v>9610</v>
      </c>
      <c r="D140" s="38" t="s">
        <v>1014</v>
      </c>
      <c r="E140" s="38" t="s">
        <v>4</v>
      </c>
      <c r="F140" s="38" t="s">
        <v>1015</v>
      </c>
      <c r="G140" s="38" t="s">
        <v>1005</v>
      </c>
      <c r="H140" s="33">
        <v>62495</v>
      </c>
      <c r="I140" s="161" t="s">
        <v>1016</v>
      </c>
      <c r="J140" s="161"/>
      <c r="K140" s="161"/>
      <c r="L140" s="161"/>
      <c r="M140" s="161"/>
    </row>
    <row r="141" spans="1:109" ht="16.5" customHeight="1" x14ac:dyDescent="0.25">
      <c r="A141" s="38" t="s">
        <v>331</v>
      </c>
      <c r="B141" s="38" t="s">
        <v>1017</v>
      </c>
      <c r="C141" s="39">
        <v>9222</v>
      </c>
      <c r="D141" s="38" t="s">
        <v>1018</v>
      </c>
      <c r="E141" s="38" t="s">
        <v>4</v>
      </c>
      <c r="F141" s="38" t="s">
        <v>1019</v>
      </c>
      <c r="G141" s="38" t="s">
        <v>1020</v>
      </c>
      <c r="H141" s="33">
        <v>283122</v>
      </c>
      <c r="I141" s="161" t="s">
        <v>1021</v>
      </c>
      <c r="J141" s="162"/>
      <c r="K141" s="162"/>
      <c r="L141" s="162"/>
      <c r="M141" s="162"/>
    </row>
    <row r="142" spans="1:109" ht="16.5" customHeight="1" x14ac:dyDescent="0.25">
      <c r="A142" s="38" t="s">
        <v>86</v>
      </c>
      <c r="B142" s="38" t="s">
        <v>262</v>
      </c>
      <c r="C142" s="45" t="s">
        <v>91</v>
      </c>
      <c r="D142" s="38" t="s">
        <v>186</v>
      </c>
      <c r="E142" s="38" t="s">
        <v>118</v>
      </c>
      <c r="F142" s="33" t="s">
        <v>1022</v>
      </c>
      <c r="G142" s="38" t="s">
        <v>10</v>
      </c>
      <c r="H142" s="69">
        <v>1082107</v>
      </c>
      <c r="I142" s="69" t="s">
        <v>291</v>
      </c>
      <c r="J142" s="69"/>
      <c r="K142" s="69"/>
      <c r="L142" s="69"/>
    </row>
    <row r="143" spans="1:109" ht="16.5" customHeight="1" x14ac:dyDescent="0.25">
      <c r="A143" s="38" t="s">
        <v>86</v>
      </c>
      <c r="B143" s="38" t="s">
        <v>238</v>
      </c>
      <c r="C143" s="45" t="s">
        <v>97</v>
      </c>
      <c r="D143" s="38" t="s">
        <v>169</v>
      </c>
      <c r="E143" s="38" t="s">
        <v>118</v>
      </c>
      <c r="F143" s="38" t="s">
        <v>62</v>
      </c>
      <c r="G143" s="38" t="s">
        <v>61</v>
      </c>
      <c r="H143" s="33">
        <v>519866</v>
      </c>
      <c r="I143" s="161" t="s">
        <v>1034</v>
      </c>
      <c r="J143" s="161"/>
      <c r="K143" s="161"/>
      <c r="L143" s="161"/>
      <c r="M143" s="161"/>
    </row>
    <row r="144" spans="1:109" ht="16.5" customHeight="1" x14ac:dyDescent="0.25">
      <c r="A144" s="38" t="s">
        <v>86</v>
      </c>
      <c r="B144" s="38" t="s">
        <v>246</v>
      </c>
      <c r="C144" s="45" t="s">
        <v>90</v>
      </c>
      <c r="D144" s="38" t="s">
        <v>176</v>
      </c>
      <c r="E144" s="38" t="s">
        <v>118</v>
      </c>
      <c r="F144" s="38" t="s">
        <v>9</v>
      </c>
      <c r="G144" s="38" t="s">
        <v>8</v>
      </c>
      <c r="H144" s="33"/>
      <c r="I144" s="161" t="s">
        <v>284</v>
      </c>
      <c r="J144" s="161" t="s">
        <v>284</v>
      </c>
      <c r="K144" s="161"/>
      <c r="L144" s="161"/>
      <c r="M144" s="161"/>
    </row>
    <row r="145" spans="1:67" ht="16.5" customHeight="1" x14ac:dyDescent="0.25">
      <c r="A145" s="38" t="s">
        <v>476</v>
      </c>
      <c r="B145" s="38" t="s">
        <v>585</v>
      </c>
      <c r="C145" s="45">
        <v>9388</v>
      </c>
      <c r="D145" s="38" t="s">
        <v>1051</v>
      </c>
      <c r="E145" s="38" t="s">
        <v>3</v>
      </c>
      <c r="F145" s="38" t="s">
        <v>1052</v>
      </c>
      <c r="G145" s="38" t="s">
        <v>1053</v>
      </c>
      <c r="H145" s="33">
        <f>VLOOKUP(G145:G585,'[1]Dispositivos exportados de HP W'!$C$2:$D$592,2,FALSE)</f>
        <v>458544</v>
      </c>
      <c r="I145" s="161" t="s">
        <v>1054</v>
      </c>
      <c r="J145" s="161"/>
      <c r="K145" s="161"/>
      <c r="L145" s="161"/>
      <c r="M145" s="161"/>
    </row>
    <row r="146" spans="1:67" s="82" customFormat="1" ht="16.5" customHeight="1" x14ac:dyDescent="0.25">
      <c r="A146" s="78" t="s">
        <v>86</v>
      </c>
      <c r="B146" s="78" t="s">
        <v>116</v>
      </c>
      <c r="C146" s="72" t="s">
        <v>87</v>
      </c>
      <c r="D146" s="7" t="s">
        <v>189</v>
      </c>
      <c r="E146" s="28" t="s">
        <v>216</v>
      </c>
      <c r="F146" s="78" t="s">
        <v>4</v>
      </c>
      <c r="G146" s="79" t="s">
        <v>11</v>
      </c>
      <c r="H146" s="78" t="s">
        <v>279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86</v>
      </c>
      <c r="B147" s="78" t="s">
        <v>116</v>
      </c>
      <c r="C147" s="72" t="s">
        <v>105</v>
      </c>
      <c r="D147" s="11" t="s">
        <v>180</v>
      </c>
      <c r="E147" s="100" t="s">
        <v>252</v>
      </c>
      <c r="F147" s="78" t="s">
        <v>118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86</v>
      </c>
      <c r="B148" s="78" t="s">
        <v>116</v>
      </c>
      <c r="C148" s="72" t="s">
        <v>109</v>
      </c>
      <c r="D148" s="7" t="s">
        <v>173</v>
      </c>
      <c r="E148" s="94" t="s">
        <v>234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86</v>
      </c>
      <c r="B149" s="86" t="s">
        <v>116</v>
      </c>
      <c r="C149" s="91" t="s">
        <v>98</v>
      </c>
      <c r="D149" s="109" t="s">
        <v>200</v>
      </c>
      <c r="E149" s="105" t="s">
        <v>236</v>
      </c>
      <c r="F149" s="78" t="s">
        <v>4</v>
      </c>
      <c r="G149" s="79" t="s">
        <v>199</v>
      </c>
      <c r="H149" s="78" t="s">
        <v>120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86</v>
      </c>
      <c r="B150" s="16" t="s">
        <v>116</v>
      </c>
      <c r="C150" s="16" t="s">
        <v>94</v>
      </c>
      <c r="D150" s="16" t="s">
        <v>198</v>
      </c>
      <c r="E150" s="16" t="s">
        <v>229</v>
      </c>
      <c r="F150" s="16" t="s">
        <v>4</v>
      </c>
      <c r="G150" s="16" t="s">
        <v>40</v>
      </c>
      <c r="H150" s="16" t="s">
        <v>328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86</v>
      </c>
      <c r="B151" s="78" t="s">
        <v>116</v>
      </c>
      <c r="C151" s="72" t="s">
        <v>92</v>
      </c>
      <c r="D151" s="7" t="s">
        <v>1090</v>
      </c>
      <c r="E151" s="97" t="s">
        <v>286</v>
      </c>
      <c r="F151" s="78" t="s">
        <v>48</v>
      </c>
      <c r="G151" s="27" t="s">
        <v>212</v>
      </c>
      <c r="H151" s="14" t="s">
        <v>213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86</v>
      </c>
      <c r="B153" s="16" t="s">
        <v>116</v>
      </c>
      <c r="C153" s="16" t="s">
        <v>114</v>
      </c>
      <c r="D153" s="16" t="s">
        <v>165</v>
      </c>
      <c r="E153" s="16" t="s">
        <v>234</v>
      </c>
      <c r="F153" s="16" t="s">
        <v>3</v>
      </c>
      <c r="G153" s="16" t="s">
        <v>81</v>
      </c>
      <c r="H153" s="16" t="s">
        <v>206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1097</v>
      </c>
    </row>
    <row r="154" spans="1:67" ht="16.5" customHeight="1" x14ac:dyDescent="0.25">
      <c r="A154" s="16" t="s">
        <v>86</v>
      </c>
      <c r="B154" s="16" t="s">
        <v>116</v>
      </c>
      <c r="C154" s="16" t="s">
        <v>113</v>
      </c>
      <c r="D154" s="16" t="s">
        <v>162</v>
      </c>
      <c r="E154" s="16" t="s">
        <v>232</v>
      </c>
      <c r="F154" s="16" t="s">
        <v>4</v>
      </c>
      <c r="G154" s="16" t="s">
        <v>139</v>
      </c>
      <c r="H154" s="16" t="s">
        <v>140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1103</v>
      </c>
    </row>
    <row r="155" spans="1:67" ht="16.5" customHeight="1" x14ac:dyDescent="0.25">
      <c r="A155" s="16" t="s">
        <v>86</v>
      </c>
      <c r="B155" s="16" t="s">
        <v>116</v>
      </c>
      <c r="C155" s="16" t="s">
        <v>111</v>
      </c>
      <c r="D155" s="16" t="s">
        <v>1040</v>
      </c>
      <c r="E155" s="16" t="s">
        <v>233</v>
      </c>
      <c r="F155" s="16" t="s">
        <v>4</v>
      </c>
      <c r="G155" s="16" t="s">
        <v>1041</v>
      </c>
      <c r="H155" s="16" t="s">
        <v>877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1104</v>
      </c>
    </row>
    <row r="156" spans="1:67" ht="16.5" customHeight="1" x14ac:dyDescent="0.25">
      <c r="A156" s="16" t="s">
        <v>86</v>
      </c>
      <c r="B156" s="16" t="s">
        <v>116</v>
      </c>
      <c r="C156" s="16" t="s">
        <v>87</v>
      </c>
      <c r="D156" s="16" t="s">
        <v>1082</v>
      </c>
      <c r="E156" s="16" t="s">
        <v>1083</v>
      </c>
      <c r="F156" s="16" t="s">
        <v>42</v>
      </c>
      <c r="G156" s="16" t="s">
        <v>1084</v>
      </c>
      <c r="H156" s="16" t="s">
        <v>280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1098</v>
      </c>
    </row>
    <row r="157" spans="1:67" ht="16.5" customHeight="1" x14ac:dyDescent="0.25">
      <c r="A157" s="16" t="s">
        <v>86</v>
      </c>
      <c r="B157" s="16" t="s">
        <v>116</v>
      </c>
      <c r="C157" s="16" t="s">
        <v>87</v>
      </c>
      <c r="D157" s="16" t="s">
        <v>1028</v>
      </c>
      <c r="E157" s="16" t="s">
        <v>265</v>
      </c>
      <c r="F157" s="16" t="s">
        <v>42</v>
      </c>
      <c r="G157" s="16" t="s">
        <v>19</v>
      </c>
      <c r="H157" s="16" t="s">
        <v>149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1099</v>
      </c>
    </row>
    <row r="158" spans="1:67" ht="16.5" customHeight="1" x14ac:dyDescent="0.25">
      <c r="A158" s="16" t="s">
        <v>86</v>
      </c>
      <c r="B158" s="16" t="s">
        <v>116</v>
      </c>
      <c r="C158" s="16" t="s">
        <v>87</v>
      </c>
      <c r="D158" s="16" t="s">
        <v>210</v>
      </c>
      <c r="E158" s="16" t="s">
        <v>1029</v>
      </c>
      <c r="F158" s="16" t="s">
        <v>42</v>
      </c>
      <c r="G158" s="16" t="s">
        <v>1078</v>
      </c>
      <c r="H158" s="16" t="s">
        <v>209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1100</v>
      </c>
    </row>
    <row r="159" spans="1:67" ht="16.5" customHeight="1" x14ac:dyDescent="0.25">
      <c r="A159" s="16" t="s">
        <v>86</v>
      </c>
      <c r="B159" s="16" t="s">
        <v>116</v>
      </c>
      <c r="C159" s="16" t="s">
        <v>87</v>
      </c>
      <c r="D159" s="16" t="s">
        <v>1079</v>
      </c>
      <c r="E159" s="16" t="s">
        <v>1031</v>
      </c>
      <c r="F159" s="16" t="s">
        <v>42</v>
      </c>
      <c r="G159" s="16" t="s">
        <v>150</v>
      </c>
      <c r="H159" s="16" t="s">
        <v>151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1101</v>
      </c>
    </row>
    <row r="160" spans="1:67" ht="16.5" customHeight="1" x14ac:dyDescent="0.25">
      <c r="A160" s="16" t="s">
        <v>86</v>
      </c>
      <c r="B160" s="16" t="s">
        <v>116</v>
      </c>
      <c r="C160" s="16" t="s">
        <v>87</v>
      </c>
      <c r="D160" s="16" t="s">
        <v>1030</v>
      </c>
      <c r="E160" s="16" t="s">
        <v>1081</v>
      </c>
      <c r="F160" s="16" t="s">
        <v>201</v>
      </c>
      <c r="G160" s="16" t="s">
        <v>148</v>
      </c>
      <c r="H160" s="16" t="s">
        <v>202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1102</v>
      </c>
    </row>
    <row r="161" spans="1:83" ht="16.5" customHeight="1" x14ac:dyDescent="0.25">
      <c r="A161" s="16" t="s">
        <v>86</v>
      </c>
      <c r="B161" s="16" t="s">
        <v>116</v>
      </c>
      <c r="C161" s="16" t="s">
        <v>88</v>
      </c>
      <c r="D161" s="16" t="s">
        <v>1091</v>
      </c>
      <c r="E161" s="16" t="s">
        <v>251</v>
      </c>
      <c r="F161" s="16" t="s">
        <v>42</v>
      </c>
      <c r="G161" s="16" t="s">
        <v>7</v>
      </c>
      <c r="H161" s="16" t="s">
        <v>153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1106</v>
      </c>
    </row>
    <row r="162" spans="1:83" ht="16.5" customHeight="1" x14ac:dyDescent="0.25">
      <c r="A162" s="16" t="s">
        <v>86</v>
      </c>
      <c r="B162" s="16" t="s">
        <v>116</v>
      </c>
      <c r="C162" s="16" t="s">
        <v>88</v>
      </c>
      <c r="D162" s="16" t="s">
        <v>1092</v>
      </c>
      <c r="E162" s="16" t="s">
        <v>251</v>
      </c>
      <c r="F162" s="16" t="s">
        <v>42</v>
      </c>
      <c r="G162" s="16" t="s">
        <v>65</v>
      </c>
      <c r="H162" s="16" t="s">
        <v>152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1105</v>
      </c>
    </row>
    <row r="163" spans="1:83" ht="16.5" customHeight="1" x14ac:dyDescent="0.25">
      <c r="A163" s="16" t="s">
        <v>86</v>
      </c>
      <c r="B163" s="16" t="s">
        <v>116</v>
      </c>
      <c r="C163" s="16" t="s">
        <v>107</v>
      </c>
      <c r="D163" s="16" t="s">
        <v>1088</v>
      </c>
      <c r="E163" s="16" t="s">
        <v>257</v>
      </c>
      <c r="F163" s="16" t="s">
        <v>3</v>
      </c>
      <c r="G163" s="16" t="s">
        <v>134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1109</v>
      </c>
    </row>
    <row r="164" spans="1:83" ht="16.5" customHeight="1" x14ac:dyDescent="0.25">
      <c r="A164" s="16" t="s">
        <v>86</v>
      </c>
      <c r="B164" s="16" t="s">
        <v>116</v>
      </c>
      <c r="C164" s="16" t="s">
        <v>107</v>
      </c>
      <c r="D164" s="16" t="s">
        <v>1094</v>
      </c>
      <c r="E164" s="16" t="s">
        <v>258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1109</v>
      </c>
    </row>
    <row r="165" spans="1:83" ht="16.5" customHeight="1" x14ac:dyDescent="0.25">
      <c r="A165" s="16" t="s">
        <v>86</v>
      </c>
      <c r="B165" s="16" t="s">
        <v>116</v>
      </c>
      <c r="C165" s="16" t="s">
        <v>99</v>
      </c>
      <c r="D165" s="16" t="s">
        <v>192</v>
      </c>
      <c r="E165" s="16" t="s">
        <v>266</v>
      </c>
      <c r="F165" s="16" t="s">
        <v>4</v>
      </c>
      <c r="G165" s="16" t="s">
        <v>20</v>
      </c>
      <c r="H165" s="16" t="s">
        <v>123</v>
      </c>
      <c r="I165" s="16">
        <v>186083</v>
      </c>
      <c r="T165" s="20" t="s">
        <v>1107</v>
      </c>
      <c r="U165" s="20">
        <v>0</v>
      </c>
    </row>
    <row r="166" spans="1:83" ht="16.5" customHeight="1" x14ac:dyDescent="0.25">
      <c r="A166" s="16" t="s">
        <v>86</v>
      </c>
      <c r="B166" s="16" t="s">
        <v>116</v>
      </c>
      <c r="C166" s="16" t="s">
        <v>94</v>
      </c>
      <c r="D166" s="16" t="s">
        <v>1095</v>
      </c>
      <c r="E166" s="16" t="s">
        <v>1044</v>
      </c>
      <c r="F166" s="16" t="s">
        <v>4</v>
      </c>
      <c r="G166" s="16" t="s">
        <v>1036</v>
      </c>
      <c r="H166" s="16" t="s">
        <v>579</v>
      </c>
      <c r="I166" s="16">
        <v>109342</v>
      </c>
      <c r="T166" s="20" t="s">
        <v>1108</v>
      </c>
      <c r="U166" s="20">
        <v>0</v>
      </c>
    </row>
    <row r="167" spans="1:83" s="82" customFormat="1" ht="16.5" customHeight="1" x14ac:dyDescent="0.25">
      <c r="A167" s="79" t="s">
        <v>86</v>
      </c>
      <c r="B167" s="86" t="s">
        <v>116</v>
      </c>
      <c r="C167" s="91" t="s">
        <v>98</v>
      </c>
      <c r="D167" s="109" t="s">
        <v>200</v>
      </c>
      <c r="E167" s="105" t="s">
        <v>236</v>
      </c>
      <c r="F167" s="78" t="s">
        <v>118</v>
      </c>
      <c r="G167" s="27" t="s">
        <v>1086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1087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86</v>
      </c>
      <c r="B168" s="78" t="s">
        <v>116</v>
      </c>
      <c r="C168" s="72" t="s">
        <v>108</v>
      </c>
      <c r="D168" s="7" t="s">
        <v>182</v>
      </c>
      <c r="E168" s="84" t="s">
        <v>259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1096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86</v>
      </c>
      <c r="B169" s="78" t="s">
        <v>116</v>
      </c>
      <c r="C169" s="72" t="s">
        <v>108</v>
      </c>
      <c r="D169" s="11" t="s">
        <v>181</v>
      </c>
      <c r="E169" s="85" t="s">
        <v>1026</v>
      </c>
      <c r="F169" s="78" t="s">
        <v>3</v>
      </c>
      <c r="G169" s="21"/>
      <c r="H169" s="6" t="s">
        <v>288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1117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86</v>
      </c>
      <c r="B170" s="83" t="s">
        <v>116</v>
      </c>
      <c r="C170" s="72" t="s">
        <v>93</v>
      </c>
      <c r="D170" s="7" t="s">
        <v>1089</v>
      </c>
      <c r="E170" s="95" t="s">
        <v>248</v>
      </c>
      <c r="F170" s="78" t="s">
        <v>4</v>
      </c>
      <c r="G170" s="79" t="s">
        <v>1070</v>
      </c>
      <c r="H170" s="78" t="s">
        <v>121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1114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86</v>
      </c>
      <c r="B171" s="78" t="s">
        <v>116</v>
      </c>
      <c r="C171" s="72" t="s">
        <v>96</v>
      </c>
      <c r="D171" s="7" t="s">
        <v>184</v>
      </c>
      <c r="E171" s="94" t="s">
        <v>260</v>
      </c>
      <c r="F171" s="78" t="s">
        <v>118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1115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86</v>
      </c>
      <c r="B172" s="78" t="s">
        <v>116</v>
      </c>
      <c r="C172" s="72" t="s">
        <v>96</v>
      </c>
      <c r="D172" s="7" t="s">
        <v>184</v>
      </c>
      <c r="E172" s="84" t="s">
        <v>260</v>
      </c>
      <c r="F172" s="78" t="s">
        <v>118</v>
      </c>
      <c r="G172" s="21"/>
      <c r="H172" s="1" t="s">
        <v>1073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1075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86</v>
      </c>
      <c r="B173" s="78" t="s">
        <v>116</v>
      </c>
      <c r="C173" s="72" t="s">
        <v>102</v>
      </c>
      <c r="D173" s="7" t="s">
        <v>1111</v>
      </c>
      <c r="E173" s="95" t="s">
        <v>244</v>
      </c>
      <c r="F173" s="78" t="s">
        <v>4</v>
      </c>
      <c r="G173" s="27" t="s">
        <v>1112</v>
      </c>
      <c r="H173" s="14" t="s">
        <v>1113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1123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86</v>
      </c>
      <c r="B174" s="78" t="s">
        <v>116</v>
      </c>
      <c r="C174" s="72" t="s">
        <v>107</v>
      </c>
      <c r="D174" s="7" t="s">
        <v>1129</v>
      </c>
      <c r="E174" s="84" t="s">
        <v>256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1143</v>
      </c>
      <c r="U174" s="34">
        <f>COUNTIFS(P174:Q174,"=0")</f>
        <v>1</v>
      </c>
      <c r="V174" s="15" t="s">
        <v>1143</v>
      </c>
    </row>
    <row r="175" spans="1:83" s="20" customFormat="1" ht="16.5" customHeight="1" x14ac:dyDescent="0.25">
      <c r="A175" s="14" t="s">
        <v>86</v>
      </c>
      <c r="B175" s="78" t="s">
        <v>116</v>
      </c>
      <c r="C175" s="72" t="s">
        <v>96</v>
      </c>
      <c r="D175" s="10" t="s">
        <v>183</v>
      </c>
      <c r="E175" s="121" t="s">
        <v>261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1142</v>
      </c>
      <c r="U175" s="34">
        <f>COUNTIFS(P175:Q175,"=0")</f>
        <v>0</v>
      </c>
      <c r="V175" s="15" t="s">
        <v>1142</v>
      </c>
    </row>
    <row r="176" spans="1:83" ht="16.5" customHeight="1" x14ac:dyDescent="0.25">
      <c r="A176" s="14" t="s">
        <v>86</v>
      </c>
      <c r="B176" s="78" t="s">
        <v>116</v>
      </c>
      <c r="C176" s="72" t="s">
        <v>110</v>
      </c>
      <c r="D176" s="7" t="s">
        <v>1146</v>
      </c>
      <c r="E176" s="97" t="s">
        <v>1147</v>
      </c>
      <c r="F176" s="78" t="s">
        <v>1145</v>
      </c>
      <c r="G176" s="27" t="s">
        <v>1148</v>
      </c>
      <c r="H176" s="14" t="s">
        <v>1149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1150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86</v>
      </c>
      <c r="B177" s="78" t="s">
        <v>116</v>
      </c>
      <c r="C177" s="72" t="s">
        <v>95</v>
      </c>
      <c r="D177" s="126" t="s">
        <v>167</v>
      </c>
      <c r="E177" s="97" t="s">
        <v>237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1165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86</v>
      </c>
      <c r="B178" s="78" t="s">
        <v>116</v>
      </c>
      <c r="C178" s="72" t="s">
        <v>101</v>
      </c>
      <c r="D178" s="7" t="s">
        <v>175</v>
      </c>
      <c r="E178" s="94" t="s">
        <v>1118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1159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86</v>
      </c>
      <c r="B179" s="90" t="s">
        <v>116</v>
      </c>
      <c r="C179" s="75" t="s">
        <v>97</v>
      </c>
      <c r="D179" s="7" t="s">
        <v>168</v>
      </c>
      <c r="E179" s="128" t="s">
        <v>239</v>
      </c>
      <c r="F179" s="90" t="s">
        <v>118</v>
      </c>
      <c r="G179" s="23"/>
      <c r="H179" s="8" t="s">
        <v>80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1160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86</v>
      </c>
      <c r="B180" s="78" t="s">
        <v>116</v>
      </c>
      <c r="C180" s="72" t="s">
        <v>1037</v>
      </c>
      <c r="D180" s="7" t="s">
        <v>1038</v>
      </c>
      <c r="E180" s="99" t="s">
        <v>269</v>
      </c>
      <c r="F180" s="78" t="s">
        <v>3</v>
      </c>
      <c r="G180" s="27" t="s">
        <v>1039</v>
      </c>
      <c r="H180" s="6" t="s">
        <v>46</v>
      </c>
      <c r="T180" s="16" t="s">
        <v>1169</v>
      </c>
    </row>
    <row r="181" spans="1:16384" ht="16.5" customHeight="1" x14ac:dyDescent="0.25">
      <c r="A181" s="14" t="s">
        <v>86</v>
      </c>
      <c r="B181" s="78" t="s">
        <v>116</v>
      </c>
      <c r="C181" s="91" t="s">
        <v>98</v>
      </c>
      <c r="D181" s="7" t="s">
        <v>1124</v>
      </c>
      <c r="E181" s="122" t="s">
        <v>236</v>
      </c>
      <c r="F181" s="78" t="s">
        <v>3</v>
      </c>
      <c r="G181" s="27" t="s">
        <v>1086</v>
      </c>
      <c r="H181" s="6" t="s">
        <v>1110</v>
      </c>
      <c r="T181" s="16" t="s">
        <v>1109</v>
      </c>
    </row>
    <row r="182" spans="1:16384" ht="16.5" customHeight="1" x14ac:dyDescent="0.25">
      <c r="A182" s="153" t="s">
        <v>86</v>
      </c>
      <c r="B182" s="154" t="s">
        <v>116</v>
      </c>
      <c r="C182" s="155" t="s">
        <v>108</v>
      </c>
      <c r="D182" s="11" t="s">
        <v>181</v>
      </c>
      <c r="E182" s="156" t="s">
        <v>1116</v>
      </c>
      <c r="F182" s="154" t="s">
        <v>118</v>
      </c>
      <c r="H182" s="127" t="s">
        <v>1059</v>
      </c>
      <c r="T182" s="16" t="s">
        <v>1176</v>
      </c>
    </row>
    <row r="183" spans="1:16384" ht="16.5" customHeight="1" x14ac:dyDescent="0.25">
      <c r="A183" s="14" t="s">
        <v>86</v>
      </c>
      <c r="B183" s="78" t="s">
        <v>116</v>
      </c>
      <c r="C183" s="73" t="s">
        <v>97</v>
      </c>
      <c r="D183" s="7" t="s">
        <v>168</v>
      </c>
      <c r="E183" s="95" t="s">
        <v>239</v>
      </c>
      <c r="F183" s="78" t="s">
        <v>3</v>
      </c>
      <c r="G183" s="27" t="s">
        <v>1181</v>
      </c>
      <c r="H183" s="6" t="s">
        <v>68</v>
      </c>
      <c r="T183" s="14" t="s">
        <v>1180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86</v>
      </c>
      <c r="B184" s="158" t="s">
        <v>116</v>
      </c>
      <c r="C184" s="157" t="s">
        <v>87</v>
      </c>
      <c r="D184" s="16" t="s">
        <v>191</v>
      </c>
      <c r="E184" s="16" t="s">
        <v>217</v>
      </c>
      <c r="F184" s="16" t="s">
        <v>155</v>
      </c>
      <c r="G184" s="16" t="s">
        <v>156</v>
      </c>
      <c r="H184" s="16" t="s">
        <v>157</v>
      </c>
      <c r="T184" s="16" t="s">
        <v>1197</v>
      </c>
    </row>
  </sheetData>
  <autoFilter ref="A1:DE53">
    <filterColumn colId="5">
      <filters>
        <filter val="DRL54297"/>
      </filters>
    </filterColumn>
  </autoFilter>
  <mergeCells count="25">
    <mergeCell ref="I145:M145"/>
    <mergeCell ref="I143:M143"/>
    <mergeCell ref="I144:M144"/>
    <mergeCell ref="I138:M138"/>
    <mergeCell ref="I139:M139"/>
    <mergeCell ref="I140:M140"/>
    <mergeCell ref="I141:M141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H125:M125"/>
    <mergeCell ref="R92:T92"/>
    <mergeCell ref="R93:T93"/>
    <mergeCell ref="R94:T94"/>
    <mergeCell ref="R95:T95"/>
    <mergeCell ref="R96:T96"/>
  </mergeCells>
  <conditionalFormatting sqref="F100:G100">
    <cfRule type="duplicateValues" dxfId="277" priority="279"/>
    <cfRule type="duplicateValues" dxfId="276" priority="280"/>
  </conditionalFormatting>
  <conditionalFormatting sqref="F102:G102">
    <cfRule type="duplicateValues" dxfId="275" priority="276"/>
    <cfRule type="duplicateValues" dxfId="274" priority="277"/>
  </conditionalFormatting>
  <conditionalFormatting sqref="F102">
    <cfRule type="duplicateValues" dxfId="273" priority="278"/>
  </conditionalFormatting>
  <conditionalFormatting sqref="F103:G103">
    <cfRule type="duplicateValues" dxfId="272" priority="273"/>
    <cfRule type="duplicateValues" dxfId="271" priority="274"/>
  </conditionalFormatting>
  <conditionalFormatting sqref="F103">
    <cfRule type="duplicateValues" dxfId="270" priority="275"/>
  </conditionalFormatting>
  <conditionalFormatting sqref="F105:G105">
    <cfRule type="duplicateValues" dxfId="269" priority="270"/>
    <cfRule type="duplicateValues" dxfId="268" priority="271"/>
  </conditionalFormatting>
  <conditionalFormatting sqref="F105">
    <cfRule type="duplicateValues" dxfId="267" priority="272"/>
  </conditionalFormatting>
  <conditionalFormatting sqref="F106:G106">
    <cfRule type="duplicateValues" dxfId="266" priority="267"/>
    <cfRule type="duplicateValues" dxfId="265" priority="268"/>
  </conditionalFormatting>
  <conditionalFormatting sqref="F106">
    <cfRule type="duplicateValues" dxfId="264" priority="269"/>
  </conditionalFormatting>
  <conditionalFormatting sqref="F108:G108">
    <cfRule type="duplicateValues" dxfId="263" priority="264"/>
    <cfRule type="duplicateValues" dxfId="262" priority="265"/>
  </conditionalFormatting>
  <conditionalFormatting sqref="F108">
    <cfRule type="duplicateValues" dxfId="261" priority="266"/>
  </conditionalFormatting>
  <conditionalFormatting sqref="F110:G110">
    <cfRule type="duplicateValues" dxfId="260" priority="258"/>
    <cfRule type="duplicateValues" dxfId="259" priority="259"/>
  </conditionalFormatting>
  <conditionalFormatting sqref="F110">
    <cfRule type="duplicateValues" dxfId="258" priority="260"/>
  </conditionalFormatting>
  <conditionalFormatting sqref="F112:G112">
    <cfRule type="duplicateValues" dxfId="257" priority="255"/>
    <cfRule type="duplicateValues" dxfId="256" priority="256"/>
  </conditionalFormatting>
  <conditionalFormatting sqref="F112">
    <cfRule type="duplicateValues" dxfId="255" priority="257"/>
  </conditionalFormatting>
  <conditionalFormatting sqref="F113:G113">
    <cfRule type="duplicateValues" dxfId="254" priority="252"/>
    <cfRule type="duplicateValues" dxfId="253" priority="253"/>
  </conditionalFormatting>
  <conditionalFormatting sqref="F113">
    <cfRule type="duplicateValues" dxfId="252" priority="254"/>
  </conditionalFormatting>
  <conditionalFormatting sqref="F114:G114">
    <cfRule type="duplicateValues" dxfId="251" priority="249"/>
    <cfRule type="duplicateValues" dxfId="250" priority="250"/>
  </conditionalFormatting>
  <conditionalFormatting sqref="F114">
    <cfRule type="duplicateValues" dxfId="249" priority="251"/>
  </conditionalFormatting>
  <conditionalFormatting sqref="F115:G115">
    <cfRule type="duplicateValues" dxfId="248" priority="246"/>
    <cfRule type="duplicateValues" dxfId="247" priority="247"/>
  </conditionalFormatting>
  <conditionalFormatting sqref="F115">
    <cfRule type="duplicateValues" dxfId="246" priority="248"/>
  </conditionalFormatting>
  <conditionalFormatting sqref="F116:G116">
    <cfRule type="duplicateValues" dxfId="245" priority="243"/>
    <cfRule type="duplicateValues" dxfId="244" priority="244"/>
  </conditionalFormatting>
  <conditionalFormatting sqref="F116">
    <cfRule type="duplicateValues" dxfId="243" priority="245"/>
  </conditionalFormatting>
  <conditionalFormatting sqref="F117:G117">
    <cfRule type="duplicateValues" dxfId="242" priority="240"/>
    <cfRule type="duplicateValues" dxfId="241" priority="241"/>
  </conditionalFormatting>
  <conditionalFormatting sqref="F117">
    <cfRule type="duplicateValues" dxfId="240" priority="242"/>
  </conditionalFormatting>
  <conditionalFormatting sqref="F118:G118">
    <cfRule type="duplicateValues" dxfId="239" priority="237"/>
    <cfRule type="duplicateValues" dxfId="238" priority="238"/>
  </conditionalFormatting>
  <conditionalFormatting sqref="F118">
    <cfRule type="duplicateValues" dxfId="237" priority="239"/>
  </conditionalFormatting>
  <conditionalFormatting sqref="F119:G119">
    <cfRule type="duplicateValues" dxfId="236" priority="234"/>
    <cfRule type="duplicateValues" dxfId="235" priority="235"/>
  </conditionalFormatting>
  <conditionalFormatting sqref="F119">
    <cfRule type="duplicateValues" dxfId="234" priority="236"/>
  </conditionalFormatting>
  <conditionalFormatting sqref="F120:G120">
    <cfRule type="duplicateValues" dxfId="233" priority="231"/>
    <cfRule type="duplicateValues" dxfId="232" priority="232"/>
  </conditionalFormatting>
  <conditionalFormatting sqref="F120">
    <cfRule type="duplicateValues" dxfId="231" priority="233"/>
  </conditionalFormatting>
  <conditionalFormatting sqref="F121:G121">
    <cfRule type="duplicateValues" dxfId="230" priority="228"/>
    <cfRule type="duplicateValues" dxfId="229" priority="229"/>
  </conditionalFormatting>
  <conditionalFormatting sqref="F121">
    <cfRule type="duplicateValues" dxfId="228" priority="230"/>
  </conditionalFormatting>
  <conditionalFormatting sqref="F122:G122">
    <cfRule type="duplicateValues" dxfId="227" priority="225"/>
    <cfRule type="duplicateValues" dxfId="226" priority="226"/>
  </conditionalFormatting>
  <conditionalFormatting sqref="F122">
    <cfRule type="duplicateValues" dxfId="225" priority="227"/>
  </conditionalFormatting>
  <conditionalFormatting sqref="F124:G124">
    <cfRule type="duplicateValues" dxfId="224" priority="222"/>
    <cfRule type="duplicateValues" dxfId="223" priority="223"/>
  </conditionalFormatting>
  <conditionalFormatting sqref="F124">
    <cfRule type="duplicateValues" dxfId="222" priority="224"/>
  </conditionalFormatting>
  <conditionalFormatting sqref="H126 F142 H143:H145">
    <cfRule type="cellIs" dxfId="221" priority="216" operator="equal">
      <formula>0</formula>
    </cfRule>
  </conditionalFormatting>
  <conditionalFormatting sqref="G126">
    <cfRule type="duplicateValues" dxfId="220" priority="217"/>
    <cfRule type="duplicateValues" dxfId="219" priority="218"/>
  </conditionalFormatting>
  <conditionalFormatting sqref="F126">
    <cfRule type="duplicateValues" dxfId="218" priority="219"/>
    <cfRule type="duplicateValues" dxfId="217" priority="220"/>
  </conditionalFormatting>
  <conditionalFormatting sqref="F126">
    <cfRule type="duplicateValues" dxfId="216" priority="221"/>
  </conditionalFormatting>
  <conditionalFormatting sqref="H128">
    <cfRule type="cellIs" dxfId="215" priority="210" operator="equal">
      <formula>0</formula>
    </cfRule>
  </conditionalFormatting>
  <conditionalFormatting sqref="G128">
    <cfRule type="duplicateValues" dxfId="214" priority="211"/>
    <cfRule type="duplicateValues" dxfId="213" priority="212"/>
  </conditionalFormatting>
  <conditionalFormatting sqref="F128">
    <cfRule type="duplicateValues" dxfId="212" priority="213"/>
    <cfRule type="duplicateValues" dxfId="211" priority="214"/>
  </conditionalFormatting>
  <conditionalFormatting sqref="F128">
    <cfRule type="duplicateValues" dxfId="210" priority="215"/>
  </conditionalFormatting>
  <conditionalFormatting sqref="H129:H130">
    <cfRule type="cellIs" dxfId="209" priority="204" operator="equal">
      <formula>0</formula>
    </cfRule>
  </conditionalFormatting>
  <conditionalFormatting sqref="G129:G130">
    <cfRule type="duplicateValues" dxfId="208" priority="205"/>
    <cfRule type="duplicateValues" dxfId="207" priority="206"/>
  </conditionalFormatting>
  <conditionalFormatting sqref="F129:F130">
    <cfRule type="duplicateValues" dxfId="206" priority="207"/>
    <cfRule type="duplicateValues" dxfId="205" priority="208"/>
  </conditionalFormatting>
  <conditionalFormatting sqref="F129:F130">
    <cfRule type="duplicateValues" dxfId="204" priority="209"/>
  </conditionalFormatting>
  <conditionalFormatting sqref="H131">
    <cfRule type="cellIs" dxfId="203" priority="198" operator="equal">
      <formula>0</formula>
    </cfRule>
  </conditionalFormatting>
  <conditionalFormatting sqref="G131">
    <cfRule type="duplicateValues" dxfId="202" priority="199"/>
    <cfRule type="duplicateValues" dxfId="201" priority="200"/>
  </conditionalFormatting>
  <conditionalFormatting sqref="F131">
    <cfRule type="duplicateValues" dxfId="200" priority="201"/>
    <cfRule type="duplicateValues" dxfId="199" priority="202"/>
  </conditionalFormatting>
  <conditionalFormatting sqref="F131">
    <cfRule type="duplicateValues" dxfId="198" priority="203"/>
  </conditionalFormatting>
  <conditionalFormatting sqref="H132:H133">
    <cfRule type="cellIs" dxfId="197" priority="192" operator="equal">
      <formula>0</formula>
    </cfRule>
  </conditionalFormatting>
  <conditionalFormatting sqref="G132:G133">
    <cfRule type="duplicateValues" dxfId="196" priority="193"/>
    <cfRule type="duplicateValues" dxfId="195" priority="194"/>
  </conditionalFormatting>
  <conditionalFormatting sqref="F132:F133">
    <cfRule type="duplicateValues" dxfId="194" priority="195"/>
    <cfRule type="duplicateValues" dxfId="193" priority="196"/>
  </conditionalFormatting>
  <conditionalFormatting sqref="F132:F133">
    <cfRule type="duplicateValues" dxfId="192" priority="197"/>
  </conditionalFormatting>
  <conditionalFormatting sqref="H134">
    <cfRule type="cellIs" dxfId="191" priority="186" operator="equal">
      <formula>0</formula>
    </cfRule>
  </conditionalFormatting>
  <conditionalFormatting sqref="G134">
    <cfRule type="duplicateValues" dxfId="190" priority="187"/>
    <cfRule type="duplicateValues" dxfId="189" priority="188"/>
  </conditionalFormatting>
  <conditionalFormatting sqref="F134">
    <cfRule type="duplicateValues" dxfId="188" priority="189"/>
    <cfRule type="duplicateValues" dxfId="187" priority="190"/>
  </conditionalFormatting>
  <conditionalFormatting sqref="F134">
    <cfRule type="duplicateValues" dxfId="186" priority="191"/>
  </conditionalFormatting>
  <conditionalFormatting sqref="H135:H136">
    <cfRule type="cellIs" dxfId="185" priority="180" operator="equal">
      <formula>0</formula>
    </cfRule>
  </conditionalFormatting>
  <conditionalFormatting sqref="G135:G136">
    <cfRule type="duplicateValues" dxfId="184" priority="181"/>
    <cfRule type="duplicateValues" dxfId="183" priority="182"/>
  </conditionalFormatting>
  <conditionalFormatting sqref="F135:F136">
    <cfRule type="duplicateValues" dxfId="182" priority="183"/>
    <cfRule type="duplicateValues" dxfId="181" priority="184"/>
  </conditionalFormatting>
  <conditionalFormatting sqref="F135:F136">
    <cfRule type="duplicateValues" dxfId="180" priority="185"/>
  </conditionalFormatting>
  <conditionalFormatting sqref="H137:H138">
    <cfRule type="cellIs" dxfId="179" priority="174" operator="equal">
      <formula>0</formula>
    </cfRule>
  </conditionalFormatting>
  <conditionalFormatting sqref="G137:G138">
    <cfRule type="duplicateValues" dxfId="178" priority="175"/>
    <cfRule type="duplicateValues" dxfId="177" priority="176"/>
  </conditionalFormatting>
  <conditionalFormatting sqref="F137:F138">
    <cfRule type="duplicateValues" dxfId="176" priority="177"/>
    <cfRule type="duplicateValues" dxfId="175" priority="178"/>
  </conditionalFormatting>
  <conditionalFormatting sqref="F137:F138">
    <cfRule type="duplicateValues" dxfId="174" priority="179"/>
  </conditionalFormatting>
  <conditionalFormatting sqref="H139">
    <cfRule type="cellIs" dxfId="173" priority="168" operator="equal">
      <formula>0</formula>
    </cfRule>
  </conditionalFormatting>
  <conditionalFormatting sqref="G139">
    <cfRule type="duplicateValues" dxfId="172" priority="169"/>
    <cfRule type="duplicateValues" dxfId="171" priority="170"/>
  </conditionalFormatting>
  <conditionalFormatting sqref="F139">
    <cfRule type="duplicateValues" dxfId="170" priority="171"/>
    <cfRule type="duplicateValues" dxfId="169" priority="172"/>
  </conditionalFormatting>
  <conditionalFormatting sqref="F139">
    <cfRule type="duplicateValues" dxfId="168" priority="173"/>
  </conditionalFormatting>
  <conditionalFormatting sqref="H127">
    <cfRule type="cellIs" dxfId="167" priority="162" operator="equal">
      <formula>0</formula>
    </cfRule>
  </conditionalFormatting>
  <conditionalFormatting sqref="G127">
    <cfRule type="duplicateValues" dxfId="166" priority="163"/>
    <cfRule type="duplicateValues" dxfId="165" priority="164"/>
  </conditionalFormatting>
  <conditionalFormatting sqref="F127">
    <cfRule type="duplicateValues" dxfId="164" priority="165"/>
    <cfRule type="duplicateValues" dxfId="163" priority="166"/>
  </conditionalFormatting>
  <conditionalFormatting sqref="F127">
    <cfRule type="duplicateValues" dxfId="162" priority="167"/>
  </conditionalFormatting>
  <conditionalFormatting sqref="H140">
    <cfRule type="cellIs" dxfId="161" priority="156" operator="equal">
      <formula>0</formula>
    </cfRule>
  </conditionalFormatting>
  <conditionalFormatting sqref="G140">
    <cfRule type="duplicateValues" dxfId="160" priority="157"/>
    <cfRule type="duplicateValues" dxfId="159" priority="158"/>
  </conditionalFormatting>
  <conditionalFormatting sqref="F140">
    <cfRule type="duplicateValues" dxfId="158" priority="159"/>
    <cfRule type="duplicateValues" dxfId="157" priority="160"/>
  </conditionalFormatting>
  <conditionalFormatting sqref="F140">
    <cfRule type="duplicateValues" dxfId="156" priority="161"/>
  </conditionalFormatting>
  <conditionalFormatting sqref="G141">
    <cfRule type="duplicateValues" dxfId="155" priority="151"/>
    <cfRule type="duplicateValues" dxfId="154" priority="152"/>
  </conditionalFormatting>
  <conditionalFormatting sqref="F141">
    <cfRule type="duplicateValues" dxfId="153" priority="153"/>
    <cfRule type="duplicateValues" dxfId="152" priority="154"/>
  </conditionalFormatting>
  <conditionalFormatting sqref="F141">
    <cfRule type="duplicateValues" dxfId="151" priority="155"/>
  </conditionalFormatting>
  <conditionalFormatting sqref="G141">
    <cfRule type="duplicateValues" dxfId="150" priority="149"/>
  </conditionalFormatting>
  <conditionalFormatting sqref="H141">
    <cfRule type="cellIs" dxfId="149" priority="148" operator="equal">
      <formula>0</formula>
    </cfRule>
  </conditionalFormatting>
  <conditionalFormatting sqref="G142:G144">
    <cfRule type="duplicateValues" dxfId="148" priority="281"/>
    <cfRule type="duplicateValues" dxfId="147" priority="282"/>
  </conditionalFormatting>
  <conditionalFormatting sqref="F143:F144 E142">
    <cfRule type="duplicateValues" dxfId="146" priority="283"/>
    <cfRule type="duplicateValues" dxfId="145" priority="284"/>
  </conditionalFormatting>
  <conditionalFormatting sqref="F143:F144 E142">
    <cfRule type="duplicateValues" dxfId="144" priority="287"/>
  </conditionalFormatting>
  <conditionalFormatting sqref="G145">
    <cfRule type="duplicateValues" dxfId="143" priority="289"/>
    <cfRule type="duplicateValues" dxfId="142" priority="290"/>
  </conditionalFormatting>
  <conditionalFormatting sqref="F145">
    <cfRule type="duplicateValues" dxfId="141" priority="291"/>
    <cfRule type="duplicateValues" dxfId="140" priority="292"/>
  </conditionalFormatting>
  <conditionalFormatting sqref="F145">
    <cfRule type="duplicateValues" dxfId="139" priority="293"/>
  </conditionalFormatting>
  <conditionalFormatting sqref="I146:T146">
    <cfRule type="cellIs" dxfId="138" priority="114" operator="equal">
      <formula>0</formula>
    </cfRule>
  </conditionalFormatting>
  <conditionalFormatting sqref="U146">
    <cfRule type="cellIs" dxfId="137" priority="111" operator="greaterThan">
      <formula>6</formula>
    </cfRule>
    <cfRule type="cellIs" dxfId="136" priority="112" operator="between">
      <formula>3</formula>
      <formula>5</formula>
    </cfRule>
    <cfRule type="cellIs" dxfId="135" priority="113" operator="between">
      <formula>0</formula>
      <formula>2</formula>
    </cfRule>
  </conditionalFormatting>
  <conditionalFormatting sqref="G146">
    <cfRule type="duplicateValues" dxfId="134" priority="110"/>
  </conditionalFormatting>
  <conditionalFormatting sqref="I147:T147">
    <cfRule type="cellIs" dxfId="133" priority="109" operator="equal">
      <formula>0</formula>
    </cfRule>
  </conditionalFormatting>
  <conditionalFormatting sqref="U147">
    <cfRule type="cellIs" dxfId="132" priority="106" operator="greaterThan">
      <formula>6</formula>
    </cfRule>
    <cfRule type="cellIs" dxfId="131" priority="107" operator="between">
      <formula>3</formula>
      <formula>5</formula>
    </cfRule>
    <cfRule type="cellIs" dxfId="130" priority="108" operator="between">
      <formula>0</formula>
      <formula>2</formula>
    </cfRule>
  </conditionalFormatting>
  <conditionalFormatting sqref="G147">
    <cfRule type="duplicateValues" dxfId="129" priority="105"/>
  </conditionalFormatting>
  <conditionalFormatting sqref="I148:T148">
    <cfRule type="cellIs" dxfId="128" priority="99" operator="equal">
      <formula>0</formula>
    </cfRule>
  </conditionalFormatting>
  <conditionalFormatting sqref="U148">
    <cfRule type="cellIs" dxfId="127" priority="96" operator="greaterThan">
      <formula>6</formula>
    </cfRule>
    <cfRule type="cellIs" dxfId="126" priority="97" operator="between">
      <formula>3</formula>
      <formula>5</formula>
    </cfRule>
    <cfRule type="cellIs" dxfId="125" priority="98" operator="between">
      <formula>0</formula>
      <formula>2</formula>
    </cfRule>
  </conditionalFormatting>
  <conditionalFormatting sqref="G148">
    <cfRule type="duplicateValues" dxfId="124" priority="95"/>
  </conditionalFormatting>
  <conditionalFormatting sqref="I149:T149">
    <cfRule type="cellIs" dxfId="123" priority="94" operator="equal">
      <formula>0</formula>
    </cfRule>
  </conditionalFormatting>
  <conditionalFormatting sqref="U149">
    <cfRule type="cellIs" dxfId="122" priority="91" operator="greaterThan">
      <formula>6</formula>
    </cfRule>
    <cfRule type="cellIs" dxfId="121" priority="92" operator="between">
      <formula>3</formula>
      <formula>5</formula>
    </cfRule>
    <cfRule type="cellIs" dxfId="120" priority="93" operator="between">
      <formula>0</formula>
      <formula>2</formula>
    </cfRule>
  </conditionalFormatting>
  <conditionalFormatting sqref="G149">
    <cfRule type="duplicateValues" dxfId="119" priority="90"/>
  </conditionalFormatting>
  <conditionalFormatting sqref="I151">
    <cfRule type="cellIs" dxfId="118" priority="89" operator="equal">
      <formula>0</formula>
    </cfRule>
  </conditionalFormatting>
  <conditionalFormatting sqref="G151">
    <cfRule type="duplicateValues" dxfId="117" priority="88"/>
  </conditionalFormatting>
  <conditionalFormatting sqref="J151:M151">
    <cfRule type="cellIs" dxfId="116" priority="87" operator="equal">
      <formula>0</formula>
    </cfRule>
  </conditionalFormatting>
  <conditionalFormatting sqref="I168:S168">
    <cfRule type="cellIs" dxfId="115" priority="81" operator="equal">
      <formula>0</formula>
    </cfRule>
  </conditionalFormatting>
  <conditionalFormatting sqref="U168">
    <cfRule type="cellIs" dxfId="114" priority="78" operator="greaterThan">
      <formula>6</formula>
    </cfRule>
    <cfRule type="cellIs" dxfId="113" priority="79" operator="between">
      <formula>3</formula>
      <formula>5</formula>
    </cfRule>
    <cfRule type="cellIs" dxfId="112" priority="80" operator="between">
      <formula>0</formula>
      <formula>2</formula>
    </cfRule>
  </conditionalFormatting>
  <conditionalFormatting sqref="G168">
    <cfRule type="duplicateValues" dxfId="111" priority="294"/>
  </conditionalFormatting>
  <conditionalFormatting sqref="J167:S167">
    <cfRule type="cellIs" dxfId="110" priority="71" operator="equal">
      <formula>0</formula>
    </cfRule>
  </conditionalFormatting>
  <conditionalFormatting sqref="U167">
    <cfRule type="cellIs" dxfId="109" priority="68" operator="greaterThan">
      <formula>6</formula>
    </cfRule>
    <cfRule type="cellIs" dxfId="108" priority="69" operator="between">
      <formula>3</formula>
      <formula>5</formula>
    </cfRule>
    <cfRule type="cellIs" dxfId="107" priority="70" operator="between">
      <formula>0</formula>
      <formula>2</formula>
    </cfRule>
  </conditionalFormatting>
  <conditionalFormatting sqref="I167">
    <cfRule type="cellIs" dxfId="106" priority="67" operator="equal">
      <formula>0</formula>
    </cfRule>
  </conditionalFormatting>
  <conditionalFormatting sqref="I170:S170">
    <cfRule type="cellIs" dxfId="105" priority="66" operator="equal">
      <formula>0</formula>
    </cfRule>
  </conditionalFormatting>
  <conditionalFormatting sqref="U170">
    <cfRule type="cellIs" dxfId="104" priority="63" operator="greaterThan">
      <formula>6</formula>
    </cfRule>
    <cfRule type="cellIs" dxfId="103" priority="64" operator="between">
      <formula>3</formula>
      <formula>5</formula>
    </cfRule>
    <cfRule type="cellIs" dxfId="102" priority="65" operator="between">
      <formula>0</formula>
      <formula>2</formula>
    </cfRule>
  </conditionalFormatting>
  <conditionalFormatting sqref="G170">
    <cfRule type="duplicateValues" dxfId="101" priority="62"/>
  </conditionalFormatting>
  <conditionalFormatting sqref="I171:S171">
    <cfRule type="cellIs" dxfId="100" priority="61" operator="equal">
      <formula>0</formula>
    </cfRule>
  </conditionalFormatting>
  <conditionalFormatting sqref="U171">
    <cfRule type="cellIs" dxfId="99" priority="58" operator="greaterThan">
      <formula>6</formula>
    </cfRule>
    <cfRule type="cellIs" dxfId="98" priority="59" operator="between">
      <formula>3</formula>
      <formula>5</formula>
    </cfRule>
    <cfRule type="cellIs" dxfId="97" priority="60" operator="between">
      <formula>0</formula>
      <formula>2</formula>
    </cfRule>
  </conditionalFormatting>
  <conditionalFormatting sqref="G171">
    <cfRule type="duplicateValues" dxfId="96" priority="57"/>
  </conditionalFormatting>
  <conditionalFormatting sqref="I172:S172">
    <cfRule type="cellIs" dxfId="95" priority="56" operator="equal">
      <formula>0</formula>
    </cfRule>
  </conditionalFormatting>
  <conditionalFormatting sqref="U172">
    <cfRule type="cellIs" dxfId="94" priority="53" operator="greaterThan">
      <formula>6</formula>
    </cfRule>
    <cfRule type="cellIs" dxfId="93" priority="54" operator="between">
      <formula>3</formula>
      <formula>5</formula>
    </cfRule>
    <cfRule type="cellIs" dxfId="92" priority="55" operator="between">
      <formula>0</formula>
      <formula>2</formula>
    </cfRule>
  </conditionalFormatting>
  <conditionalFormatting sqref="G172">
    <cfRule type="duplicateValues" dxfId="91" priority="52"/>
  </conditionalFormatting>
  <conditionalFormatting sqref="I169:S169">
    <cfRule type="cellIs" dxfId="90" priority="51" operator="equal">
      <formula>0</formula>
    </cfRule>
  </conditionalFormatting>
  <conditionalFormatting sqref="U169">
    <cfRule type="cellIs" dxfId="89" priority="48" operator="greaterThan">
      <formula>6</formula>
    </cfRule>
    <cfRule type="cellIs" dxfId="88" priority="49" operator="between">
      <formula>3</formula>
      <formula>5</formula>
    </cfRule>
    <cfRule type="cellIs" dxfId="87" priority="50" operator="between">
      <formula>0</formula>
      <formula>2</formula>
    </cfRule>
  </conditionalFormatting>
  <conditionalFormatting sqref="G169">
    <cfRule type="duplicateValues" dxfId="86" priority="47"/>
  </conditionalFormatting>
  <conditionalFormatting sqref="I173:T173">
    <cfRule type="cellIs" dxfId="85" priority="46" operator="equal">
      <formula>0</formula>
    </cfRule>
  </conditionalFormatting>
  <conditionalFormatting sqref="U173">
    <cfRule type="cellIs" dxfId="84" priority="43" operator="greaterThan">
      <formula>6</formula>
    </cfRule>
    <cfRule type="cellIs" dxfId="83" priority="44" operator="between">
      <formula>3</formula>
      <formula>5</formula>
    </cfRule>
    <cfRule type="cellIs" dxfId="82" priority="45" operator="between">
      <formula>0</formula>
      <formula>2</formula>
    </cfRule>
  </conditionalFormatting>
  <conditionalFormatting sqref="G173">
    <cfRule type="duplicateValues" dxfId="81" priority="42"/>
  </conditionalFormatting>
  <conditionalFormatting sqref="J174:S174">
    <cfRule type="cellIs" dxfId="80" priority="41" operator="equal">
      <formula>0</formula>
    </cfRule>
  </conditionalFormatting>
  <conditionalFormatting sqref="U174">
    <cfRule type="cellIs" dxfId="79" priority="38" operator="greaterThan">
      <formula>6</formula>
    </cfRule>
    <cfRule type="cellIs" dxfId="78" priority="39" operator="between">
      <formula>3</formula>
      <formula>5</formula>
    </cfRule>
    <cfRule type="cellIs" dxfId="77" priority="40" operator="between">
      <formula>0</formula>
      <formula>2</formula>
    </cfRule>
  </conditionalFormatting>
  <conditionalFormatting sqref="G174">
    <cfRule type="duplicateValues" dxfId="76" priority="37"/>
  </conditionalFormatting>
  <conditionalFormatting sqref="I174">
    <cfRule type="cellIs" dxfId="75" priority="36" operator="equal">
      <formula>0</formula>
    </cfRule>
  </conditionalFormatting>
  <conditionalFormatting sqref="I175:S175">
    <cfRule type="cellIs" dxfId="74" priority="35" operator="equal">
      <formula>0</formula>
    </cfRule>
  </conditionalFormatting>
  <conditionalFormatting sqref="U175">
    <cfRule type="cellIs" dxfId="73" priority="32" operator="greaterThan">
      <formula>6</formula>
    </cfRule>
    <cfRule type="cellIs" dxfId="72" priority="33" operator="between">
      <formula>3</formula>
      <formula>5</formula>
    </cfRule>
    <cfRule type="cellIs" dxfId="71" priority="34" operator="between">
      <formula>0</formula>
      <formula>2</formula>
    </cfRule>
  </conditionalFormatting>
  <conditionalFormatting sqref="G175">
    <cfRule type="duplicateValues" dxfId="70" priority="31"/>
  </conditionalFormatting>
  <conditionalFormatting sqref="J176:S176">
    <cfRule type="cellIs" dxfId="69" priority="24" operator="equal">
      <formula>0</formula>
    </cfRule>
  </conditionalFormatting>
  <conditionalFormatting sqref="U176">
    <cfRule type="cellIs" dxfId="68" priority="21" operator="greaterThan">
      <formula>6</formula>
    </cfRule>
    <cfRule type="cellIs" dxfId="67" priority="22" operator="between">
      <formula>3</formula>
      <formula>5</formula>
    </cfRule>
    <cfRule type="cellIs" dxfId="66" priority="23" operator="between">
      <formula>0</formula>
      <formula>2</formula>
    </cfRule>
  </conditionalFormatting>
  <conditionalFormatting sqref="G176">
    <cfRule type="duplicateValues" dxfId="65" priority="20"/>
  </conditionalFormatting>
  <conditionalFormatting sqref="I176">
    <cfRule type="cellIs" dxfId="64" priority="19" operator="equal">
      <formula>0</formula>
    </cfRule>
  </conditionalFormatting>
  <conditionalFormatting sqref="I177:T177">
    <cfRule type="cellIs" dxfId="63" priority="18" operator="equal">
      <formula>0</formula>
    </cfRule>
  </conditionalFormatting>
  <conditionalFormatting sqref="U177">
    <cfRule type="cellIs" dxfId="62" priority="15" operator="greaterThan">
      <formula>6</formula>
    </cfRule>
    <cfRule type="cellIs" dxfId="61" priority="16" operator="between">
      <formula>3</formula>
      <formula>5</formula>
    </cfRule>
    <cfRule type="cellIs" dxfId="60" priority="17" operator="between">
      <formula>0</formula>
      <formula>2</formula>
    </cfRule>
  </conditionalFormatting>
  <conditionalFormatting sqref="G177">
    <cfRule type="duplicateValues" dxfId="59" priority="14"/>
  </conditionalFormatting>
  <conditionalFormatting sqref="I178:T178">
    <cfRule type="cellIs" dxfId="58" priority="13" operator="equal">
      <formula>0</formula>
    </cfRule>
  </conditionalFormatting>
  <conditionalFormatting sqref="U178">
    <cfRule type="cellIs" dxfId="57" priority="10" operator="greaterThan">
      <formula>6</formula>
    </cfRule>
    <cfRule type="cellIs" dxfId="56" priority="11" operator="between">
      <formula>3</formula>
      <formula>5</formula>
    </cfRule>
    <cfRule type="cellIs" dxfId="55" priority="12" operator="between">
      <formula>0</formula>
      <formula>2</formula>
    </cfRule>
  </conditionalFormatting>
  <conditionalFormatting sqref="G178">
    <cfRule type="duplicateValues" dxfId="54" priority="9"/>
  </conditionalFormatting>
  <conditionalFormatting sqref="I179:T179">
    <cfRule type="cellIs" dxfId="53" priority="8" operator="equal">
      <formula>0</formula>
    </cfRule>
  </conditionalFormatting>
  <conditionalFormatting sqref="U179">
    <cfRule type="cellIs" dxfId="52" priority="5" operator="greaterThan">
      <formula>6</formula>
    </cfRule>
    <cfRule type="cellIs" dxfId="51" priority="6" operator="between">
      <formula>3</formula>
      <formula>5</formula>
    </cfRule>
    <cfRule type="cellIs" dxfId="50" priority="7" operator="between">
      <formula>0</formula>
      <formula>2</formula>
    </cfRule>
  </conditionalFormatting>
  <conditionalFormatting sqref="G179">
    <cfRule type="duplicateValues" dxfId="49" priority="4"/>
  </conditionalFormatting>
  <conditionalFormatting sqref="G180">
    <cfRule type="duplicateValues" dxfId="48" priority="3"/>
  </conditionalFormatting>
  <conditionalFormatting sqref="G181">
    <cfRule type="duplicateValues" dxfId="47" priority="2"/>
  </conditionalFormatting>
  <conditionalFormatting sqref="G183">
    <cfRule type="duplicateValues" dxfId="46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86</v>
      </c>
      <c r="B2" s="86" t="s">
        <v>116</v>
      </c>
      <c r="C2" s="72" t="s">
        <v>270</v>
      </c>
      <c r="D2" s="92" t="s">
        <v>270</v>
      </c>
      <c r="E2" s="84" t="s">
        <v>1042</v>
      </c>
      <c r="F2" s="78" t="s">
        <v>4</v>
      </c>
      <c r="G2" s="27" t="s">
        <v>1043</v>
      </c>
      <c r="H2" s="14" t="s">
        <v>623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1061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86</v>
      </c>
      <c r="B3" s="78" t="s">
        <v>116</v>
      </c>
      <c r="C3" s="72" t="s">
        <v>89</v>
      </c>
      <c r="D3" s="7" t="s">
        <v>170</v>
      </c>
      <c r="E3" s="93" t="s">
        <v>240</v>
      </c>
      <c r="F3" s="78" t="s">
        <v>42</v>
      </c>
      <c r="G3" s="27" t="s">
        <v>50</v>
      </c>
      <c r="H3" s="14" t="s">
        <v>280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1069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86</v>
      </c>
      <c r="B5" s="78" t="s">
        <v>116</v>
      </c>
      <c r="C5" s="72" t="s">
        <v>104</v>
      </c>
      <c r="D5" s="11" t="s">
        <v>177</v>
      </c>
      <c r="E5" s="97" t="s">
        <v>1065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86</v>
      </c>
      <c r="B6" s="89" t="s">
        <v>116</v>
      </c>
      <c r="C6" s="17" t="s">
        <v>105</v>
      </c>
      <c r="D6" s="26" t="s">
        <v>1057</v>
      </c>
      <c r="E6" s="17" t="s">
        <v>1049</v>
      </c>
      <c r="F6" s="89" t="s">
        <v>3</v>
      </c>
      <c r="G6" s="24" t="s">
        <v>1056</v>
      </c>
      <c r="H6" s="2" t="s">
        <v>142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1050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86</v>
      </c>
      <c r="B7" s="89" t="s">
        <v>116</v>
      </c>
      <c r="C7" s="71" t="s">
        <v>99</v>
      </c>
      <c r="D7" s="7" t="s">
        <v>195</v>
      </c>
      <c r="E7" s="101" t="s">
        <v>1045</v>
      </c>
      <c r="F7" s="26" t="s">
        <v>117</v>
      </c>
      <c r="G7" s="24" t="s">
        <v>1047</v>
      </c>
      <c r="H7" s="3" t="s">
        <v>145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1046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86</v>
      </c>
      <c r="B8" s="89" t="s">
        <v>116</v>
      </c>
      <c r="C8" s="17" t="s">
        <v>99</v>
      </c>
      <c r="D8" s="7" t="s">
        <v>143</v>
      </c>
      <c r="E8" s="29" t="s">
        <v>1045</v>
      </c>
      <c r="F8" s="89" t="s">
        <v>3</v>
      </c>
      <c r="G8" s="102" t="s">
        <v>1055</v>
      </c>
      <c r="H8" s="4" t="s">
        <v>144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1048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86</v>
      </c>
      <c r="B9" s="78" t="s">
        <v>116</v>
      </c>
      <c r="C9" s="72" t="s">
        <v>101</v>
      </c>
      <c r="D9" s="7" t="s">
        <v>174</v>
      </c>
      <c r="E9" s="94" t="s">
        <v>243</v>
      </c>
      <c r="F9" s="78" t="s">
        <v>4</v>
      </c>
      <c r="G9" s="79" t="s">
        <v>39</v>
      </c>
      <c r="H9" s="78" t="s">
        <v>126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1071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86</v>
      </c>
      <c r="B10" s="78" t="s">
        <v>116</v>
      </c>
      <c r="C10" s="72" t="s">
        <v>102</v>
      </c>
      <c r="D10" s="7" t="s">
        <v>278</v>
      </c>
      <c r="E10" s="98" t="s">
        <v>247</v>
      </c>
      <c r="F10" s="78" t="s">
        <v>118</v>
      </c>
      <c r="G10" s="27" t="s">
        <v>277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1058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86</v>
      </c>
      <c r="B11" s="78" t="s">
        <v>116</v>
      </c>
      <c r="C11" s="72" t="s">
        <v>88</v>
      </c>
      <c r="D11" s="5" t="s">
        <v>179</v>
      </c>
      <c r="E11" s="93" t="s">
        <v>251</v>
      </c>
      <c r="F11" s="78" t="s">
        <v>42</v>
      </c>
      <c r="G11" s="27" t="s">
        <v>76</v>
      </c>
      <c r="H11" s="14" t="s">
        <v>154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283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45" priority="40" operator="equal">
      <formula>0</formula>
    </cfRule>
  </conditionalFormatting>
  <conditionalFormatting sqref="U2">
    <cfRule type="cellIs" dxfId="44" priority="37" operator="greaterThan">
      <formula>6</formula>
    </cfRule>
    <cfRule type="cellIs" dxfId="43" priority="38" operator="between">
      <formula>3</formula>
      <formula>5</formula>
    </cfRule>
    <cfRule type="cellIs" dxfId="42" priority="39" operator="between">
      <formula>0</formula>
      <formula>2</formula>
    </cfRule>
  </conditionalFormatting>
  <conditionalFormatting sqref="G2">
    <cfRule type="duplicateValues" dxfId="41" priority="36"/>
  </conditionalFormatting>
  <conditionalFormatting sqref="I3:T3">
    <cfRule type="cellIs" dxfId="40" priority="35" operator="equal">
      <formula>0</formula>
    </cfRule>
  </conditionalFormatting>
  <conditionalFormatting sqref="U3">
    <cfRule type="cellIs" dxfId="39" priority="32" operator="greaterThan">
      <formula>6</formula>
    </cfRule>
    <cfRule type="cellIs" dxfId="38" priority="33" operator="between">
      <formula>3</formula>
      <formula>5</formula>
    </cfRule>
    <cfRule type="cellIs" dxfId="37" priority="34" operator="between">
      <formula>0</formula>
      <formula>2</formula>
    </cfRule>
  </conditionalFormatting>
  <conditionalFormatting sqref="G3">
    <cfRule type="duplicateValues" dxfId="36" priority="31"/>
  </conditionalFormatting>
  <conditionalFormatting sqref="I5:T5">
    <cfRule type="cellIs" dxfId="35" priority="30" operator="equal">
      <formula>0</formula>
    </cfRule>
  </conditionalFormatting>
  <conditionalFormatting sqref="U5">
    <cfRule type="cellIs" dxfId="34" priority="27" operator="greaterThan">
      <formula>6</formula>
    </cfRule>
    <cfRule type="cellIs" dxfId="33" priority="28" operator="between">
      <formula>3</formula>
      <formula>5</formula>
    </cfRule>
    <cfRule type="cellIs" dxfId="32" priority="29" operator="between">
      <formula>0</formula>
      <formula>2</formula>
    </cfRule>
  </conditionalFormatting>
  <conditionalFormatting sqref="G5">
    <cfRule type="duplicateValues" dxfId="31" priority="26"/>
  </conditionalFormatting>
  <conditionalFormatting sqref="I6:T6">
    <cfRule type="cellIs" dxfId="30" priority="25" operator="equal">
      <formula>0</formula>
    </cfRule>
  </conditionalFormatting>
  <conditionalFormatting sqref="U6">
    <cfRule type="cellIs" dxfId="29" priority="22" operator="greaterThan">
      <formula>6</formula>
    </cfRule>
    <cfRule type="cellIs" dxfId="28" priority="23" operator="between">
      <formula>3</formula>
      <formula>5</formula>
    </cfRule>
    <cfRule type="cellIs" dxfId="27" priority="24" operator="between">
      <formula>0</formula>
      <formula>2</formula>
    </cfRule>
  </conditionalFormatting>
  <conditionalFormatting sqref="G6">
    <cfRule type="duplicateValues" dxfId="26" priority="21"/>
  </conditionalFormatting>
  <conditionalFormatting sqref="I7:T8">
    <cfRule type="cellIs" dxfId="25" priority="20" operator="equal">
      <formula>0</formula>
    </cfRule>
  </conditionalFormatting>
  <conditionalFormatting sqref="U7:U8">
    <cfRule type="cellIs" dxfId="24" priority="17" operator="greaterThan">
      <formula>6</formula>
    </cfRule>
    <cfRule type="cellIs" dxfId="23" priority="18" operator="between">
      <formula>3</formula>
      <formula>5</formula>
    </cfRule>
    <cfRule type="cellIs" dxfId="22" priority="19" operator="between">
      <formula>0</formula>
      <formula>2</formula>
    </cfRule>
  </conditionalFormatting>
  <conditionalFormatting sqref="G7">
    <cfRule type="duplicateValues" dxfId="21" priority="16"/>
  </conditionalFormatting>
  <conditionalFormatting sqref="I9:T9">
    <cfRule type="cellIs" dxfId="20" priority="15" operator="equal">
      <formula>0</formula>
    </cfRule>
  </conditionalFormatting>
  <conditionalFormatting sqref="U9">
    <cfRule type="cellIs" dxfId="19" priority="12" operator="greaterThan">
      <formula>6</formula>
    </cfRule>
    <cfRule type="cellIs" dxfId="18" priority="13" operator="between">
      <formula>3</formula>
      <formula>5</formula>
    </cfRule>
    <cfRule type="cellIs" dxfId="17" priority="14" operator="between">
      <formula>0</formula>
      <formula>2</formula>
    </cfRule>
  </conditionalFormatting>
  <conditionalFormatting sqref="G9">
    <cfRule type="duplicateValues" dxfId="16" priority="11"/>
  </conditionalFormatting>
  <conditionalFormatting sqref="I10:T10">
    <cfRule type="cellIs" dxfId="15" priority="10" operator="equal">
      <formula>0</formula>
    </cfRule>
  </conditionalFormatting>
  <conditionalFormatting sqref="U10">
    <cfRule type="cellIs" dxfId="14" priority="7" operator="greaterThan">
      <formula>6</formula>
    </cfRule>
    <cfRule type="cellIs" dxfId="13" priority="8" operator="between">
      <formula>3</formula>
      <formula>5</formula>
    </cfRule>
    <cfRule type="cellIs" dxfId="12" priority="9" operator="between">
      <formula>0</formula>
      <formula>2</formula>
    </cfRule>
  </conditionalFormatting>
  <conditionalFormatting sqref="G10">
    <cfRule type="duplicateValues" dxfId="11" priority="6"/>
  </conditionalFormatting>
  <conditionalFormatting sqref="I11:T11">
    <cfRule type="cellIs" dxfId="10" priority="5" operator="equal">
      <formula>0</formula>
    </cfRule>
  </conditionalFormatting>
  <conditionalFormatting sqref="U11">
    <cfRule type="cellIs" dxfId="9" priority="2" operator="greaterThan">
      <formula>6</formula>
    </cfRule>
    <cfRule type="cellIs" dxfId="8" priority="3" operator="between">
      <formula>3</formula>
      <formula>5</formula>
    </cfRule>
    <cfRule type="cellIs" dxfId="7" priority="4" operator="between">
      <formula>0</formula>
      <formula>2</formula>
    </cfRule>
  </conditionalFormatting>
  <conditionalFormatting sqref="G11">
    <cfRule type="duplicateValues" dxfId="6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dcterms:created xsi:type="dcterms:W3CDTF">2014-06-17T16:05:10Z</dcterms:created>
  <dcterms:modified xsi:type="dcterms:W3CDTF">2026-06-01T12:54:36Z</dcterms:modified>
</cp:coreProperties>
</file>